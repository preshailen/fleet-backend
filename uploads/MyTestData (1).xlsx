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4-Stats" sheetId="1" r:id="rId4"/>
  </sheets>
  <definedNames>
    <definedName hidden="1" localSheetId="0" name="_xlnm._FilterDatabase">'Test 4-Stats'!$A$1:$DE$5</definedName>
  </definedNames>
  <calcPr/>
  <extLst>
    <ext uri="GoogleSheetsCustomDataVersion2">
      <go:sheetsCustomData xmlns:go="http://customooxmlschemas.google.com/" r:id="rId5" roundtripDataChecksum="HVJEvFXcNYfQ3DF6+g/fLt8/bAn6chKgRfWXCki6A8A="/>
    </ext>
  </extLst>
</workbook>
</file>

<file path=xl/sharedStrings.xml><?xml version="1.0" encoding="utf-8"?>
<sst xmlns="http://schemas.openxmlformats.org/spreadsheetml/2006/main" count="174" uniqueCount="149">
  <si>
    <t>Supplier Name</t>
  </si>
  <si>
    <t>Month</t>
  </si>
  <si>
    <t>Business Unit</t>
  </si>
  <si>
    <t>Division/Depot/Department</t>
  </si>
  <si>
    <t>Cost Centre</t>
  </si>
  <si>
    <t>Area</t>
  </si>
  <si>
    <t>Province</t>
  </si>
  <si>
    <t>Responsible Manager</t>
  </si>
  <si>
    <t>RFQ Sent Date</t>
  </si>
  <si>
    <t>Quotes Received Date</t>
  </si>
  <si>
    <t>Actual Quotation Days</t>
  </si>
  <si>
    <t>Target Quotation Days</t>
  </si>
  <si>
    <t>Variance for Quote Days</t>
  </si>
  <si>
    <t>Approval of best Quote Date</t>
  </si>
  <si>
    <t>Vehicle Delivery Date</t>
  </si>
  <si>
    <t>Actual Delivery Days</t>
  </si>
  <si>
    <t>Target Delivery Days</t>
  </si>
  <si>
    <t>Variance for Delivery Days</t>
  </si>
  <si>
    <t>Reg No</t>
  </si>
  <si>
    <t>Contract No</t>
  </si>
  <si>
    <t>Contract Type</t>
  </si>
  <si>
    <t>Rate Category</t>
  </si>
  <si>
    <t>Make</t>
  </si>
  <si>
    <t>Model</t>
  </si>
  <si>
    <t>Year</t>
  </si>
  <si>
    <t>Fuel Type</t>
  </si>
  <si>
    <t>Engine Capacity</t>
  </si>
  <si>
    <t>Tyres Allocated</t>
  </si>
  <si>
    <t>Tyres Used</t>
  </si>
  <si>
    <t>Retail Price</t>
  </si>
  <si>
    <t>Discount Amount</t>
  </si>
  <si>
    <t>Discount %</t>
  </si>
  <si>
    <t>Accessory Amount</t>
  </si>
  <si>
    <t>Finance Sundries</t>
  </si>
  <si>
    <t>Interest %</t>
  </si>
  <si>
    <t>Residual Value</t>
  </si>
  <si>
    <t>RV %</t>
  </si>
  <si>
    <t>Start Date</t>
  </si>
  <si>
    <t>End Date</t>
  </si>
  <si>
    <t>Contract Period</t>
  </si>
  <si>
    <t>Inclusive KM per Month</t>
  </si>
  <si>
    <t>Total Contract KM</t>
  </si>
  <si>
    <t>Licence Expiry Date</t>
  </si>
  <si>
    <t>Odo Start</t>
  </si>
  <si>
    <t>Odo End</t>
  </si>
  <si>
    <t>KM Travelled</t>
  </si>
  <si>
    <t>KM Travelled LTD</t>
  </si>
  <si>
    <t>Average LTD Km</t>
  </si>
  <si>
    <t>Fixed Rental</t>
  </si>
  <si>
    <t>Repairs and Maintenance</t>
  </si>
  <si>
    <t>Licence Fee</t>
  </si>
  <si>
    <t>Tracking Cost and Services</t>
  </si>
  <si>
    <t>Admin Fee</t>
  </si>
  <si>
    <t>Total Fixed Rental (Excl. VAT)</t>
  </si>
  <si>
    <t>VAT</t>
  </si>
  <si>
    <t>Total Fixed Rental (Incl. VAT)</t>
  </si>
  <si>
    <t>Start Date of Excess Billing</t>
  </si>
  <si>
    <t>End Date of Excess Billing</t>
  </si>
  <si>
    <t>Start Odo of Excess Billing</t>
  </si>
  <si>
    <t>End Odo of Excess Billing</t>
  </si>
  <si>
    <t>Total KM Travelled</t>
  </si>
  <si>
    <t>Allowed KM</t>
  </si>
  <si>
    <t>Excess KM Travelled</t>
  </si>
  <si>
    <t>Excess RM (CPK)</t>
  </si>
  <si>
    <t>Excess RV (CPK)</t>
  </si>
  <si>
    <t>Excess RM Amount</t>
  </si>
  <si>
    <t>Excess RV Amount</t>
  </si>
  <si>
    <t>Total Excess Amount Excl VAT</t>
  </si>
  <si>
    <t>Total Excess Amount Incl VAT</t>
  </si>
  <si>
    <t>Operator Default</t>
  </si>
  <si>
    <t>Accident and Write Offs</t>
  </si>
  <si>
    <t>Tyres</t>
  </si>
  <si>
    <t>Additional Costs</t>
  </si>
  <si>
    <t>Auxiliary Amount</t>
  </si>
  <si>
    <t>OOCP</t>
  </si>
  <si>
    <t>Fuel Cost</t>
  </si>
  <si>
    <t>Fuel Litres</t>
  </si>
  <si>
    <t>Oil Cost</t>
  </si>
  <si>
    <t>Oil Litres</t>
  </si>
  <si>
    <t>Monthly Fines Cost</t>
  </si>
  <si>
    <t>Monthly E-Toll Cost</t>
  </si>
  <si>
    <t>Subtotal Variable Cost</t>
  </si>
  <si>
    <t>Total Variable Cost</t>
  </si>
  <si>
    <t>Total Cost Incl VAT</t>
  </si>
  <si>
    <t>Input VAT</t>
  </si>
  <si>
    <t>Total Cost excl Input VAT</t>
  </si>
  <si>
    <t>CPK TCO</t>
  </si>
  <si>
    <t>Maintenance Days</t>
  </si>
  <si>
    <t>Accidents Days</t>
  </si>
  <si>
    <t>Breakdowns Days</t>
  </si>
  <si>
    <t>Total Availability %</t>
  </si>
  <si>
    <t>Restructured Contract End Date</t>
  </si>
  <si>
    <t>Restructured Contract Period</t>
  </si>
  <si>
    <t>Restructured Inclusive KM per Month</t>
  </si>
  <si>
    <t>Fixed Rental Prior to Restructure</t>
  </si>
  <si>
    <t>Overs and Unders (Incl 5% Tolerance)</t>
  </si>
  <si>
    <t>Estimated Replacement Date Time &amp; KM</t>
  </si>
  <si>
    <t>Estimated Replacement Time</t>
  </si>
  <si>
    <t>Estimated Replacement KM</t>
  </si>
  <si>
    <t>Deal Status</t>
  </si>
  <si>
    <t>Supplier Responsible Name</t>
  </si>
  <si>
    <t>Excess RM YTD</t>
  </si>
  <si>
    <t>Excess RV YTD</t>
  </si>
  <si>
    <t>Under Utilisation RM YTD</t>
  </si>
  <si>
    <t>Under Utilisation RM (CPK)</t>
  </si>
  <si>
    <t>Total Under Utilisation RM Amount Excl VAT</t>
  </si>
  <si>
    <t>Total Under Utilisation Amount Incl VAT</t>
  </si>
  <si>
    <t>Date Sold</t>
  </si>
  <si>
    <t>Company A</t>
  </si>
  <si>
    <t>Business Unit 1</t>
  </si>
  <si>
    <t>Division 1</t>
  </si>
  <si>
    <t>Cost Centre 1</t>
  </si>
  <si>
    <t>CAPE TOWN</t>
  </si>
  <si>
    <t>WESTERN CAPE</t>
  </si>
  <si>
    <t>Manager 1</t>
  </si>
  <si>
    <t>Reg 1</t>
  </si>
  <si>
    <t>Contract 1</t>
  </si>
  <si>
    <t>Long Term</t>
  </si>
  <si>
    <t>HALF TON LDV</t>
  </si>
  <si>
    <t>NISSAN</t>
  </si>
  <si>
    <t>NP200 1.6 8V AC SAFETY PACK</t>
  </si>
  <si>
    <t>PETROL</t>
  </si>
  <si>
    <t>Active</t>
  </si>
  <si>
    <t>Name 1</t>
  </si>
  <si>
    <t>Business Unit 2</t>
  </si>
  <si>
    <t>Division 2</t>
  </si>
  <si>
    <t>Cost Centre 2</t>
  </si>
  <si>
    <t>ISANDO</t>
  </si>
  <si>
    <t>GAUTENG</t>
  </si>
  <si>
    <t>Manager 2</t>
  </si>
  <si>
    <t>Reg 2</t>
  </si>
  <si>
    <t>Contract 2</t>
  </si>
  <si>
    <t>ONE TON LDV SINGLE CAB</t>
  </si>
  <si>
    <t>ISUZU</t>
  </si>
  <si>
    <t>KB 250 D-TEQ FLEETSIDE (SAFETY)</t>
  </si>
  <si>
    <t>DIESEL</t>
  </si>
  <si>
    <t>Business Unit 3</t>
  </si>
  <si>
    <t>Division 3</t>
  </si>
  <si>
    <t>Cost Centre 3</t>
  </si>
  <si>
    <t>PRETORIA</t>
  </si>
  <si>
    <t>KWAZULU NATAL</t>
  </si>
  <si>
    <t>Manager 3</t>
  </si>
  <si>
    <t>Reg 3</t>
  </si>
  <si>
    <t>Contract 3</t>
  </si>
  <si>
    <t>Company B</t>
  </si>
  <si>
    <t>Reg 4</t>
  </si>
  <si>
    <t>Contract 4</t>
  </si>
  <si>
    <t>ONE TON LDV DOUBLE CAB</t>
  </si>
  <si>
    <t>KB 250 D-TEQ HI-RIDER D/CAB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</si>
</sst>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yyyy"/>
    <numFmt numFmtId="165" formatCode="_-&quot;R&quot;* #,##0.00_-;\-&quot;R&quot;* #,##0.00_-;_-&quot;R&quot;* &quot;-&quot;??_-;_-@"/>
    <numFmt numFmtId="166" formatCode="m/d/yyyy"/>
  </numFmts>
  <fonts count="4">
    <font>
      <sz val="11.0"/>
      <color theme="1"/>
      <name val="Aptos Narrow"/>
      <scheme val="minor"/>
    </font>
    <font>
      <b/>
      <sz val="11.0"/>
      <color theme="0"/>
      <name val="Tahoma"/>
    </font>
    <font>
      <b/>
      <sz val="11.0"/>
      <color rgb="FFFFFFFF"/>
      <name val="Tahoma"/>
    </font>
    <font>
      <sz val="11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9" xfId="0" applyAlignment="1" applyBorder="1" applyFont="1" applyNumberFormat="1">
      <alignment horizontal="center" shrinkToFit="0" vertical="center" wrapText="1"/>
    </xf>
    <xf borderId="2" fillId="3" fontId="3" numFmtId="0" xfId="0" applyAlignment="1" applyBorder="1" applyFill="1" applyFon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2" fillId="3" fontId="3" numFmtId="14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3" fontId="3" numFmtId="9" xfId="0" applyAlignment="1" applyBorder="1" applyFont="1" applyNumberFormat="1">
      <alignment horizontal="center" vertical="center"/>
    </xf>
    <xf borderId="2" fillId="3" fontId="3" numFmtId="166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63"/>
    <col customWidth="1" min="3" max="3" width="14.38"/>
    <col customWidth="1" min="4" max="4" width="41.13"/>
    <col customWidth="1" min="5" max="5" width="12.88"/>
    <col customWidth="1" min="6" max="6" width="25.0"/>
    <col customWidth="1" min="7" max="7" width="15.38"/>
    <col customWidth="1" min="8" max="8" width="29.88"/>
    <col customWidth="1" min="9" max="10" width="15.0"/>
    <col customWidth="1" min="11" max="11" width="10.88"/>
    <col customWidth="1" min="12" max="14" width="15.0"/>
    <col customWidth="1" min="15" max="15" width="12.25"/>
    <col customWidth="1" min="16" max="16" width="10.88"/>
    <col customWidth="1" min="17" max="17" width="10.63"/>
    <col customWidth="1" min="18" max="18" width="12.88"/>
    <col customWidth="1" min="19" max="19" width="11.5"/>
    <col customWidth="1" min="20" max="20" width="14.38"/>
    <col customWidth="1" min="21" max="21" width="26.88"/>
    <col customWidth="1" min="22" max="22" width="25.63"/>
    <col customWidth="1" min="23" max="23" width="15.5"/>
    <col customWidth="1" min="24" max="24" width="45.5"/>
    <col customWidth="1" min="25" max="25" width="9.13"/>
    <col customWidth="1" min="26" max="26" width="21.5"/>
    <col customWidth="1" min="27" max="27" width="15.13"/>
    <col customWidth="1" min="28" max="28" width="12.5"/>
    <col customWidth="1" min="29" max="29" width="9.88"/>
    <col customWidth="1" min="30" max="31" width="13.63"/>
    <col customWidth="1" min="32" max="32" width="12.88"/>
    <col customWidth="1" min="33" max="33" width="13.63"/>
    <col customWidth="1" min="34" max="34" width="12.88"/>
    <col customWidth="1" min="35" max="35" width="12.0"/>
    <col customWidth="1" min="36" max="36" width="13.63"/>
    <col customWidth="1" min="37" max="37" width="9.63"/>
    <col customWidth="1" min="38" max="38" width="11.0"/>
    <col customWidth="1" min="39" max="39" width="12.88"/>
    <col customWidth="1" min="40" max="40" width="12.75"/>
    <col customWidth="1" min="41" max="41" width="13.0"/>
    <col customWidth="1" min="42" max="42" width="12.75"/>
    <col customWidth="1" min="43" max="43" width="12.0"/>
    <col customWidth="1" min="44" max="44" width="13.5"/>
    <col customWidth="1" min="45" max="45" width="12.5"/>
    <col customWidth="1" min="46" max="47" width="13.13"/>
    <col customWidth="1" min="48" max="48" width="12.13"/>
    <col customWidth="1" min="49" max="49" width="12.5"/>
    <col customWidth="1" min="50" max="50" width="13.25"/>
    <col customWidth="1" min="51" max="51" width="12.13"/>
    <col customWidth="1" min="52" max="52" width="12.88"/>
    <col customWidth="1" min="53" max="53" width="11.38"/>
    <col customWidth="1" min="54" max="54" width="12.5"/>
    <col customWidth="1" min="55" max="55" width="11.38"/>
    <col customWidth="1" min="56" max="56" width="12.5"/>
    <col customWidth="1" min="57" max="57" width="11.25"/>
    <col customWidth="1" min="58" max="58" width="13.13"/>
    <col customWidth="1" min="59" max="59" width="13.5"/>
    <col customWidth="1" min="60" max="61" width="13.13"/>
    <col customWidth="1" min="62" max="62" width="12.13"/>
    <col customWidth="1" min="63" max="63" width="13.13"/>
    <col customWidth="1" min="64" max="64" width="13.25"/>
    <col customWidth="1" min="65" max="65" width="13.0"/>
    <col customWidth="1" min="66" max="66" width="12.5"/>
    <col customWidth="1" min="67" max="68" width="13.63"/>
    <col customWidth="1" min="69" max="69" width="12.5"/>
    <col customWidth="1" min="70" max="72" width="13.63"/>
    <col customWidth="1" min="73" max="73" width="12.5"/>
    <col customWidth="1" min="74" max="74" width="12.75"/>
    <col customWidth="1" min="75" max="75" width="12.88"/>
    <col customWidth="1" min="76" max="76" width="10.63"/>
    <col customWidth="1" min="77" max="77" width="13.13"/>
    <col customWidth="1" min="78" max="78" width="10.13"/>
    <col customWidth="1" min="79" max="79" width="12.5"/>
    <col customWidth="1" min="80" max="80" width="13.0"/>
    <col customWidth="1" min="81" max="81" width="12.13"/>
    <col customWidth="1" min="82" max="82" width="13.5"/>
    <col customWidth="1" min="83" max="83" width="13.63"/>
    <col customWidth="1" min="84" max="84" width="12.5"/>
    <col customWidth="1" min="85" max="86" width="13.63"/>
    <col customWidth="1" min="87" max="87" width="13.5"/>
    <col customWidth="1" min="88" max="89" width="13.63"/>
    <col customWidth="1" min="90" max="90" width="13.13"/>
    <col customWidth="1" min="91" max="91" width="13.0"/>
    <col customWidth="1" min="92" max="92" width="13.13"/>
    <col customWidth="1" min="93" max="93" width="13.5"/>
    <col customWidth="1" min="94" max="94" width="12.88"/>
    <col customWidth="1" min="95" max="95" width="12.75"/>
    <col customWidth="1" min="96" max="96" width="13.0"/>
    <col customWidth="1" min="97" max="97" width="12.5"/>
    <col customWidth="1" min="98" max="98" width="13.75"/>
    <col customWidth="1" min="99" max="99" width="18.5"/>
    <col customWidth="1" min="100" max="100" width="16.63"/>
    <col customWidth="1" min="101" max="101" width="13.0"/>
    <col customWidth="1" min="102" max="102" width="10.88"/>
    <col customWidth="1" min="103" max="103" width="22.13"/>
    <col customWidth="1" min="104" max="106" width="13.63"/>
    <col customWidth="1" min="107" max="107" width="11.5"/>
    <col customWidth="1" min="108" max="108" width="12.5"/>
    <col customWidth="1" min="109" max="109" width="19.5"/>
    <col customWidth="1" min="110" max="110" width="8.25"/>
  </cols>
  <sheetData>
    <row r="1" ht="13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5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4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54</v>
      </c>
      <c r="BR1" s="1" t="s">
        <v>68</v>
      </c>
      <c r="BS1" s="1" t="s">
        <v>69</v>
      </c>
      <c r="BT1" s="3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54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4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4" t="s">
        <v>96</v>
      </c>
      <c r="CV1" s="1" t="s">
        <v>97</v>
      </c>
      <c r="CW1" s="1" t="s">
        <v>98</v>
      </c>
      <c r="CX1" s="1" t="s">
        <v>99</v>
      </c>
      <c r="CY1" s="3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</row>
    <row r="2" ht="13.5" customHeight="1">
      <c r="A2" s="6" t="s">
        <v>108</v>
      </c>
      <c r="B2" s="7">
        <v>43831.0</v>
      </c>
      <c r="C2" s="6" t="s">
        <v>109</v>
      </c>
      <c r="D2" s="6" t="s">
        <v>110</v>
      </c>
      <c r="E2" s="6" t="s">
        <v>111</v>
      </c>
      <c r="F2" s="6" t="s">
        <v>112</v>
      </c>
      <c r="G2" s="6" t="s">
        <v>113</v>
      </c>
      <c r="H2" s="6" t="s">
        <v>114</v>
      </c>
      <c r="I2" s="8">
        <v>43831.0</v>
      </c>
      <c r="J2" s="8">
        <v>43832.0</v>
      </c>
      <c r="K2" s="6">
        <f t="shared" ref="K2:K5" si="1">J2-I2</f>
        <v>1</v>
      </c>
      <c r="L2" s="6">
        <v>1.0</v>
      </c>
      <c r="M2" s="6">
        <f t="shared" ref="M2:M5" si="2">K2-L2</f>
        <v>0</v>
      </c>
      <c r="N2" s="8">
        <v>43845.0</v>
      </c>
      <c r="O2" s="8">
        <v>43886.0</v>
      </c>
      <c r="P2" s="6">
        <f t="shared" ref="P2:P5" si="3">O2-N2</f>
        <v>41</v>
      </c>
      <c r="Q2" s="6">
        <v>90.0</v>
      </c>
      <c r="R2" s="6">
        <f t="shared" ref="R2:R5" si="4">P2-Q2</f>
        <v>-49</v>
      </c>
      <c r="S2" s="6" t="s">
        <v>115</v>
      </c>
      <c r="T2" s="6" t="s">
        <v>116</v>
      </c>
      <c r="U2" s="6" t="s">
        <v>117</v>
      </c>
      <c r="V2" s="6" t="s">
        <v>118</v>
      </c>
      <c r="W2" s="6" t="s">
        <v>119</v>
      </c>
      <c r="X2" s="6" t="s">
        <v>120</v>
      </c>
      <c r="Y2" s="6">
        <v>2020.0</v>
      </c>
      <c r="Z2" s="6" t="s">
        <v>121</v>
      </c>
      <c r="AA2" s="6">
        <v>1598.0</v>
      </c>
      <c r="AB2" s="6">
        <v>12.0</v>
      </c>
      <c r="AC2" s="6">
        <v>0.0</v>
      </c>
      <c r="AD2" s="9">
        <v>172956.52</v>
      </c>
      <c r="AE2" s="9">
        <v>45491.46</v>
      </c>
      <c r="AF2" s="10">
        <v>0.26</v>
      </c>
      <c r="AG2" s="9">
        <v>18280.53</v>
      </c>
      <c r="AH2" s="9">
        <v>584.0</v>
      </c>
      <c r="AI2" s="6">
        <v>7.75</v>
      </c>
      <c r="AJ2" s="9">
        <v>72642.0</v>
      </c>
      <c r="AK2" s="6">
        <v>42.0</v>
      </c>
      <c r="AL2" s="8">
        <v>43886.0</v>
      </c>
      <c r="AM2" s="8">
        <v>45713.0</v>
      </c>
      <c r="AN2" s="6">
        <v>60.0</v>
      </c>
      <c r="AO2" s="6">
        <v>1500.0</v>
      </c>
      <c r="AP2" s="6">
        <v>90000.0</v>
      </c>
      <c r="AQ2" s="8">
        <v>46081.0</v>
      </c>
      <c r="AR2" s="6">
        <v>32857.0</v>
      </c>
      <c r="AS2" s="6">
        <v>33259.0</v>
      </c>
      <c r="AT2" s="6">
        <v>402.0</v>
      </c>
      <c r="AU2" s="6">
        <v>31765.0</v>
      </c>
      <c r="AV2" s="6">
        <v>521.0</v>
      </c>
      <c r="AW2" s="9">
        <v>2588.24</v>
      </c>
      <c r="AX2" s="9">
        <v>566.41</v>
      </c>
      <c r="AY2" s="9">
        <v>51.41</v>
      </c>
      <c r="AZ2" s="9">
        <v>300.83</v>
      </c>
      <c r="BA2" s="9">
        <v>1149.95</v>
      </c>
      <c r="BB2" s="9">
        <v>4656.84</v>
      </c>
      <c r="BC2" s="9">
        <v>698.53</v>
      </c>
      <c r="BD2" s="9">
        <v>5355.37</v>
      </c>
      <c r="BE2" s="8">
        <v>45748.0</v>
      </c>
      <c r="BF2" s="8">
        <v>45838.0</v>
      </c>
      <c r="BG2" s="6">
        <v>30301.0</v>
      </c>
      <c r="BH2" s="6">
        <v>33259.0</v>
      </c>
      <c r="BI2" s="6">
        <v>2958.0</v>
      </c>
      <c r="BJ2" s="6">
        <v>4500.0</v>
      </c>
      <c r="BK2" s="6">
        <v>-1542.0</v>
      </c>
      <c r="BL2" s="9">
        <v>0.44</v>
      </c>
      <c r="BM2" s="9">
        <v>1.4</v>
      </c>
      <c r="BN2" s="9">
        <v>0.0</v>
      </c>
      <c r="BO2" s="9">
        <v>0.0</v>
      </c>
      <c r="BP2" s="9">
        <v>0.0</v>
      </c>
      <c r="BQ2" s="9">
        <v>-87.89</v>
      </c>
      <c r="BR2" s="9">
        <v>0.0</v>
      </c>
      <c r="BS2" s="9">
        <v>0.0</v>
      </c>
      <c r="BT2" s="9">
        <v>0.0</v>
      </c>
      <c r="BU2" s="9">
        <v>0.0</v>
      </c>
      <c r="BV2" s="9">
        <v>0.0</v>
      </c>
      <c r="BW2" s="9">
        <v>0.0</v>
      </c>
      <c r="BX2" s="9">
        <v>0.0</v>
      </c>
      <c r="BY2" s="9">
        <v>1851.3</v>
      </c>
      <c r="BZ2" s="6">
        <v>0.0</v>
      </c>
      <c r="CA2" s="9">
        <v>0.0</v>
      </c>
      <c r="CB2" s="6">
        <v>0.0</v>
      </c>
      <c r="CC2" s="9">
        <v>0.0</v>
      </c>
      <c r="CD2" s="9">
        <v>0.0</v>
      </c>
      <c r="CE2" s="9">
        <v>0.0</v>
      </c>
      <c r="CF2" s="9">
        <v>0.0</v>
      </c>
      <c r="CG2" s="9">
        <v>0.0</v>
      </c>
      <c r="CH2" s="9">
        <v>4681.52</v>
      </c>
      <c r="CI2" s="9">
        <v>610.64</v>
      </c>
      <c r="CJ2" s="9">
        <v>4070.88</v>
      </c>
      <c r="CK2" s="9">
        <v>10.13</v>
      </c>
      <c r="CL2" s="6">
        <v>0.0</v>
      </c>
      <c r="CM2" s="6">
        <v>0.0</v>
      </c>
      <c r="CN2" s="6">
        <v>0.0</v>
      </c>
      <c r="CO2" s="6">
        <v>89.7058</v>
      </c>
      <c r="CP2" s="8"/>
      <c r="CQ2" s="6">
        <v>0.0</v>
      </c>
      <c r="CR2" s="6">
        <v>0.0</v>
      </c>
      <c r="CS2" s="6">
        <v>0.0</v>
      </c>
      <c r="CT2" s="6">
        <v>-59735.0</v>
      </c>
      <c r="CU2" s="8">
        <v>45808.0</v>
      </c>
      <c r="CV2" s="8">
        <v>45808.0</v>
      </c>
      <c r="CW2" s="6">
        <v>91494.0</v>
      </c>
      <c r="CX2" s="6" t="s">
        <v>122</v>
      </c>
      <c r="CY2" s="6" t="s">
        <v>123</v>
      </c>
      <c r="CZ2" s="9">
        <v>142.8</v>
      </c>
      <c r="DA2" s="9">
        <v>462.4</v>
      </c>
      <c r="DB2" s="9">
        <v>-20175.66</v>
      </c>
      <c r="DC2" s="9">
        <v>0.38</v>
      </c>
      <c r="DD2" s="9">
        <v>-585.96</v>
      </c>
      <c r="DE2" s="9">
        <v>-673.85</v>
      </c>
      <c r="DF2" s="11"/>
    </row>
    <row r="3" ht="13.5" customHeight="1">
      <c r="A3" s="6" t="s">
        <v>108</v>
      </c>
      <c r="B3" s="7">
        <v>43831.0</v>
      </c>
      <c r="C3" s="6" t="s">
        <v>124</v>
      </c>
      <c r="D3" s="6" t="s">
        <v>125</v>
      </c>
      <c r="E3" s="6" t="s">
        <v>126</v>
      </c>
      <c r="F3" s="6" t="s">
        <v>127</v>
      </c>
      <c r="G3" s="6" t="s">
        <v>128</v>
      </c>
      <c r="H3" s="6" t="s">
        <v>129</v>
      </c>
      <c r="I3" s="8">
        <v>43832.0</v>
      </c>
      <c r="J3" s="8">
        <v>43834.0</v>
      </c>
      <c r="K3" s="6">
        <f t="shared" si="1"/>
        <v>2</v>
      </c>
      <c r="L3" s="6">
        <v>1.0</v>
      </c>
      <c r="M3" s="6">
        <f t="shared" si="2"/>
        <v>1</v>
      </c>
      <c r="N3" s="8">
        <v>43846.0</v>
      </c>
      <c r="O3" s="8">
        <v>43977.0</v>
      </c>
      <c r="P3" s="6">
        <f t="shared" si="3"/>
        <v>131</v>
      </c>
      <c r="Q3" s="6">
        <v>90.0</v>
      </c>
      <c r="R3" s="6">
        <f t="shared" si="4"/>
        <v>41</v>
      </c>
      <c r="S3" s="6" t="s">
        <v>130</v>
      </c>
      <c r="T3" s="6" t="s">
        <v>131</v>
      </c>
      <c r="U3" s="6" t="s">
        <v>117</v>
      </c>
      <c r="V3" s="6" t="s">
        <v>132</v>
      </c>
      <c r="W3" s="6" t="s">
        <v>133</v>
      </c>
      <c r="X3" s="6" t="s">
        <v>134</v>
      </c>
      <c r="Y3" s="6">
        <v>2019.0</v>
      </c>
      <c r="Z3" s="6" t="s">
        <v>135</v>
      </c>
      <c r="AA3" s="6">
        <v>2498.0</v>
      </c>
      <c r="AB3" s="6">
        <v>12.0</v>
      </c>
      <c r="AC3" s="6">
        <v>12.0</v>
      </c>
      <c r="AD3" s="9">
        <v>279652.17</v>
      </c>
      <c r="AE3" s="9">
        <v>52153.09</v>
      </c>
      <c r="AF3" s="10">
        <v>0.19</v>
      </c>
      <c r="AG3" s="9">
        <v>19390.1</v>
      </c>
      <c r="AH3" s="9">
        <v>1466.0</v>
      </c>
      <c r="AI3" s="6">
        <v>7.75</v>
      </c>
      <c r="AJ3" s="9"/>
      <c r="AK3" s="6"/>
      <c r="AL3" s="8">
        <v>43977.0</v>
      </c>
      <c r="AM3" s="8">
        <v>45803.0</v>
      </c>
      <c r="AN3" s="6">
        <v>60.0</v>
      </c>
      <c r="AO3" s="6">
        <v>2500.0</v>
      </c>
      <c r="AP3" s="6">
        <v>170148.0</v>
      </c>
      <c r="AQ3" s="8">
        <v>45900.0</v>
      </c>
      <c r="AR3" s="6">
        <v>169892.0</v>
      </c>
      <c r="AS3" s="6">
        <v>170185.0</v>
      </c>
      <c r="AT3" s="6">
        <v>293.0</v>
      </c>
      <c r="AU3" s="6">
        <v>170148.0</v>
      </c>
      <c r="AV3" s="6">
        <v>2540.0</v>
      </c>
      <c r="AW3" s="9">
        <v>3706.98</v>
      </c>
      <c r="AX3" s="9">
        <v>1730.7</v>
      </c>
      <c r="AY3" s="9">
        <v>80.85</v>
      </c>
      <c r="AZ3" s="9">
        <v>581.1</v>
      </c>
      <c r="BA3" s="9">
        <v>533.83</v>
      </c>
      <c r="BB3" s="9">
        <v>6633.46</v>
      </c>
      <c r="BC3" s="9">
        <v>995.02</v>
      </c>
      <c r="BD3" s="9">
        <v>7628.48</v>
      </c>
      <c r="BE3" s="8">
        <v>45748.0</v>
      </c>
      <c r="BF3" s="8">
        <v>45832.0</v>
      </c>
      <c r="BG3" s="6">
        <v>169870.0</v>
      </c>
      <c r="BH3" s="6">
        <v>170185.0</v>
      </c>
      <c r="BI3" s="6">
        <v>315.0</v>
      </c>
      <c r="BJ3" s="6">
        <v>7500.0</v>
      </c>
      <c r="BK3" s="6">
        <v>-7185.0</v>
      </c>
      <c r="BL3" s="9">
        <v>0.79</v>
      </c>
      <c r="BM3" s="9">
        <v>1.19</v>
      </c>
      <c r="BN3" s="9">
        <v>0.0</v>
      </c>
      <c r="BO3" s="9">
        <v>0.0</v>
      </c>
      <c r="BP3" s="9">
        <v>0.0</v>
      </c>
      <c r="BQ3" s="9">
        <v>-743.65</v>
      </c>
      <c r="BR3" s="9">
        <v>0.0</v>
      </c>
      <c r="BS3" s="9">
        <v>30544.6</v>
      </c>
      <c r="BT3" s="9">
        <v>0.0</v>
      </c>
      <c r="BU3" s="9">
        <v>0.0</v>
      </c>
      <c r="BV3" s="9">
        <v>0.0</v>
      </c>
      <c r="BW3" s="9">
        <v>0.0</v>
      </c>
      <c r="BX3" s="9">
        <v>0.0</v>
      </c>
      <c r="BY3" s="9">
        <v>0.0</v>
      </c>
      <c r="BZ3" s="6">
        <v>0.0</v>
      </c>
      <c r="CA3" s="9">
        <v>0.0</v>
      </c>
      <c r="CB3" s="6">
        <v>0.0</v>
      </c>
      <c r="CC3" s="9">
        <v>0.0</v>
      </c>
      <c r="CD3" s="9">
        <v>0.0</v>
      </c>
      <c r="CE3" s="9">
        <v>30544.6</v>
      </c>
      <c r="CF3" s="9">
        <v>4581.69</v>
      </c>
      <c r="CG3" s="9">
        <v>35126.29</v>
      </c>
      <c r="CH3" s="9">
        <v>37053.47</v>
      </c>
      <c r="CI3" s="9">
        <v>4833.06</v>
      </c>
      <c r="CJ3" s="9">
        <v>32220.41</v>
      </c>
      <c r="CK3" s="9">
        <v>109.97</v>
      </c>
      <c r="CL3" s="6">
        <v>65.0</v>
      </c>
      <c r="CM3" s="6">
        <v>0.0</v>
      </c>
      <c r="CN3" s="6">
        <v>0.0</v>
      </c>
      <c r="CO3" s="6">
        <v>99.5721</v>
      </c>
      <c r="CP3" s="8"/>
      <c r="CQ3" s="6">
        <v>0.0</v>
      </c>
      <c r="CR3" s="6">
        <v>0.0</v>
      </c>
      <c r="CS3" s="6">
        <v>0.0</v>
      </c>
      <c r="CT3" s="6">
        <v>148.0</v>
      </c>
      <c r="CU3" s="8">
        <v>45832.0</v>
      </c>
      <c r="CV3" s="8">
        <v>45832.0</v>
      </c>
      <c r="CW3" s="6">
        <v>170185.0</v>
      </c>
      <c r="CX3" s="6" t="s">
        <v>122</v>
      </c>
      <c r="CY3" s="6" t="s">
        <v>123</v>
      </c>
      <c r="CZ3" s="9">
        <v>37818.93</v>
      </c>
      <c r="DA3" s="9">
        <v>25067.17</v>
      </c>
      <c r="DB3" s="9">
        <v>-24150.07</v>
      </c>
      <c r="DC3" s="9">
        <v>0.69</v>
      </c>
      <c r="DD3" s="9">
        <v>-4957.65</v>
      </c>
      <c r="DE3" s="9">
        <v>-5701.3</v>
      </c>
      <c r="DF3" s="11">
        <v>45808.0</v>
      </c>
    </row>
    <row r="4" ht="13.5" customHeight="1">
      <c r="A4" s="6" t="s">
        <v>108</v>
      </c>
      <c r="B4" s="7">
        <v>43831.0</v>
      </c>
      <c r="C4" s="6" t="s">
        <v>136</v>
      </c>
      <c r="D4" s="6" t="s">
        <v>137</v>
      </c>
      <c r="E4" s="6" t="s">
        <v>138</v>
      </c>
      <c r="F4" s="6" t="s">
        <v>139</v>
      </c>
      <c r="G4" s="6" t="s">
        <v>140</v>
      </c>
      <c r="H4" s="6" t="s">
        <v>141</v>
      </c>
      <c r="I4" s="8">
        <v>43833.0</v>
      </c>
      <c r="J4" s="8">
        <v>43834.0</v>
      </c>
      <c r="K4" s="6">
        <f t="shared" si="1"/>
        <v>1</v>
      </c>
      <c r="L4" s="6">
        <v>1.0</v>
      </c>
      <c r="M4" s="6">
        <f t="shared" si="2"/>
        <v>0</v>
      </c>
      <c r="N4" s="8">
        <v>43847.0</v>
      </c>
      <c r="O4" s="8">
        <v>43917.0</v>
      </c>
      <c r="P4" s="6">
        <f t="shared" si="3"/>
        <v>70</v>
      </c>
      <c r="Q4" s="6">
        <v>90.0</v>
      </c>
      <c r="R4" s="6">
        <f t="shared" si="4"/>
        <v>-20</v>
      </c>
      <c r="S4" s="6" t="s">
        <v>142</v>
      </c>
      <c r="T4" s="6" t="s">
        <v>143</v>
      </c>
      <c r="U4" s="6" t="s">
        <v>117</v>
      </c>
      <c r="V4" s="6" t="s">
        <v>132</v>
      </c>
      <c r="W4" s="6" t="s">
        <v>133</v>
      </c>
      <c r="X4" s="6" t="s">
        <v>134</v>
      </c>
      <c r="Y4" s="6">
        <v>2019.0</v>
      </c>
      <c r="Z4" s="6" t="s">
        <v>135</v>
      </c>
      <c r="AA4" s="6">
        <v>2498.0</v>
      </c>
      <c r="AB4" s="6">
        <v>12.0</v>
      </c>
      <c r="AC4" s="6">
        <v>8.0</v>
      </c>
      <c r="AD4" s="9">
        <v>279652.17</v>
      </c>
      <c r="AE4" s="9">
        <v>52288.09</v>
      </c>
      <c r="AF4" s="10">
        <v>0.19</v>
      </c>
      <c r="AG4" s="9">
        <v>37811.82</v>
      </c>
      <c r="AH4" s="9">
        <v>1466.0</v>
      </c>
      <c r="AI4" s="6">
        <v>7.75</v>
      </c>
      <c r="AJ4" s="9">
        <v>115469.58</v>
      </c>
      <c r="AK4" s="6">
        <v>98.98</v>
      </c>
      <c r="AL4" s="8">
        <v>43917.0</v>
      </c>
      <c r="AM4" s="8">
        <v>45743.0</v>
      </c>
      <c r="AN4" s="6">
        <v>60.0</v>
      </c>
      <c r="AO4" s="6">
        <v>3000.0</v>
      </c>
      <c r="AP4" s="6">
        <v>151634.0</v>
      </c>
      <c r="AQ4" s="8">
        <v>45930.0</v>
      </c>
      <c r="AR4" s="6">
        <v>149951.0</v>
      </c>
      <c r="AS4" s="6">
        <v>151945.0</v>
      </c>
      <c r="AT4" s="6">
        <v>1994.0</v>
      </c>
      <c r="AU4" s="6">
        <v>151857.0</v>
      </c>
      <c r="AV4" s="6">
        <v>2267.0</v>
      </c>
      <c r="AW4" s="9">
        <v>3203.39</v>
      </c>
      <c r="AX4" s="9">
        <v>2068.0</v>
      </c>
      <c r="AY4" s="9">
        <v>106.88</v>
      </c>
      <c r="AZ4" s="9">
        <v>581.1</v>
      </c>
      <c r="BA4" s="9">
        <v>533.83</v>
      </c>
      <c r="BB4" s="9">
        <v>6493.2</v>
      </c>
      <c r="BC4" s="9">
        <v>973.98</v>
      </c>
      <c r="BD4" s="9">
        <v>7467.18</v>
      </c>
      <c r="BE4" s="8">
        <v>45748.0</v>
      </c>
      <c r="BF4" s="8">
        <v>45838.0</v>
      </c>
      <c r="BG4" s="6">
        <v>147088.0</v>
      </c>
      <c r="BH4" s="6">
        <v>151945.0</v>
      </c>
      <c r="BI4" s="6">
        <v>4857.0</v>
      </c>
      <c r="BJ4" s="6">
        <v>9000.0</v>
      </c>
      <c r="BK4" s="6">
        <v>-4143.0</v>
      </c>
      <c r="BL4" s="9">
        <v>0.79</v>
      </c>
      <c r="BM4" s="9">
        <v>1.19</v>
      </c>
      <c r="BN4" s="9">
        <v>0.0</v>
      </c>
      <c r="BO4" s="9">
        <v>0.0</v>
      </c>
      <c r="BP4" s="9">
        <v>0.0</v>
      </c>
      <c r="BQ4" s="9">
        <v>-428.8</v>
      </c>
      <c r="BR4" s="9">
        <v>0.0</v>
      </c>
      <c r="BS4" s="9">
        <v>0.0</v>
      </c>
      <c r="BT4" s="9">
        <v>0.0</v>
      </c>
      <c r="BU4" s="9">
        <v>0.0</v>
      </c>
      <c r="BV4" s="9">
        <v>0.0</v>
      </c>
      <c r="BW4" s="9">
        <v>0.0</v>
      </c>
      <c r="BX4" s="9">
        <v>0.0</v>
      </c>
      <c r="BY4" s="9">
        <v>5962.26</v>
      </c>
      <c r="BZ4" s="6">
        <v>0.0</v>
      </c>
      <c r="CA4" s="9">
        <v>0.0</v>
      </c>
      <c r="CB4" s="6">
        <v>0.0</v>
      </c>
      <c r="CC4" s="9">
        <v>0.0</v>
      </c>
      <c r="CD4" s="9">
        <v>0.0</v>
      </c>
      <c r="CE4" s="9">
        <v>0.0</v>
      </c>
      <c r="CF4" s="9">
        <v>0.0</v>
      </c>
      <c r="CG4" s="9">
        <v>0.0</v>
      </c>
      <c r="CH4" s="9">
        <v>4179.71</v>
      </c>
      <c r="CI4" s="9">
        <v>545.18</v>
      </c>
      <c r="CJ4" s="9">
        <v>3634.53</v>
      </c>
      <c r="CK4" s="9">
        <v>1.82</v>
      </c>
      <c r="CL4" s="6">
        <v>0.0</v>
      </c>
      <c r="CM4" s="6">
        <v>0.0</v>
      </c>
      <c r="CN4" s="6">
        <v>0.0</v>
      </c>
      <c r="CO4" s="6">
        <v>99.6323</v>
      </c>
      <c r="CP4" s="8"/>
      <c r="CQ4" s="6">
        <v>0.0</v>
      </c>
      <c r="CR4" s="6">
        <v>0.0</v>
      </c>
      <c r="CS4" s="6">
        <v>0.0</v>
      </c>
      <c r="CT4" s="6">
        <v>-40143.0</v>
      </c>
      <c r="CU4" s="8">
        <v>45808.0</v>
      </c>
      <c r="CV4" s="8">
        <v>45808.0</v>
      </c>
      <c r="CW4" s="6">
        <v>151722.0</v>
      </c>
      <c r="CX4" s="6" t="s">
        <v>122</v>
      </c>
      <c r="CY4" s="6" t="s">
        <v>123</v>
      </c>
      <c r="CZ4" s="9">
        <v>3924.36</v>
      </c>
      <c r="DA4" s="9">
        <v>2576.6</v>
      </c>
      <c r="DB4" s="9">
        <v>-27866.48</v>
      </c>
      <c r="DC4" s="9">
        <v>0.69</v>
      </c>
      <c r="DD4" s="9">
        <v>-2858.67</v>
      </c>
      <c r="DE4" s="9">
        <v>-3287.47</v>
      </c>
      <c r="DF4" s="11"/>
    </row>
    <row r="5" ht="13.5" customHeight="1">
      <c r="A5" s="6" t="s">
        <v>144</v>
      </c>
      <c r="B5" s="7">
        <v>43831.0</v>
      </c>
      <c r="C5" s="6" t="s">
        <v>109</v>
      </c>
      <c r="D5" s="6" t="s">
        <v>110</v>
      </c>
      <c r="E5" s="6" t="s">
        <v>111</v>
      </c>
      <c r="F5" s="6" t="s">
        <v>127</v>
      </c>
      <c r="G5" s="6" t="s">
        <v>128</v>
      </c>
      <c r="H5" s="6" t="s">
        <v>114</v>
      </c>
      <c r="I5" s="8">
        <v>43834.0</v>
      </c>
      <c r="J5" s="8">
        <v>43840.0</v>
      </c>
      <c r="K5" s="6">
        <f t="shared" si="1"/>
        <v>6</v>
      </c>
      <c r="L5" s="6">
        <v>1.0</v>
      </c>
      <c r="M5" s="6">
        <f t="shared" si="2"/>
        <v>5</v>
      </c>
      <c r="N5" s="8">
        <v>43848.0</v>
      </c>
      <c r="O5" s="8">
        <v>44040.0</v>
      </c>
      <c r="P5" s="6">
        <f t="shared" si="3"/>
        <v>192</v>
      </c>
      <c r="Q5" s="6">
        <v>90.0</v>
      </c>
      <c r="R5" s="6">
        <f t="shared" si="4"/>
        <v>102</v>
      </c>
      <c r="S5" s="6" t="s">
        <v>145</v>
      </c>
      <c r="T5" s="6" t="s">
        <v>146</v>
      </c>
      <c r="U5" s="6" t="s">
        <v>117</v>
      </c>
      <c r="V5" s="6" t="s">
        <v>147</v>
      </c>
      <c r="W5" s="6" t="s">
        <v>133</v>
      </c>
      <c r="X5" s="6" t="s">
        <v>148</v>
      </c>
      <c r="Y5" s="6">
        <v>2019.0</v>
      </c>
      <c r="Z5" s="6" t="s">
        <v>135</v>
      </c>
      <c r="AA5" s="6">
        <v>2498.0</v>
      </c>
      <c r="AB5" s="6">
        <v>12.0</v>
      </c>
      <c r="AC5" s="6">
        <v>10.0</v>
      </c>
      <c r="AD5" s="9">
        <v>323947.37</v>
      </c>
      <c r="AE5" s="9">
        <v>38803.67</v>
      </c>
      <c r="AF5" s="10">
        <v>0.12</v>
      </c>
      <c r="AG5" s="9">
        <v>18702.72</v>
      </c>
      <c r="AH5" s="9">
        <v>1646.0</v>
      </c>
      <c r="AI5" s="6">
        <v>7.75</v>
      </c>
      <c r="AJ5" s="9"/>
      <c r="AK5" s="6"/>
      <c r="AL5" s="8">
        <v>44040.0</v>
      </c>
      <c r="AM5" s="8">
        <v>45866.0</v>
      </c>
      <c r="AN5" s="6">
        <v>60.0</v>
      </c>
      <c r="AO5" s="6">
        <v>2500.0</v>
      </c>
      <c r="AP5" s="6">
        <v>186410.0</v>
      </c>
      <c r="AQ5" s="8">
        <v>45930.0</v>
      </c>
      <c r="AR5" s="6">
        <v>176763.0</v>
      </c>
      <c r="AS5" s="6">
        <v>186447.0</v>
      </c>
      <c r="AT5" s="6">
        <v>9684.0</v>
      </c>
      <c r="AU5" s="6">
        <v>186410.0</v>
      </c>
      <c r="AV5" s="6">
        <v>2913.0</v>
      </c>
      <c r="AW5" s="9">
        <v>2529.37</v>
      </c>
      <c r="AX5" s="9">
        <v>1951.0</v>
      </c>
      <c r="AY5" s="9">
        <v>97.35</v>
      </c>
      <c r="AZ5" s="9">
        <v>581.1</v>
      </c>
      <c r="BA5" s="9">
        <v>922.75</v>
      </c>
      <c r="BB5" s="9">
        <v>6081.57</v>
      </c>
      <c r="BC5" s="9">
        <v>912.24</v>
      </c>
      <c r="BD5" s="9">
        <v>6993.81</v>
      </c>
      <c r="BE5" s="8">
        <v>45748.0</v>
      </c>
      <c r="BF5" s="8">
        <v>45834.0</v>
      </c>
      <c r="BG5" s="6">
        <v>173188.0</v>
      </c>
      <c r="BH5" s="6">
        <v>186447.0</v>
      </c>
      <c r="BI5" s="6">
        <v>13259.0</v>
      </c>
      <c r="BJ5" s="6">
        <v>7500.0</v>
      </c>
      <c r="BK5" s="6">
        <v>5759.0</v>
      </c>
      <c r="BL5" s="9">
        <v>0.89</v>
      </c>
      <c r="BM5" s="9">
        <v>1.36</v>
      </c>
      <c r="BN5" s="9">
        <v>5125.51</v>
      </c>
      <c r="BO5" s="9">
        <v>7832.24</v>
      </c>
      <c r="BP5" s="9">
        <v>12957.75</v>
      </c>
      <c r="BQ5" s="9">
        <v>1943.66</v>
      </c>
      <c r="BR5" s="9">
        <v>14901.41</v>
      </c>
      <c r="BS5" s="9">
        <v>0.0</v>
      </c>
      <c r="BT5" s="9">
        <v>0.0</v>
      </c>
      <c r="BU5" s="9">
        <v>0.0</v>
      </c>
      <c r="BV5" s="9">
        <v>0.0</v>
      </c>
      <c r="BW5" s="9">
        <v>0.0</v>
      </c>
      <c r="BX5" s="9">
        <v>0.0</v>
      </c>
      <c r="BY5" s="9">
        <v>8829.38</v>
      </c>
      <c r="BZ5" s="6">
        <v>0.0</v>
      </c>
      <c r="CA5" s="9">
        <v>0.0</v>
      </c>
      <c r="CB5" s="6">
        <v>0.0</v>
      </c>
      <c r="CC5" s="9">
        <v>0.0</v>
      </c>
      <c r="CD5" s="9">
        <v>0.0</v>
      </c>
      <c r="CE5" s="9">
        <v>0.0</v>
      </c>
      <c r="CF5" s="9">
        <v>0.0</v>
      </c>
      <c r="CG5" s="9">
        <v>0.0</v>
      </c>
      <c r="CH5" s="9">
        <v>21895.22</v>
      </c>
      <c r="CI5" s="9">
        <v>2855.9</v>
      </c>
      <c r="CJ5" s="9">
        <v>19039.32</v>
      </c>
      <c r="CK5" s="9">
        <v>1.97</v>
      </c>
      <c r="CL5" s="6">
        <v>0.0</v>
      </c>
      <c r="CM5" s="6">
        <v>0.0</v>
      </c>
      <c r="CN5" s="6">
        <v>0.0</v>
      </c>
      <c r="CO5" s="6">
        <v>84.2391</v>
      </c>
      <c r="CP5" s="8"/>
      <c r="CQ5" s="6">
        <v>0.0</v>
      </c>
      <c r="CR5" s="6">
        <v>0.0</v>
      </c>
      <c r="CS5" s="6">
        <v>0.0</v>
      </c>
      <c r="CT5" s="6">
        <v>23910.0</v>
      </c>
      <c r="CU5" s="8">
        <v>45834.0</v>
      </c>
      <c r="CV5" s="8">
        <v>45834.0</v>
      </c>
      <c r="CW5" s="6">
        <v>186447.0</v>
      </c>
      <c r="CX5" s="6" t="s">
        <v>122</v>
      </c>
      <c r="CY5" s="6" t="s">
        <v>123</v>
      </c>
      <c r="CZ5" s="9">
        <v>38484.78</v>
      </c>
      <c r="DA5" s="9">
        <v>30354.48</v>
      </c>
      <c r="DB5" s="9">
        <v>-8261.8</v>
      </c>
      <c r="DC5" s="9">
        <v>0.78</v>
      </c>
      <c r="DD5" s="9">
        <v>0.0</v>
      </c>
      <c r="DE5" s="9">
        <v>0.0</v>
      </c>
      <c r="DF5" s="11"/>
    </row>
  </sheetData>
  <autoFilter ref="$A$1:$DE$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2025-07-02T08:23:36Z</dcterms:created>
  <dc:creator>Gregory Bogopane</dc:creator>
</cp:coreProperties>
</file>