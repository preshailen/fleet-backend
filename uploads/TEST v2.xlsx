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net\KHFAIPF\CIS REPORT\"/>
    </mc:Choice>
  </mc:AlternateContent>
  <xr:revisionPtr revIDLastSave="0" documentId="13_ncr:1_{D73AD4D8-D26A-4027-A406-A3CEE7707299}" xr6:coauthVersionLast="47" xr6:coauthVersionMax="47" xr10:uidLastSave="{00000000-0000-0000-0000-000000000000}"/>
  <bookViews>
    <workbookView xWindow="-110" yWindow="-110" windowWidth="19420" windowHeight="10300" xr2:uid="{4AEE9391-9BE2-426E-A58E-28DD2E45B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1" l="1"/>
  <c r="R10" i="1"/>
  <c r="R9" i="1"/>
  <c r="R8" i="1"/>
  <c r="R7" i="1"/>
  <c r="R6" i="1"/>
  <c r="R5" i="1"/>
  <c r="R4" i="1"/>
  <c r="R3" i="1"/>
  <c r="R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<sst xmlns="http://schemas.openxmlformats.org/spreadsheetml/2006/main" count="277" uniqueCount="203">
  <si>
    <t>Company Name</t>
  </si>
  <si>
    <t>Month</t>
  </si>
  <si>
    <t>Business Unit</t>
  </si>
  <si>
    <t>Division/Depot</t>
  </si>
  <si>
    <t>Cost Centre</t>
  </si>
  <si>
    <t>Location</t>
  </si>
  <si>
    <t>Account No</t>
  </si>
  <si>
    <t>RFQ Received Date</t>
  </si>
  <si>
    <t>Quote Sent Date</t>
  </si>
  <si>
    <t>Vehicle Delivery Date</t>
  </si>
  <si>
    <t>Reg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</si>
  <si>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</si>
  <si>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</si>
  <si>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</si>
  <si>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</si>
  <si>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</si>
  <si>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</si>
  <si>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</si>
  <si>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</si>
  <si>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</si>
  <si>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</si>
  <si>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</si>
  <si>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</si>
  <si>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</si>
  <si>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</si>
  <si>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</si>
  <si>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</si>
  <si>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</si>
  <si>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</si>
  <si>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</si>
  <si>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</si>
  <si>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</si>
  <si>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</si>
  <si>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</si>
  <si>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</si>
  <si>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</si>
  <si>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</si>
  <si>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</si>
  <si>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</si>
  <si>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</si>
  <si>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</si>
  <si>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</si>
  <si>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</si>
  <si>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</si>
  <si>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</si>
  <si>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</si>
  <si>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</si>
  <si>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</si>
  <si>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</si>
  <si>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</si>
  <si>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</si>
  <si>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</si>
  <si>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</si>
  <si>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</si>
  <si>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</si>
  <si>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</si>
  <si>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</si>
  <si>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</si>
  <si>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</si>
  <si>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</si>
  <si>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</si>
  <si>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</si>
  <si>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</si>
  <si>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</si>
  <si>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</si>
  <si>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</si>
  <si>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</si>
  <si>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</si>
  <si>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</si>
  <si>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</si>
  <si>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</si>
  <si>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</si>
  <si>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</si>
  <si>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</si>
  <si>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</si>
  <si>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</si>
  <si>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</si>
  <si>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</si>
  <si>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</si>
  <si>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</si>
  <si>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</si>
  <si>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</si>
  <si>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</si>
  <si>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</si>
  <si>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</si>
  <si>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</si>
  <si>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</si>
  <si>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</si>
  <si>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</si>
  <si>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</si>
  <si>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CLO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</si>
  <si>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</si>
  <si>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</si>
  <si>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</si>
  <si>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</si>
  <si>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</si>
  <si>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</si>
  <si>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Company A</t>
  </si>
  <si>
    <t>June 2025</t>
  </si>
  <si>
    <t>HALF TON LDV</t>
  </si>
  <si>
    <t>NISSAN</t>
  </si>
  <si>
    <t>NP200 1.6 8V AC SAFETY PACK</t>
  </si>
  <si>
    <t>PETROL</t>
  </si>
  <si>
    <t>Active</t>
  </si>
  <si>
    <t>ONE TON LDV SINGLE CAB</t>
  </si>
  <si>
    <t>ISUZU</t>
  </si>
  <si>
    <t>KB 250 D-TEQ FLEETSIDE (SAFETY)</t>
  </si>
  <si>
    <t>DIESEL</t>
  </si>
  <si>
    <t>ONE TON LDV DOUBLE CAB</t>
  </si>
  <si>
    <t>KB 250 D-TEQ HI-RIDER D/CAB</t>
  </si>
  <si>
    <t>D-MAX 250 HO FLEETSIDE (SAFETY)</t>
  </si>
  <si>
    <t>D-MAX 250 HO HI-RIDER D/CAB</t>
  </si>
  <si>
    <t>Business Unit 1</t>
  </si>
  <si>
    <t>Business Unit 2</t>
  </si>
  <si>
    <t>Business Unit 3</t>
  </si>
  <si>
    <t>Business Unit 4</t>
  </si>
  <si>
    <t>Business Unit 5</t>
  </si>
  <si>
    <t>Business Unit 6</t>
  </si>
  <si>
    <t>Business Unit 7</t>
  </si>
  <si>
    <t>Business Unit 8</t>
  </si>
  <si>
    <t>Business Unit 9</t>
  </si>
  <si>
    <t>Business Unit 10</t>
  </si>
  <si>
    <t>Division 1</t>
  </si>
  <si>
    <t>Division 2</t>
  </si>
  <si>
    <t>Division 3</t>
  </si>
  <si>
    <t>Division 4</t>
  </si>
  <si>
    <t>Division 5</t>
  </si>
  <si>
    <t>Division 6</t>
  </si>
  <si>
    <t>Division 7</t>
  </si>
  <si>
    <t>Division 8</t>
  </si>
  <si>
    <t>Division 9</t>
  </si>
  <si>
    <t>Division 10</t>
  </si>
  <si>
    <t>Cost centre 1</t>
  </si>
  <si>
    <t>Cost centre 2</t>
  </si>
  <si>
    <t>Cost centre 3</t>
  </si>
  <si>
    <t>Cost centre 4</t>
  </si>
  <si>
    <t>Cost centre 5</t>
  </si>
  <si>
    <t>Cost centre 6</t>
  </si>
  <si>
    <t>Cost centre 7</t>
  </si>
  <si>
    <t>Cost centre 8</t>
  </si>
  <si>
    <t>Cost centre 9</t>
  </si>
  <si>
    <t>Cost centre 10</t>
  </si>
  <si>
    <t>Location 1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</si>
  <si>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</si>
  <si>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</si>
  <si>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</si>
  <si>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</si>
  <si>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</si>
  <si>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</si>
  <si>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</si>
  <si>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</si>
  <si>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</si>
  <si>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Province</t>
  </si>
  <si>
    <t>Province 1</t>
  </si>
  <si>
    <t>Province 2</t>
  </si>
  <si>
    <t>Province 3</t>
  </si>
  <si>
    <t>Province 4</t>
  </si>
  <si>
    <t>Province 5</t>
  </si>
  <si>
    <t>Province 6</t>
  </si>
  <si>
    <t>Province 7</t>
  </si>
  <si>
    <t>Province 8</t>
  </si>
  <si>
    <t>Province 9</t>
  </si>
  <si>
    <t>Province 10</t>
  </si>
  <si>
    <t>Account 1`</t>
  </si>
  <si>
    <t>Responsible Manager</t>
  </si>
  <si>
    <t>Responsible 1</t>
  </si>
  <si>
    <t>Responsible 2</t>
  </si>
  <si>
    <t>Responsible 3</t>
  </si>
  <si>
    <t>Responsible 4</t>
  </si>
  <si>
    <t>Responsible 5</t>
  </si>
  <si>
    <t>Responsible 6</t>
  </si>
  <si>
    <t>Responsible 7</t>
  </si>
  <si>
    <t>Responsible 8</t>
  </si>
  <si>
    <t>Responsible 9</t>
  </si>
  <si>
    <t>Responsible 10</t>
  </si>
  <si>
    <t>Actual Days to Quote</t>
  </si>
  <si>
    <t>Target Days to Quote</t>
  </si>
  <si>
    <t>Lead Time to quote</t>
  </si>
  <si>
    <t>Approval of Quote Date</t>
  </si>
  <si>
    <t>Target Days to deliver</t>
  </si>
  <si>
    <t>Delivery Lead time</t>
  </si>
  <si>
    <t>Long Term</t>
  </si>
  <si>
    <t>Short term</t>
  </si>
  <si>
    <t>Reg 001</t>
  </si>
  <si>
    <t>Reg 002</t>
  </si>
  <si>
    <t>Reg 003</t>
  </si>
  <si>
    <t>Reg 004</t>
  </si>
  <si>
    <t>Reg 005</t>
  </si>
  <si>
    <t>Reg 006</t>
  </si>
  <si>
    <t>Reg 007</t>
  </si>
  <si>
    <t>Reg 008</t>
  </si>
  <si>
    <t>Reg 009</t>
  </si>
  <si>
    <t>Reg 010</t>
  </si>
  <si>
    <t>CLO 1</t>
  </si>
  <si>
    <t>CLO 2</t>
  </si>
  <si>
    <t>CLO 3</t>
  </si>
  <si>
    <t>CLO 4</t>
  </si>
  <si>
    <t>CLO 5</t>
  </si>
  <si>
    <t>CLO 6</t>
  </si>
  <si>
    <t>CLO 7</t>
  </si>
  <si>
    <t>CLO 8</t>
  </si>
  <si>
    <t>CLO 9</t>
  </si>
  <si>
    <t>CLO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</si>
</sst>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yyyy"/>
    <numFmt numFmtId="171" formatCode="_-[$R-1C09]* #,##0.00_-;\-[$R-1C09]* #,##0.00_-;_-[$R-1C09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b/>
      <sz val="8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0" fillId="0" borderId="0" xfId="0" quotePrefix="1" applyNumberFormat="1"/>
    <xf numFmtId="14" fontId="0" fillId="0" borderId="0" xfId="0" applyNumberFormat="1"/>
    <xf numFmtId="44" fontId="0" fillId="0" borderId="0" xfId="2" applyFont="1"/>
    <xf numFmtId="171" fontId="2" fillId="2" borderId="1" xfId="0" applyNumberFormat="1" applyFont="1" applyFill="1" applyBorder="1" applyAlignment="1">
      <alignment horizontal="center" vertical="center" wrapText="1"/>
    </xf>
    <xf numFmtId="171" fontId="0" fillId="0" borderId="0" xfId="2" applyNumberFormat="1" applyFont="1"/>
    <xf numFmtId="171" fontId="0" fillId="0" borderId="0" xfId="0" applyNumberFormat="1"/>
    <xf numFmtId="9" fontId="2" fillId="2" borderId="1" xfId="3" applyFont="1" applyFill="1" applyBorder="1" applyAlignment="1">
      <alignment horizontal="center" vertical="center" wrapText="1"/>
    </xf>
    <xf numFmtId="9" fontId="0" fillId="0" borderId="0" xfId="3" applyFont="1"/>
    <xf numFmtId="2" fontId="2" fillId="2" borderId="1" xfId="0" applyNumberFormat="1" applyFont="1" applyFill="1" applyBorder="1" applyAlignment="1">
      <alignment horizontal="center" vertical="center" wrapText="1"/>
    </xf>
    <xf numFmtId="2" fontId="0" fillId="0" borderId="0" xfId="2" applyNumberFormat="1" applyFont="1"/>
    <xf numFmtId="2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4F48-395C-4242-B092-43C621816CDA}">
  <dimension ref="A1:DC11"/>
  <sheetViews>
    <sheetView tabSelected="1" workbookViewId="0"/>
  </sheetViews>
  <sheetFormatPr defaultRowHeight="14.5" x14ac:dyDescent="0.35"/>
  <cols>
    <col min="1" max="1" width="9.90625" bestFit="1" customWidth="1"/>
    <col min="2" max="2" width="8.81640625" bestFit="1" customWidth="1"/>
    <col min="3" max="3" width="14.26953125" bestFit="1" customWidth="1"/>
    <col min="4" max="4" width="13.453125" bestFit="1" customWidth="1"/>
    <col min="5" max="5" width="12.6328125" bestFit="1" customWidth="1"/>
    <col min="6" max="7" width="10.1796875" bestFit="1" customWidth="1"/>
    <col min="8" max="8" width="9.90625" bestFit="1" customWidth="1"/>
    <col min="9" max="9" width="18.81640625" bestFit="1" customWidth="1"/>
    <col min="10" max="10" width="16.7265625" style="7" bestFit="1" customWidth="1"/>
    <col min="11" max="11" width="9.08984375" bestFit="1" customWidth="1"/>
    <col min="12" max="14" width="6.90625" bestFit="1" customWidth="1"/>
    <col min="15" max="15" width="9.08984375" bestFit="1" customWidth="1"/>
    <col min="16" max="16" width="6.90625" bestFit="1" customWidth="1"/>
    <col min="17" max="17" width="9.08984375" bestFit="1" customWidth="1"/>
    <col min="18" max="18" width="7.6328125" bestFit="1" customWidth="1"/>
    <col min="19" max="19" width="7.1796875" bestFit="1" customWidth="1"/>
    <col min="20" max="20" width="9.26953125" bestFit="1" customWidth="1"/>
    <col min="21" max="21" width="23.36328125" bestFit="1" customWidth="1"/>
    <col min="22" max="22" width="6.90625" bestFit="1" customWidth="1"/>
    <col min="23" max="23" width="29.6328125" bestFit="1" customWidth="1"/>
    <col min="24" max="24" width="4.81640625" bestFit="1" customWidth="1"/>
    <col min="26" max="26" width="8.26953125" bestFit="1" customWidth="1"/>
    <col min="27" max="27" width="12.1796875" style="11" bestFit="1" customWidth="1"/>
    <col min="28" max="28" width="11.1796875" style="11" bestFit="1" customWidth="1"/>
    <col min="29" max="29" width="8.36328125" style="13" bestFit="1" customWidth="1"/>
    <col min="30" max="30" width="11.1796875" bestFit="1" customWidth="1"/>
    <col min="31" max="31" width="10.1796875" bestFit="1" customWidth="1"/>
    <col min="32" max="32" width="7.26953125" bestFit="1" customWidth="1"/>
    <col min="33" max="33" width="12.1796875" bestFit="1" customWidth="1"/>
    <col min="34" max="34" width="5.81640625" bestFit="1" customWidth="1"/>
    <col min="35" max="35" width="9.08984375" bestFit="1" customWidth="1"/>
    <col min="36" max="36" width="10.08984375" bestFit="1" customWidth="1"/>
    <col min="37" max="37" width="8.08984375" bestFit="1" customWidth="1"/>
    <col min="38" max="38" width="8.453125" bestFit="1" customWidth="1"/>
    <col min="39" max="39" width="8.08984375" bestFit="1" customWidth="1"/>
    <col min="40" max="40" width="10.08984375" bestFit="1" customWidth="1"/>
    <col min="41" max="41" width="8.54296875" bestFit="1" customWidth="1"/>
    <col min="42" max="42" width="7.7265625" bestFit="1" customWidth="1"/>
    <col min="43" max="44" width="8.453125" bestFit="1" customWidth="1"/>
    <col min="45" max="45" width="7.36328125" bestFit="1" customWidth="1"/>
    <col min="46" max="47" width="10.1796875" bestFit="1" customWidth="1"/>
    <col min="48" max="49" width="8.6328125" bestFit="1" customWidth="1"/>
    <col min="50" max="53" width="10.1796875" bestFit="1" customWidth="1"/>
    <col min="54" max="54" width="8.08984375" bestFit="1" customWidth="1"/>
    <col min="55" max="55" width="9.08984375" bestFit="1" customWidth="1"/>
    <col min="56" max="57" width="8.54296875" bestFit="1" customWidth="1"/>
    <col min="58" max="58" width="8.453125" bestFit="1" customWidth="1"/>
    <col min="59" max="59" width="7.453125" bestFit="1" customWidth="1"/>
    <col min="60" max="60" width="8.453125" bestFit="1" customWidth="1"/>
    <col min="61" max="61" width="8.54296875" bestFit="1" customWidth="1"/>
    <col min="62" max="62" width="8.1796875" bestFit="1" customWidth="1"/>
    <col min="63" max="64" width="10.1796875" bestFit="1" customWidth="1"/>
    <col min="65" max="65" width="11.1796875" bestFit="1" customWidth="1"/>
    <col min="66" max="66" width="10.1796875" bestFit="1" customWidth="1"/>
    <col min="67" max="68" width="11.1796875" bestFit="1" customWidth="1"/>
    <col min="69" max="69" width="8.26953125" bestFit="1" customWidth="1"/>
    <col min="70" max="70" width="7.7265625" style="16" bestFit="1" customWidth="1"/>
    <col min="71" max="71" width="10.26953125" bestFit="1" customWidth="1"/>
    <col min="72" max="72" width="7.90625" bestFit="1" customWidth="1"/>
    <col min="73" max="73" width="8.08984375" bestFit="1" customWidth="1"/>
    <col min="74" max="74" width="5.7265625" bestFit="1" customWidth="1"/>
    <col min="75" max="75" width="10.1796875" bestFit="1" customWidth="1"/>
    <col min="76" max="76" width="6.36328125" style="16" bestFit="1" customWidth="1"/>
    <col min="77" max="77" width="7.36328125" bestFit="1" customWidth="1"/>
    <col min="78" max="78" width="8.1796875" bestFit="1" customWidth="1"/>
    <col min="79" max="80" width="7.54296875" bestFit="1" customWidth="1"/>
    <col min="81" max="81" width="11.1796875" bestFit="1" customWidth="1"/>
    <col min="82" max="82" width="10.1796875" bestFit="1" customWidth="1"/>
    <col min="83" max="84" width="11.1796875" bestFit="1" customWidth="1"/>
    <col min="85" max="85" width="10.1796875" bestFit="1" customWidth="1"/>
    <col min="86" max="87" width="11.1796875" bestFit="1" customWidth="1"/>
    <col min="88" max="88" width="8.6328125" bestFit="1" customWidth="1"/>
    <col min="89" max="89" width="8.26953125" bestFit="1" customWidth="1"/>
    <col min="90" max="91" width="8.6328125" bestFit="1" customWidth="1"/>
    <col min="92" max="92" width="8.26953125" bestFit="1" customWidth="1"/>
    <col min="93" max="93" width="8.08984375" bestFit="1" customWidth="1"/>
    <col min="94" max="94" width="8.453125" bestFit="1" customWidth="1"/>
    <col min="95" max="95" width="7.90625" bestFit="1" customWidth="1"/>
    <col min="96" max="96" width="8" bestFit="1" customWidth="1"/>
    <col min="97" max="98" width="10.08984375" bestFit="1" customWidth="1"/>
    <col min="99" max="99" width="8.1796875" bestFit="1" customWidth="1"/>
    <col min="100" max="100" width="6.1796875" bestFit="1" customWidth="1"/>
    <col min="101" max="101" width="21.54296875" bestFit="1" customWidth="1"/>
    <col min="102" max="103" width="11.1796875" bestFit="1" customWidth="1"/>
    <col min="104" max="104" width="11.81640625" bestFit="1" customWidth="1"/>
    <col min="105" max="105" width="6.7265625" bestFit="1" customWidth="1"/>
    <col min="106" max="107" width="10.81640625" bestFit="1" customWidth="1"/>
  </cols>
  <sheetData>
    <row r="1" spans="1:107" ht="8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152</v>
      </c>
      <c r="H1" s="1" t="s">
        <v>6</v>
      </c>
      <c r="I1" s="1" t="s">
        <v>164</v>
      </c>
      <c r="J1" s="3" t="s">
        <v>7</v>
      </c>
      <c r="K1" s="1" t="s">
        <v>8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3" t="s">
        <v>9</v>
      </c>
      <c r="R1" s="1" t="s">
        <v>180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9" t="s">
        <v>19</v>
      </c>
      <c r="AB1" s="9" t="s">
        <v>20</v>
      </c>
      <c r="AC1" s="12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3" t="s">
        <v>27</v>
      </c>
      <c r="AJ1" s="3" t="s">
        <v>28</v>
      </c>
      <c r="AK1" s="1" t="s">
        <v>29</v>
      </c>
      <c r="AL1" s="1" t="s">
        <v>30</v>
      </c>
      <c r="AM1" s="1" t="s">
        <v>31</v>
      </c>
      <c r="AN1" s="3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3" t="s">
        <v>46</v>
      </c>
      <c r="BC1" s="3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44</v>
      </c>
      <c r="BO1" s="1" t="s">
        <v>58</v>
      </c>
      <c r="BP1" s="1" t="s">
        <v>59</v>
      </c>
      <c r="BQ1" s="1" t="s">
        <v>60</v>
      </c>
      <c r="BR1" s="14" t="s">
        <v>18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4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44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3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3" t="s">
        <v>86</v>
      </c>
      <c r="CT1" s="1" t="s">
        <v>87</v>
      </c>
      <c r="CU1" s="1" t="s">
        <v>88</v>
      </c>
      <c r="CV1" s="1" t="s">
        <v>89</v>
      </c>
      <c r="CW1" s="1" t="s">
        <v>90</v>
      </c>
      <c r="CX1" s="1" t="s">
        <v>91</v>
      </c>
      <c r="CY1" s="1" t="s">
        <v>92</v>
      </c>
      <c r="CZ1" s="4" t="s">
        <v>93</v>
      </c>
      <c r="DA1" s="5" t="s">
        <v>94</v>
      </c>
      <c r="DB1" s="4" t="s">
        <v>95</v>
      </c>
      <c r="DC1" s="4" t="s">
        <v>96</v>
      </c>
    </row>
    <row r="2" spans="1:107" x14ac:dyDescent="0.35">
      <c r="A2" t="s">
        <v>97</v>
      </c>
      <c r="B2" s="6" t="s">
        <v>98</v>
      </c>
      <c r="C2" t="s">
        <v>112</v>
      </c>
      <c r="D2" t="s">
        <v>122</v>
      </c>
      <c r="E2" t="s">
        <v>132</v>
      </c>
      <c r="F2" t="s">
        <v>142</v>
      </c>
      <c r="G2" t="s">
        <v>153</v>
      </c>
      <c r="H2" t="s">
        <v>163</v>
      </c>
      <c r="I2" t="s">
        <v>165</v>
      </c>
      <c r="J2" s="7">
        <v>46023</v>
      </c>
      <c r="K2" s="7">
        <v>46024</v>
      </c>
      <c r="L2">
        <v>1</v>
      </c>
      <c r="M2">
        <v>1</v>
      </c>
      <c r="N2">
        <f>L2-M2</f>
        <v>0</v>
      </c>
      <c r="O2" s="7">
        <v>46032</v>
      </c>
      <c r="P2">
        <v>30</v>
      </c>
      <c r="Q2" s="7">
        <v>46053</v>
      </c>
      <c r="R2">
        <f>Q2-O2</f>
        <v>21</v>
      </c>
      <c r="S2" t="s">
        <v>183</v>
      </c>
      <c r="T2" t="s">
        <v>181</v>
      </c>
      <c r="U2" t="s">
        <v>99</v>
      </c>
      <c r="V2" t="s">
        <v>100</v>
      </c>
      <c r="W2" t="s">
        <v>101</v>
      </c>
      <c r="X2">
        <v>2026</v>
      </c>
      <c r="Y2" t="s">
        <v>102</v>
      </c>
      <c r="Z2">
        <v>1598</v>
      </c>
      <c r="AA2" s="10">
        <v>172956.52</v>
      </c>
      <c r="AB2" s="10">
        <v>45491.46</v>
      </c>
      <c r="AC2" s="13">
        <v>0.26</v>
      </c>
      <c r="AD2" s="10">
        <v>18280.53</v>
      </c>
      <c r="AE2" s="10">
        <v>584</v>
      </c>
      <c r="AF2">
        <v>5</v>
      </c>
      <c r="AG2" s="10">
        <v>72642</v>
      </c>
      <c r="AH2">
        <v>42</v>
      </c>
      <c r="AI2" s="7">
        <v>46054</v>
      </c>
      <c r="AJ2" s="7">
        <v>47879</v>
      </c>
      <c r="AK2">
        <v>60</v>
      </c>
      <c r="AL2">
        <v>1500</v>
      </c>
      <c r="AM2">
        <v>90000</v>
      </c>
      <c r="AN2" s="7">
        <v>46081</v>
      </c>
      <c r="AO2">
        <v>32857</v>
      </c>
      <c r="AP2">
        <v>33259</v>
      </c>
      <c r="AQ2">
        <v>402</v>
      </c>
      <c r="AR2">
        <v>31765</v>
      </c>
      <c r="AS2">
        <v>521</v>
      </c>
      <c r="AT2" s="10">
        <v>2588.2399999999998</v>
      </c>
      <c r="AU2" s="10">
        <v>566.41</v>
      </c>
      <c r="AV2" s="10">
        <v>51.41</v>
      </c>
      <c r="AW2" s="10">
        <v>300.83</v>
      </c>
      <c r="AX2" s="10">
        <v>1149.95</v>
      </c>
      <c r="AY2" s="10">
        <v>4656.84</v>
      </c>
      <c r="AZ2" s="10">
        <v>698.53</v>
      </c>
      <c r="BA2" s="10">
        <v>5355.37</v>
      </c>
      <c r="BB2" s="7">
        <v>45748</v>
      </c>
      <c r="BC2" s="7">
        <v>45838</v>
      </c>
      <c r="BD2">
        <v>30301</v>
      </c>
      <c r="BE2">
        <v>33259</v>
      </c>
      <c r="BF2">
        <v>2958</v>
      </c>
      <c r="BG2">
        <v>4500</v>
      </c>
      <c r="BH2">
        <v>-1542</v>
      </c>
      <c r="BI2" s="8">
        <v>0.44</v>
      </c>
      <c r="BJ2" s="8">
        <v>1.4</v>
      </c>
      <c r="BK2" s="10">
        <v>0</v>
      </c>
      <c r="BL2" s="10">
        <v>0</v>
      </c>
      <c r="BM2" s="10">
        <v>0</v>
      </c>
      <c r="BN2" s="10">
        <v>-87.89</v>
      </c>
      <c r="BO2" s="10">
        <v>0</v>
      </c>
      <c r="BP2" s="10">
        <v>0</v>
      </c>
      <c r="BQ2" s="10">
        <v>0</v>
      </c>
      <c r="BR2" s="15">
        <v>4</v>
      </c>
      <c r="BS2" s="10">
        <v>1500</v>
      </c>
      <c r="BT2" s="10">
        <v>0</v>
      </c>
      <c r="BU2" s="10">
        <v>0</v>
      </c>
      <c r="BV2" s="10">
        <v>0</v>
      </c>
      <c r="BW2" s="10">
        <v>1851.3</v>
      </c>
      <c r="BX2" s="15">
        <v>100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4681.5200000000004</v>
      </c>
      <c r="CG2" s="10">
        <v>610.64</v>
      </c>
      <c r="CH2" s="10">
        <v>4070.88</v>
      </c>
      <c r="CI2" s="10">
        <v>10.130000000000001</v>
      </c>
      <c r="CJ2">
        <v>0</v>
      </c>
      <c r="CK2">
        <v>0</v>
      </c>
      <c r="CL2">
        <v>0</v>
      </c>
      <c r="CM2">
        <v>89.705799999999996</v>
      </c>
      <c r="CN2" s="7"/>
      <c r="CO2">
        <v>0</v>
      </c>
      <c r="CP2">
        <v>0</v>
      </c>
      <c r="CQ2">
        <v>0</v>
      </c>
      <c r="CR2">
        <v>-59735</v>
      </c>
      <c r="CS2" s="7">
        <v>45808</v>
      </c>
      <c r="CT2" s="7">
        <v>45808</v>
      </c>
      <c r="CU2">
        <v>91494</v>
      </c>
      <c r="CV2" t="s">
        <v>103</v>
      </c>
      <c r="CW2" t="s">
        <v>193</v>
      </c>
      <c r="CX2" s="10">
        <v>142.80000000000001</v>
      </c>
      <c r="CY2" s="10">
        <v>462.4</v>
      </c>
      <c r="CZ2" s="10">
        <v>-20175.66</v>
      </c>
      <c r="DA2" s="10">
        <v>0.38</v>
      </c>
      <c r="DB2" s="10">
        <v>-585.96</v>
      </c>
      <c r="DC2" s="10">
        <v>-673.85</v>
      </c>
    </row>
    <row r="3" spans="1:107" x14ac:dyDescent="0.35">
      <c r="A3" t="s">
        <v>97</v>
      </c>
      <c r="B3" s="6" t="s">
        <v>98</v>
      </c>
      <c r="C3" t="s">
        <v>113</v>
      </c>
      <c r="D3" t="s">
        <v>123</v>
      </c>
      <c r="E3" t="s">
        <v>133</v>
      </c>
      <c r="F3" t="s">
        <v>143</v>
      </c>
      <c r="G3" t="s">
        <v>154</v>
      </c>
      <c r="H3" t="s">
        <v>163</v>
      </c>
      <c r="I3" t="s">
        <v>166</v>
      </c>
      <c r="J3" s="7">
        <v>46024</v>
      </c>
      <c r="K3" s="7">
        <v>46025</v>
      </c>
      <c r="L3">
        <v>1</v>
      </c>
      <c r="M3">
        <v>1</v>
      </c>
      <c r="N3">
        <f t="shared" ref="N3:N11" si="0">L3-M3</f>
        <v>0</v>
      </c>
      <c r="O3" s="7">
        <v>46033</v>
      </c>
      <c r="P3">
        <v>30</v>
      </c>
      <c r="Q3" s="7">
        <v>46054</v>
      </c>
      <c r="R3">
        <f t="shared" ref="R3:R11" si="1">Q3-O3</f>
        <v>21</v>
      </c>
      <c r="S3" t="s">
        <v>184</v>
      </c>
      <c r="T3" t="s">
        <v>182</v>
      </c>
      <c r="U3" t="s">
        <v>104</v>
      </c>
      <c r="V3" t="s">
        <v>105</v>
      </c>
      <c r="W3" t="s">
        <v>106</v>
      </c>
      <c r="X3">
        <v>2026</v>
      </c>
      <c r="Y3" t="s">
        <v>107</v>
      </c>
      <c r="Z3">
        <v>2498</v>
      </c>
      <c r="AA3" s="10">
        <v>172956.52</v>
      </c>
      <c r="AB3" s="10">
        <v>45491.46</v>
      </c>
      <c r="AC3" s="13">
        <v>0.19</v>
      </c>
      <c r="AD3" s="10">
        <v>18280.53</v>
      </c>
      <c r="AE3" s="10">
        <v>1466</v>
      </c>
      <c r="AF3">
        <v>5</v>
      </c>
      <c r="AG3" s="10">
        <v>72642</v>
      </c>
      <c r="AH3">
        <v>42</v>
      </c>
      <c r="AI3" s="7">
        <v>46055</v>
      </c>
      <c r="AJ3" s="7">
        <v>47880</v>
      </c>
      <c r="AK3">
        <v>60</v>
      </c>
      <c r="AL3">
        <v>2500</v>
      </c>
      <c r="AM3">
        <v>170148</v>
      </c>
      <c r="AN3" s="7">
        <v>45900</v>
      </c>
      <c r="AO3">
        <v>169892</v>
      </c>
      <c r="AP3">
        <v>170185</v>
      </c>
      <c r="AQ3">
        <v>293</v>
      </c>
      <c r="AR3">
        <v>170148</v>
      </c>
      <c r="AS3">
        <v>2540</v>
      </c>
      <c r="AT3" s="10">
        <v>3706.98</v>
      </c>
      <c r="AU3" s="10">
        <v>1730.7</v>
      </c>
      <c r="AV3" s="10">
        <v>80.849999999999994</v>
      </c>
      <c r="AW3" s="10">
        <v>581.1</v>
      </c>
      <c r="AX3" s="10">
        <v>533.83000000000004</v>
      </c>
      <c r="AY3" s="10">
        <v>6633.46</v>
      </c>
      <c r="AZ3" s="10">
        <v>995.02</v>
      </c>
      <c r="BA3" s="10">
        <v>7628.48</v>
      </c>
      <c r="BB3" s="7">
        <v>45748</v>
      </c>
      <c r="BC3" s="7">
        <v>45832</v>
      </c>
      <c r="BD3">
        <v>169870</v>
      </c>
      <c r="BE3">
        <v>170185</v>
      </c>
      <c r="BF3">
        <v>315</v>
      </c>
      <c r="BG3">
        <v>7500</v>
      </c>
      <c r="BH3">
        <v>-7185</v>
      </c>
      <c r="BI3" s="8">
        <v>0.79</v>
      </c>
      <c r="BJ3" s="8">
        <v>1.19</v>
      </c>
      <c r="BK3" s="10">
        <v>0</v>
      </c>
      <c r="BL3" s="10">
        <v>0</v>
      </c>
      <c r="BM3" s="10">
        <v>0</v>
      </c>
      <c r="BN3" s="10">
        <v>-743.65</v>
      </c>
      <c r="BO3" s="10">
        <v>0</v>
      </c>
      <c r="BP3" s="10">
        <v>30544.6</v>
      </c>
      <c r="BQ3" s="10">
        <v>0</v>
      </c>
      <c r="BR3" s="15">
        <v>12</v>
      </c>
      <c r="BS3" s="10">
        <v>1500</v>
      </c>
      <c r="BT3" s="10">
        <v>0</v>
      </c>
      <c r="BU3" s="10">
        <v>0</v>
      </c>
      <c r="BV3" s="10">
        <v>0</v>
      </c>
      <c r="BW3" s="10">
        <v>1851.3</v>
      </c>
      <c r="BX3" s="15">
        <v>100</v>
      </c>
      <c r="BY3" s="10">
        <v>0</v>
      </c>
      <c r="BZ3" s="10">
        <v>0</v>
      </c>
      <c r="CA3" s="10">
        <v>0</v>
      </c>
      <c r="CB3" s="10">
        <v>0</v>
      </c>
      <c r="CC3" s="10">
        <v>30544.6</v>
      </c>
      <c r="CD3" s="10">
        <v>4581.6899999999996</v>
      </c>
      <c r="CE3" s="10">
        <v>35126.29</v>
      </c>
      <c r="CF3" s="10">
        <v>37053.47</v>
      </c>
      <c r="CG3" s="10">
        <v>4833.0600000000004</v>
      </c>
      <c r="CH3" s="10">
        <v>32220.41</v>
      </c>
      <c r="CI3" s="10">
        <v>109.97</v>
      </c>
      <c r="CJ3">
        <v>65</v>
      </c>
      <c r="CK3">
        <v>0</v>
      </c>
      <c r="CL3">
        <v>0</v>
      </c>
      <c r="CM3">
        <v>99.572100000000006</v>
      </c>
      <c r="CN3" s="7"/>
      <c r="CO3">
        <v>0</v>
      </c>
      <c r="CP3">
        <v>0</v>
      </c>
      <c r="CQ3">
        <v>0</v>
      </c>
      <c r="CR3">
        <v>148</v>
      </c>
      <c r="CS3" s="7">
        <v>45832</v>
      </c>
      <c r="CT3" s="7">
        <v>45832</v>
      </c>
      <c r="CU3">
        <v>170185</v>
      </c>
      <c r="CV3" t="s">
        <v>103</v>
      </c>
      <c r="CW3" t="s">
        <v>194</v>
      </c>
      <c r="CX3" s="10">
        <v>37818.93</v>
      </c>
      <c r="CY3" s="10">
        <v>25067.17</v>
      </c>
      <c r="CZ3" s="10">
        <v>-24150.07</v>
      </c>
      <c r="DA3" s="10">
        <v>0.69</v>
      </c>
      <c r="DB3" s="10">
        <v>-4957.6499999999996</v>
      </c>
      <c r="DC3" s="10">
        <v>-5701.3</v>
      </c>
    </row>
    <row r="4" spans="1:107" x14ac:dyDescent="0.35">
      <c r="A4" t="s">
        <v>97</v>
      </c>
      <c r="B4" s="6" t="s">
        <v>98</v>
      </c>
      <c r="C4" t="s">
        <v>114</v>
      </c>
      <c r="D4" t="s">
        <v>124</v>
      </c>
      <c r="E4" t="s">
        <v>134</v>
      </c>
      <c r="F4" t="s">
        <v>144</v>
      </c>
      <c r="G4" t="s">
        <v>155</v>
      </c>
      <c r="H4" t="s">
        <v>163</v>
      </c>
      <c r="I4" t="s">
        <v>167</v>
      </c>
      <c r="J4" s="7">
        <v>46025</v>
      </c>
      <c r="K4" s="7">
        <v>46026</v>
      </c>
      <c r="L4">
        <v>1</v>
      </c>
      <c r="M4">
        <v>1</v>
      </c>
      <c r="N4">
        <f t="shared" si="0"/>
        <v>0</v>
      </c>
      <c r="O4" s="7">
        <v>46034</v>
      </c>
      <c r="P4">
        <v>30</v>
      </c>
      <c r="Q4" s="7">
        <v>46055</v>
      </c>
      <c r="R4">
        <f t="shared" si="1"/>
        <v>21</v>
      </c>
      <c r="S4" t="s">
        <v>185</v>
      </c>
      <c r="T4" t="s">
        <v>181</v>
      </c>
      <c r="U4" t="s">
        <v>104</v>
      </c>
      <c r="V4" t="s">
        <v>105</v>
      </c>
      <c r="W4" t="s">
        <v>106</v>
      </c>
      <c r="X4">
        <v>2026</v>
      </c>
      <c r="Y4" t="s">
        <v>107</v>
      </c>
      <c r="Z4">
        <v>2498</v>
      </c>
      <c r="AA4" s="10">
        <v>172956.52</v>
      </c>
      <c r="AB4" s="10">
        <v>45491.46</v>
      </c>
      <c r="AC4" s="13">
        <v>0.19</v>
      </c>
      <c r="AD4" s="10">
        <v>18280.53</v>
      </c>
      <c r="AE4" s="10">
        <v>1466</v>
      </c>
      <c r="AF4">
        <v>5</v>
      </c>
      <c r="AG4" s="10">
        <v>72642</v>
      </c>
      <c r="AH4">
        <v>42</v>
      </c>
      <c r="AI4" s="7">
        <v>46056</v>
      </c>
      <c r="AJ4" s="7">
        <v>47881</v>
      </c>
      <c r="AK4">
        <v>60</v>
      </c>
      <c r="AL4">
        <v>3000</v>
      </c>
      <c r="AM4">
        <v>151634</v>
      </c>
      <c r="AN4" s="7">
        <v>45930</v>
      </c>
      <c r="AO4">
        <v>149951</v>
      </c>
      <c r="AP4">
        <v>151945</v>
      </c>
      <c r="AQ4">
        <v>1994</v>
      </c>
      <c r="AR4">
        <v>151857</v>
      </c>
      <c r="AS4">
        <v>2267</v>
      </c>
      <c r="AT4" s="10">
        <v>3203.39</v>
      </c>
      <c r="AU4" s="10">
        <v>2068</v>
      </c>
      <c r="AV4" s="10">
        <v>106.88</v>
      </c>
      <c r="AW4" s="10">
        <v>581.1</v>
      </c>
      <c r="AX4" s="10">
        <v>533.83000000000004</v>
      </c>
      <c r="AY4" s="10">
        <v>6493.2</v>
      </c>
      <c r="AZ4" s="10">
        <v>973.98</v>
      </c>
      <c r="BA4" s="10">
        <v>7467.18</v>
      </c>
      <c r="BB4" s="7">
        <v>45748</v>
      </c>
      <c r="BC4" s="7">
        <v>45838</v>
      </c>
      <c r="BD4">
        <v>147088</v>
      </c>
      <c r="BE4">
        <v>151945</v>
      </c>
      <c r="BF4">
        <v>4857</v>
      </c>
      <c r="BG4">
        <v>9000</v>
      </c>
      <c r="BH4">
        <v>-4143</v>
      </c>
      <c r="BI4" s="8">
        <v>0.79</v>
      </c>
      <c r="BJ4" s="8">
        <v>1.19</v>
      </c>
      <c r="BK4" s="10">
        <v>0</v>
      </c>
      <c r="BL4" s="10">
        <v>0</v>
      </c>
      <c r="BM4" s="10">
        <v>0</v>
      </c>
      <c r="BN4" s="10">
        <v>-428.8</v>
      </c>
      <c r="BO4" s="10">
        <v>0</v>
      </c>
      <c r="BP4" s="10">
        <v>0</v>
      </c>
      <c r="BQ4" s="10">
        <v>0</v>
      </c>
      <c r="BR4" s="15">
        <v>8</v>
      </c>
      <c r="BS4" s="10">
        <v>1500</v>
      </c>
      <c r="BT4" s="10">
        <v>0</v>
      </c>
      <c r="BU4" s="10">
        <v>0</v>
      </c>
      <c r="BV4" s="10">
        <v>0</v>
      </c>
      <c r="BW4" s="10">
        <v>1851.3</v>
      </c>
      <c r="BX4" s="15">
        <v>100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4179.71</v>
      </c>
      <c r="CG4" s="10">
        <v>545.17999999999995</v>
      </c>
      <c r="CH4" s="10">
        <v>3634.53</v>
      </c>
      <c r="CI4" s="10">
        <v>1.82</v>
      </c>
      <c r="CJ4">
        <v>0</v>
      </c>
      <c r="CK4">
        <v>0</v>
      </c>
      <c r="CL4">
        <v>0</v>
      </c>
      <c r="CM4">
        <v>99.632300000000001</v>
      </c>
      <c r="CN4" s="7"/>
      <c r="CO4">
        <v>0</v>
      </c>
      <c r="CP4">
        <v>0</v>
      </c>
      <c r="CQ4">
        <v>0</v>
      </c>
      <c r="CR4">
        <v>-40143</v>
      </c>
      <c r="CS4" s="7">
        <v>45808</v>
      </c>
      <c r="CT4" s="7">
        <v>45808</v>
      </c>
      <c r="CU4">
        <v>151722</v>
      </c>
      <c r="CV4" t="s">
        <v>103</v>
      </c>
      <c r="CW4" t="s">
        <v>195</v>
      </c>
      <c r="CX4" s="10">
        <v>3924.36</v>
      </c>
      <c r="CY4" s="10">
        <v>2576.6</v>
      </c>
      <c r="CZ4" s="10">
        <v>-27866.48</v>
      </c>
      <c r="DA4" s="10">
        <v>0.69</v>
      </c>
      <c r="DB4" s="10">
        <v>-2858.67</v>
      </c>
      <c r="DC4" s="10">
        <v>-3287.47</v>
      </c>
    </row>
    <row r="5" spans="1:107" x14ac:dyDescent="0.35">
      <c r="A5" t="s">
        <v>97</v>
      </c>
      <c r="B5" s="6" t="s">
        <v>98</v>
      </c>
      <c r="C5" t="s">
        <v>115</v>
      </c>
      <c r="D5" t="s">
        <v>125</v>
      </c>
      <c r="E5" t="s">
        <v>135</v>
      </c>
      <c r="F5" t="s">
        <v>145</v>
      </c>
      <c r="G5" t="s">
        <v>156</v>
      </c>
      <c r="H5" t="s">
        <v>163</v>
      </c>
      <c r="I5" t="s">
        <v>168</v>
      </c>
      <c r="J5" s="7">
        <v>46026</v>
      </c>
      <c r="K5" s="7">
        <v>46027</v>
      </c>
      <c r="L5">
        <v>1</v>
      </c>
      <c r="M5">
        <v>1</v>
      </c>
      <c r="N5">
        <f t="shared" si="0"/>
        <v>0</v>
      </c>
      <c r="O5" s="7">
        <v>46035</v>
      </c>
      <c r="P5">
        <v>30</v>
      </c>
      <c r="Q5" s="7">
        <v>46056</v>
      </c>
      <c r="R5">
        <f t="shared" si="1"/>
        <v>21</v>
      </c>
      <c r="S5" t="s">
        <v>186</v>
      </c>
      <c r="T5" t="s">
        <v>182</v>
      </c>
      <c r="U5" t="s">
        <v>108</v>
      </c>
      <c r="V5" t="s">
        <v>105</v>
      </c>
      <c r="W5" t="s">
        <v>109</v>
      </c>
      <c r="X5">
        <v>2026</v>
      </c>
      <c r="Y5" t="s">
        <v>107</v>
      </c>
      <c r="Z5">
        <v>2498</v>
      </c>
      <c r="AA5" s="10">
        <v>172956.52</v>
      </c>
      <c r="AB5" s="10">
        <v>45491.46</v>
      </c>
      <c r="AC5" s="13">
        <v>0.12</v>
      </c>
      <c r="AD5" s="10">
        <v>18280.53</v>
      </c>
      <c r="AE5" s="10">
        <v>1646</v>
      </c>
      <c r="AF5">
        <v>5</v>
      </c>
      <c r="AG5" s="10">
        <v>72642</v>
      </c>
      <c r="AH5">
        <v>42</v>
      </c>
      <c r="AI5" s="7">
        <v>46057</v>
      </c>
      <c r="AJ5" s="7">
        <v>47882</v>
      </c>
      <c r="AK5">
        <v>60</v>
      </c>
      <c r="AL5">
        <v>2500</v>
      </c>
      <c r="AM5">
        <v>186410</v>
      </c>
      <c r="AN5" s="7">
        <v>45930</v>
      </c>
      <c r="AO5">
        <v>176763</v>
      </c>
      <c r="AP5">
        <v>186447</v>
      </c>
      <c r="AQ5">
        <v>9684</v>
      </c>
      <c r="AR5">
        <v>186410</v>
      </c>
      <c r="AS5">
        <v>2913</v>
      </c>
      <c r="AT5" s="10">
        <v>2529.37</v>
      </c>
      <c r="AU5" s="10">
        <v>1951</v>
      </c>
      <c r="AV5" s="10">
        <v>97.35</v>
      </c>
      <c r="AW5" s="10">
        <v>581.1</v>
      </c>
      <c r="AX5" s="10">
        <v>922.75</v>
      </c>
      <c r="AY5" s="10">
        <v>6081.57</v>
      </c>
      <c r="AZ5" s="10">
        <v>912.24</v>
      </c>
      <c r="BA5" s="10">
        <v>6993.81</v>
      </c>
      <c r="BB5" s="7">
        <v>45748</v>
      </c>
      <c r="BC5" s="7">
        <v>45834</v>
      </c>
      <c r="BD5">
        <v>173188</v>
      </c>
      <c r="BE5">
        <v>186447</v>
      </c>
      <c r="BF5">
        <v>13259</v>
      </c>
      <c r="BG5">
        <v>7500</v>
      </c>
      <c r="BH5">
        <v>5759</v>
      </c>
      <c r="BI5" s="8">
        <v>0.89</v>
      </c>
      <c r="BJ5" s="8">
        <v>1.36</v>
      </c>
      <c r="BK5" s="10">
        <v>5125.51</v>
      </c>
      <c r="BL5" s="10">
        <v>7832.24</v>
      </c>
      <c r="BM5" s="10">
        <v>12957.75</v>
      </c>
      <c r="BN5" s="10">
        <v>1943.66</v>
      </c>
      <c r="BO5" s="10">
        <v>14901.41</v>
      </c>
      <c r="BP5" s="10">
        <v>0</v>
      </c>
      <c r="BQ5" s="10">
        <v>0</v>
      </c>
      <c r="BR5" s="15">
        <v>10</v>
      </c>
      <c r="BS5" s="10">
        <v>1500</v>
      </c>
      <c r="BT5" s="10">
        <v>0</v>
      </c>
      <c r="BU5" s="10">
        <v>0</v>
      </c>
      <c r="BV5" s="10">
        <v>0</v>
      </c>
      <c r="BW5" s="10">
        <v>1851.3</v>
      </c>
      <c r="BX5" s="15">
        <v>100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21895.22</v>
      </c>
      <c r="CG5" s="10">
        <v>2855.9</v>
      </c>
      <c r="CH5" s="10">
        <v>19039.32</v>
      </c>
      <c r="CI5" s="10">
        <v>1.97</v>
      </c>
      <c r="CJ5">
        <v>0</v>
      </c>
      <c r="CK5">
        <v>0</v>
      </c>
      <c r="CL5">
        <v>0</v>
      </c>
      <c r="CM5">
        <v>84.239099999999993</v>
      </c>
      <c r="CN5" s="7"/>
      <c r="CO5">
        <v>0</v>
      </c>
      <c r="CP5">
        <v>0</v>
      </c>
      <c r="CQ5">
        <v>0</v>
      </c>
      <c r="CR5">
        <v>23910</v>
      </c>
      <c r="CS5" s="7">
        <v>45834</v>
      </c>
      <c r="CT5" s="7">
        <v>45834</v>
      </c>
      <c r="CU5">
        <v>186447</v>
      </c>
      <c r="CV5" t="s">
        <v>103</v>
      </c>
      <c r="CW5" t="s">
        <v>196</v>
      </c>
      <c r="CX5" s="10">
        <v>38484.78</v>
      </c>
      <c r="CY5" s="10">
        <v>30354.48</v>
      </c>
      <c r="CZ5" s="10">
        <v>-8261.7999999999993</v>
      </c>
      <c r="DA5" s="10">
        <v>0.78</v>
      </c>
      <c r="DB5" s="10">
        <v>0</v>
      </c>
      <c r="DC5" s="10">
        <v>0</v>
      </c>
    </row>
    <row r="6" spans="1:107" x14ac:dyDescent="0.35">
      <c r="A6" t="s">
        <v>97</v>
      </c>
      <c r="B6" s="6" t="s">
        <v>98</v>
      </c>
      <c r="C6" t="s">
        <v>116</v>
      </c>
      <c r="D6" t="s">
        <v>126</v>
      </c>
      <c r="E6" t="s">
        <v>136</v>
      </c>
      <c r="F6" t="s">
        <v>146</v>
      </c>
      <c r="G6" t="s">
        <v>157</v>
      </c>
      <c r="H6" t="s">
        <v>163</v>
      </c>
      <c r="I6" t="s">
        <v>169</v>
      </c>
      <c r="J6" s="7">
        <v>46027</v>
      </c>
      <c r="K6" s="7">
        <v>46028</v>
      </c>
      <c r="L6">
        <v>1</v>
      </c>
      <c r="M6">
        <v>1</v>
      </c>
      <c r="N6">
        <f t="shared" si="0"/>
        <v>0</v>
      </c>
      <c r="O6" s="7">
        <v>46036</v>
      </c>
      <c r="P6">
        <v>30</v>
      </c>
      <c r="Q6" s="7">
        <v>46057</v>
      </c>
      <c r="R6">
        <f t="shared" si="1"/>
        <v>21</v>
      </c>
      <c r="S6" t="s">
        <v>187</v>
      </c>
      <c r="T6" t="s">
        <v>181</v>
      </c>
      <c r="U6" t="s">
        <v>104</v>
      </c>
      <c r="V6" t="s">
        <v>105</v>
      </c>
      <c r="W6" t="s">
        <v>106</v>
      </c>
      <c r="X6">
        <v>2026</v>
      </c>
      <c r="Y6" t="s">
        <v>107</v>
      </c>
      <c r="Z6">
        <v>2498</v>
      </c>
      <c r="AA6" s="10">
        <v>172956.52</v>
      </c>
      <c r="AB6" s="10">
        <v>45491.46</v>
      </c>
      <c r="AC6" s="13">
        <v>0.19</v>
      </c>
      <c r="AD6" s="10">
        <v>18280.53</v>
      </c>
      <c r="AE6" s="10">
        <v>1466</v>
      </c>
      <c r="AF6">
        <v>5</v>
      </c>
      <c r="AG6" s="10">
        <v>72642</v>
      </c>
      <c r="AH6">
        <v>42</v>
      </c>
      <c r="AI6" s="7">
        <v>46058</v>
      </c>
      <c r="AJ6" s="7">
        <v>47883</v>
      </c>
      <c r="AK6">
        <v>60</v>
      </c>
      <c r="AL6">
        <v>2500</v>
      </c>
      <c r="AM6">
        <v>150000</v>
      </c>
      <c r="AN6" s="7">
        <v>45930</v>
      </c>
      <c r="AO6">
        <v>102507</v>
      </c>
      <c r="AP6">
        <v>102509</v>
      </c>
      <c r="AQ6">
        <v>2</v>
      </c>
      <c r="AR6">
        <v>102473</v>
      </c>
      <c r="AS6">
        <v>1529</v>
      </c>
      <c r="AT6" s="10">
        <v>3813.34</v>
      </c>
      <c r="AU6" s="10">
        <v>1730.7</v>
      </c>
      <c r="AV6" s="10">
        <v>106.88</v>
      </c>
      <c r="AW6" s="10">
        <v>581.1</v>
      </c>
      <c r="AX6" s="10">
        <v>533.83000000000004</v>
      </c>
      <c r="AY6" s="10">
        <v>6765.85</v>
      </c>
      <c r="AZ6" s="10">
        <v>1014.88</v>
      </c>
      <c r="BA6" s="10">
        <v>7780.73</v>
      </c>
      <c r="BB6" s="7">
        <v>45748</v>
      </c>
      <c r="BC6" s="7">
        <v>45838</v>
      </c>
      <c r="BD6">
        <v>102507</v>
      </c>
      <c r="BE6">
        <v>102509</v>
      </c>
      <c r="BF6">
        <v>2</v>
      </c>
      <c r="BG6">
        <v>7500</v>
      </c>
      <c r="BH6">
        <v>-7498</v>
      </c>
      <c r="BI6" s="8">
        <v>0.79</v>
      </c>
      <c r="BJ6" s="8">
        <v>1.19</v>
      </c>
      <c r="BK6" s="10">
        <v>0</v>
      </c>
      <c r="BL6" s="10">
        <v>0</v>
      </c>
      <c r="BM6" s="10">
        <v>0</v>
      </c>
      <c r="BN6" s="10">
        <v>-776.04</v>
      </c>
      <c r="BO6" s="10">
        <v>0</v>
      </c>
      <c r="BP6" s="10">
        <v>62374.91</v>
      </c>
      <c r="BQ6" s="10">
        <v>0</v>
      </c>
      <c r="BR6" s="15">
        <v>10</v>
      </c>
      <c r="BS6" s="10">
        <v>1500</v>
      </c>
      <c r="BT6" s="10">
        <v>0</v>
      </c>
      <c r="BU6" s="10">
        <v>0</v>
      </c>
      <c r="BV6" s="10">
        <v>0</v>
      </c>
      <c r="BW6" s="10">
        <v>1851.3</v>
      </c>
      <c r="BX6" s="15">
        <v>100</v>
      </c>
      <c r="BY6" s="10">
        <v>0</v>
      </c>
      <c r="BZ6" s="10">
        <v>0</v>
      </c>
      <c r="CA6" s="10">
        <v>0</v>
      </c>
      <c r="CB6" s="10">
        <v>0</v>
      </c>
      <c r="CC6" s="10">
        <v>62374.91</v>
      </c>
      <c r="CD6" s="10">
        <v>9356.24</v>
      </c>
      <c r="CE6" s="10">
        <v>71731.149999999994</v>
      </c>
      <c r="CF6" s="10">
        <v>73562.22</v>
      </c>
      <c r="CG6" s="10">
        <v>9595.08</v>
      </c>
      <c r="CH6" s="10">
        <v>63967.14</v>
      </c>
      <c r="CI6" s="10">
        <v>31983.57</v>
      </c>
      <c r="CJ6">
        <v>290</v>
      </c>
      <c r="CK6">
        <v>0</v>
      </c>
      <c r="CL6">
        <v>0</v>
      </c>
      <c r="CM6">
        <v>100</v>
      </c>
      <c r="CN6" s="7"/>
      <c r="CO6">
        <v>0</v>
      </c>
      <c r="CP6">
        <v>0</v>
      </c>
      <c r="CQ6">
        <v>0</v>
      </c>
      <c r="CR6">
        <v>-65027</v>
      </c>
      <c r="CS6" s="7">
        <v>45626</v>
      </c>
      <c r="CT6" s="7">
        <v>45626</v>
      </c>
      <c r="CU6">
        <v>150036</v>
      </c>
      <c r="CV6" t="s">
        <v>103</v>
      </c>
      <c r="CW6" t="s">
        <v>197</v>
      </c>
      <c r="CX6" s="10">
        <v>45817.29</v>
      </c>
      <c r="CY6" s="10">
        <v>30093.64</v>
      </c>
      <c r="CZ6" s="10">
        <v>-70753.149999999994</v>
      </c>
      <c r="DA6" s="10">
        <v>0.69</v>
      </c>
      <c r="DB6" s="10">
        <v>-5173.62</v>
      </c>
      <c r="DC6" s="10">
        <v>-5949.66</v>
      </c>
    </row>
    <row r="7" spans="1:107" x14ac:dyDescent="0.35">
      <c r="A7" t="s">
        <v>97</v>
      </c>
      <c r="B7" s="6" t="s">
        <v>98</v>
      </c>
      <c r="C7" t="s">
        <v>117</v>
      </c>
      <c r="D7" t="s">
        <v>127</v>
      </c>
      <c r="E7" t="s">
        <v>137</v>
      </c>
      <c r="F7" t="s">
        <v>147</v>
      </c>
      <c r="G7" t="s">
        <v>158</v>
      </c>
      <c r="H7" t="s">
        <v>163</v>
      </c>
      <c r="I7" t="s">
        <v>170</v>
      </c>
      <c r="J7" s="7">
        <v>46028</v>
      </c>
      <c r="K7" s="7">
        <v>46029</v>
      </c>
      <c r="L7">
        <v>1</v>
      </c>
      <c r="M7">
        <v>1</v>
      </c>
      <c r="N7">
        <f t="shared" si="0"/>
        <v>0</v>
      </c>
      <c r="O7" s="7">
        <v>46037</v>
      </c>
      <c r="P7">
        <v>30</v>
      </c>
      <c r="Q7" s="7">
        <v>46058</v>
      </c>
      <c r="R7">
        <f t="shared" si="1"/>
        <v>21</v>
      </c>
      <c r="S7" t="s">
        <v>188</v>
      </c>
      <c r="T7" t="s">
        <v>182</v>
      </c>
      <c r="U7" t="s">
        <v>104</v>
      </c>
      <c r="V7" t="s">
        <v>105</v>
      </c>
      <c r="W7" t="s">
        <v>106</v>
      </c>
      <c r="X7">
        <v>2026</v>
      </c>
      <c r="Y7" t="s">
        <v>107</v>
      </c>
      <c r="Z7">
        <v>2498</v>
      </c>
      <c r="AA7" s="10">
        <v>172956.52</v>
      </c>
      <c r="AB7" s="10">
        <v>45491.46</v>
      </c>
      <c r="AC7" s="13">
        <v>0.19</v>
      </c>
      <c r="AD7" s="10">
        <v>18280.53</v>
      </c>
      <c r="AE7" s="10">
        <v>1466</v>
      </c>
      <c r="AF7">
        <v>5</v>
      </c>
      <c r="AG7" s="10">
        <v>72642</v>
      </c>
      <c r="AH7">
        <v>42</v>
      </c>
      <c r="AI7" s="7">
        <v>46059</v>
      </c>
      <c r="AJ7" s="7">
        <v>47884</v>
      </c>
      <c r="AK7">
        <v>60</v>
      </c>
      <c r="AL7">
        <v>2500</v>
      </c>
      <c r="AM7">
        <v>118430</v>
      </c>
      <c r="AN7" s="7">
        <v>45930</v>
      </c>
      <c r="AO7">
        <v>116462</v>
      </c>
      <c r="AP7">
        <v>118471</v>
      </c>
      <c r="AQ7">
        <v>2009</v>
      </c>
      <c r="AR7">
        <v>118430</v>
      </c>
      <c r="AS7">
        <v>1794</v>
      </c>
      <c r="AT7" s="10">
        <v>3787.04</v>
      </c>
      <c r="AU7" s="10">
        <v>1730.7</v>
      </c>
      <c r="AV7" s="10">
        <v>80.849999999999994</v>
      </c>
      <c r="AW7" s="10">
        <v>581.1</v>
      </c>
      <c r="AX7" s="10">
        <v>533.83000000000004</v>
      </c>
      <c r="AY7" s="10">
        <v>6713.52</v>
      </c>
      <c r="AZ7" s="10">
        <v>1007.03</v>
      </c>
      <c r="BA7" s="10">
        <v>7720.55</v>
      </c>
      <c r="BB7" s="7">
        <v>45748</v>
      </c>
      <c r="BC7" s="7">
        <v>45832</v>
      </c>
      <c r="BD7">
        <v>114026</v>
      </c>
      <c r="BE7">
        <v>118471</v>
      </c>
      <c r="BF7">
        <v>4445</v>
      </c>
      <c r="BG7">
        <v>7500</v>
      </c>
      <c r="BH7">
        <v>-3055</v>
      </c>
      <c r="BI7" s="8">
        <v>0.79</v>
      </c>
      <c r="BJ7" s="8">
        <v>1.19</v>
      </c>
      <c r="BK7" s="10">
        <v>0</v>
      </c>
      <c r="BL7" s="10">
        <v>0</v>
      </c>
      <c r="BM7" s="10">
        <v>0</v>
      </c>
      <c r="BN7" s="10">
        <v>-316.19</v>
      </c>
      <c r="BO7" s="10">
        <v>0</v>
      </c>
      <c r="BP7" s="10">
        <v>0</v>
      </c>
      <c r="BQ7" s="10">
        <v>0</v>
      </c>
      <c r="BR7" s="15">
        <v>4</v>
      </c>
      <c r="BS7" s="10">
        <v>1500</v>
      </c>
      <c r="BT7" s="10">
        <v>0</v>
      </c>
      <c r="BU7" s="10">
        <v>0</v>
      </c>
      <c r="BV7" s="10">
        <v>0</v>
      </c>
      <c r="BW7" s="10">
        <v>1851.3</v>
      </c>
      <c r="BX7" s="15">
        <v>100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5296.41</v>
      </c>
      <c r="CG7" s="10">
        <v>690.84</v>
      </c>
      <c r="CH7" s="10">
        <v>4605.57</v>
      </c>
      <c r="CI7" s="10">
        <v>2.29</v>
      </c>
      <c r="CJ7">
        <v>0</v>
      </c>
      <c r="CK7">
        <v>0</v>
      </c>
      <c r="CL7">
        <v>0</v>
      </c>
      <c r="CM7">
        <v>97.382199999999997</v>
      </c>
      <c r="CN7" s="7"/>
      <c r="CO7">
        <v>0</v>
      </c>
      <c r="CP7">
        <v>0</v>
      </c>
      <c r="CQ7">
        <v>0</v>
      </c>
      <c r="CR7">
        <v>-49070</v>
      </c>
      <c r="CS7" s="7">
        <v>45832</v>
      </c>
      <c r="CT7" s="7">
        <v>45832</v>
      </c>
      <c r="CU7">
        <v>118471</v>
      </c>
      <c r="CV7" t="s">
        <v>103</v>
      </c>
      <c r="CW7" t="s">
        <v>198</v>
      </c>
      <c r="CX7" s="10">
        <v>33788.01</v>
      </c>
      <c r="CY7" s="10">
        <v>22170.36</v>
      </c>
      <c r="CZ7" s="10">
        <v>-53697.440000000002</v>
      </c>
      <c r="DA7" s="10">
        <v>0.69</v>
      </c>
      <c r="DB7" s="10">
        <v>-2107.9499999999998</v>
      </c>
      <c r="DC7" s="10">
        <v>-2424.14</v>
      </c>
    </row>
    <row r="8" spans="1:107" x14ac:dyDescent="0.35">
      <c r="A8" t="s">
        <v>97</v>
      </c>
      <c r="B8" s="6" t="s">
        <v>98</v>
      </c>
      <c r="C8" t="s">
        <v>118</v>
      </c>
      <c r="D8" t="s">
        <v>128</v>
      </c>
      <c r="E8" t="s">
        <v>138</v>
      </c>
      <c r="F8" t="s">
        <v>148</v>
      </c>
      <c r="G8" t="s">
        <v>159</v>
      </c>
      <c r="H8" t="s">
        <v>163</v>
      </c>
      <c r="I8" t="s">
        <v>171</v>
      </c>
      <c r="J8" s="7">
        <v>46029</v>
      </c>
      <c r="K8" s="7">
        <v>46030</v>
      </c>
      <c r="L8">
        <v>1</v>
      </c>
      <c r="M8">
        <v>1</v>
      </c>
      <c r="N8">
        <f t="shared" si="0"/>
        <v>0</v>
      </c>
      <c r="O8" s="7">
        <v>46038</v>
      </c>
      <c r="P8">
        <v>30</v>
      </c>
      <c r="Q8" s="7">
        <v>46059</v>
      </c>
      <c r="R8">
        <f t="shared" si="1"/>
        <v>21</v>
      </c>
      <c r="S8" t="s">
        <v>189</v>
      </c>
      <c r="T8" t="s">
        <v>181</v>
      </c>
      <c r="U8" t="s">
        <v>104</v>
      </c>
      <c r="V8" t="s">
        <v>105</v>
      </c>
      <c r="W8" t="s">
        <v>106</v>
      </c>
      <c r="X8">
        <v>2026</v>
      </c>
      <c r="Y8" t="s">
        <v>107</v>
      </c>
      <c r="Z8">
        <v>2498</v>
      </c>
      <c r="AA8" s="10">
        <v>172956.52</v>
      </c>
      <c r="AB8" s="10">
        <v>45491.46</v>
      </c>
      <c r="AC8" s="13">
        <v>0.19</v>
      </c>
      <c r="AD8" s="10">
        <v>18280.53</v>
      </c>
      <c r="AE8" s="10">
        <v>1466</v>
      </c>
      <c r="AF8">
        <v>5</v>
      </c>
      <c r="AG8" s="10">
        <v>72642</v>
      </c>
      <c r="AH8">
        <v>42</v>
      </c>
      <c r="AI8" s="7">
        <v>46060</v>
      </c>
      <c r="AJ8" s="7">
        <v>47885</v>
      </c>
      <c r="AK8">
        <v>60</v>
      </c>
      <c r="AL8">
        <v>2500</v>
      </c>
      <c r="AM8">
        <v>150000</v>
      </c>
      <c r="AN8" s="7">
        <v>45961</v>
      </c>
      <c r="AO8">
        <v>148313</v>
      </c>
      <c r="AP8">
        <v>149193</v>
      </c>
      <c r="AQ8">
        <v>880</v>
      </c>
      <c r="AR8">
        <v>149059</v>
      </c>
      <c r="AS8">
        <v>2293</v>
      </c>
      <c r="AT8" s="10">
        <v>3873.49</v>
      </c>
      <c r="AU8" s="10">
        <v>1730.7</v>
      </c>
      <c r="AV8" s="10">
        <v>80.849999999999994</v>
      </c>
      <c r="AW8" s="10">
        <v>581.1</v>
      </c>
      <c r="AX8" s="10">
        <v>533.83000000000004</v>
      </c>
      <c r="AY8" s="10">
        <v>6799.97</v>
      </c>
      <c r="AZ8" s="10">
        <v>1020</v>
      </c>
      <c r="BA8" s="10">
        <v>7819.97</v>
      </c>
      <c r="BB8" s="7">
        <v>45748</v>
      </c>
      <c r="BC8" s="7">
        <v>45838</v>
      </c>
      <c r="BD8">
        <v>143988</v>
      </c>
      <c r="BE8">
        <v>149193</v>
      </c>
      <c r="BF8">
        <v>5205</v>
      </c>
      <c r="BG8">
        <v>7500</v>
      </c>
      <c r="BH8">
        <v>-2295</v>
      </c>
      <c r="BI8" s="8">
        <v>0.79</v>
      </c>
      <c r="BJ8" s="8">
        <v>1.19</v>
      </c>
      <c r="BK8" s="10">
        <v>0</v>
      </c>
      <c r="BL8" s="10">
        <v>0</v>
      </c>
      <c r="BM8" s="10">
        <v>0</v>
      </c>
      <c r="BN8" s="10">
        <v>-237.53</v>
      </c>
      <c r="BO8" s="10">
        <v>0</v>
      </c>
      <c r="BP8" s="10">
        <v>0</v>
      </c>
      <c r="BQ8" s="10">
        <v>0</v>
      </c>
      <c r="BR8" s="15">
        <v>12</v>
      </c>
      <c r="BS8" s="10">
        <v>1500</v>
      </c>
      <c r="BT8" s="10">
        <v>0</v>
      </c>
      <c r="BU8" s="10">
        <v>0</v>
      </c>
      <c r="BV8" s="10">
        <v>0</v>
      </c>
      <c r="BW8" s="10">
        <v>1851.3</v>
      </c>
      <c r="BX8" s="15">
        <v>100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5998.89</v>
      </c>
      <c r="CG8" s="10">
        <v>782.47</v>
      </c>
      <c r="CH8" s="10">
        <v>5216.42</v>
      </c>
      <c r="CI8" s="10">
        <v>5.93</v>
      </c>
      <c r="CJ8">
        <v>0</v>
      </c>
      <c r="CK8">
        <v>0</v>
      </c>
      <c r="CL8">
        <v>0</v>
      </c>
      <c r="CM8">
        <v>55.935400000000001</v>
      </c>
      <c r="CN8" s="7"/>
      <c r="CO8">
        <v>0</v>
      </c>
      <c r="CP8">
        <v>0</v>
      </c>
      <c r="CQ8">
        <v>0</v>
      </c>
      <c r="CR8">
        <v>-13441</v>
      </c>
      <c r="CS8" s="7">
        <v>45688</v>
      </c>
      <c r="CT8" s="7">
        <v>45688</v>
      </c>
      <c r="CU8">
        <v>150134</v>
      </c>
      <c r="CV8" t="s">
        <v>103</v>
      </c>
      <c r="CW8" t="s">
        <v>199</v>
      </c>
      <c r="CX8" s="10">
        <v>19430.14</v>
      </c>
      <c r="CY8" s="10">
        <v>12747.4</v>
      </c>
      <c r="CZ8" s="10">
        <v>-19608.77</v>
      </c>
      <c r="DA8" s="10">
        <v>0.69</v>
      </c>
      <c r="DB8" s="10">
        <v>-1583.55</v>
      </c>
      <c r="DC8" s="10">
        <v>-1821.08</v>
      </c>
    </row>
    <row r="9" spans="1:107" x14ac:dyDescent="0.35">
      <c r="A9" t="s">
        <v>97</v>
      </c>
      <c r="B9" s="6" t="s">
        <v>98</v>
      </c>
      <c r="C9" t="s">
        <v>119</v>
      </c>
      <c r="D9" t="s">
        <v>129</v>
      </c>
      <c r="E9" t="s">
        <v>139</v>
      </c>
      <c r="F9" t="s">
        <v>149</v>
      </c>
      <c r="G9" t="s">
        <v>160</v>
      </c>
      <c r="H9" t="s">
        <v>163</v>
      </c>
      <c r="I9" t="s">
        <v>172</v>
      </c>
      <c r="J9" s="7">
        <v>46030</v>
      </c>
      <c r="K9" s="7">
        <v>46031</v>
      </c>
      <c r="L9">
        <v>1</v>
      </c>
      <c r="M9">
        <v>1</v>
      </c>
      <c r="N9">
        <f t="shared" si="0"/>
        <v>0</v>
      </c>
      <c r="O9" s="7">
        <v>46039</v>
      </c>
      <c r="P9">
        <v>30</v>
      </c>
      <c r="Q9" s="7">
        <v>46060</v>
      </c>
      <c r="R9">
        <f t="shared" si="1"/>
        <v>21</v>
      </c>
      <c r="S9" t="s">
        <v>190</v>
      </c>
      <c r="T9" t="s">
        <v>182</v>
      </c>
      <c r="U9" t="s">
        <v>104</v>
      </c>
      <c r="V9" t="s">
        <v>105</v>
      </c>
      <c r="W9" t="s">
        <v>106</v>
      </c>
      <c r="X9">
        <v>2026</v>
      </c>
      <c r="Y9" t="s">
        <v>107</v>
      </c>
      <c r="Z9">
        <v>2498</v>
      </c>
      <c r="AA9" s="10">
        <v>172956.52</v>
      </c>
      <c r="AB9" s="10">
        <v>45491.46</v>
      </c>
      <c r="AC9" s="13">
        <v>0.19</v>
      </c>
      <c r="AD9" s="10">
        <v>18280.53</v>
      </c>
      <c r="AE9" s="10">
        <v>1182</v>
      </c>
      <c r="AF9">
        <v>5</v>
      </c>
      <c r="AG9" s="10">
        <v>72642</v>
      </c>
      <c r="AH9">
        <v>42</v>
      </c>
      <c r="AI9" s="7">
        <v>46061</v>
      </c>
      <c r="AJ9" s="7">
        <v>47886</v>
      </c>
      <c r="AK9">
        <v>60</v>
      </c>
      <c r="AL9">
        <v>3000</v>
      </c>
      <c r="AM9">
        <v>127709</v>
      </c>
      <c r="AN9" s="7">
        <v>45961</v>
      </c>
      <c r="AO9">
        <v>125911</v>
      </c>
      <c r="AP9">
        <v>127816</v>
      </c>
      <c r="AQ9">
        <v>1905</v>
      </c>
      <c r="AR9">
        <v>127683</v>
      </c>
      <c r="AS9">
        <v>1995</v>
      </c>
      <c r="AT9" s="10">
        <v>3276.21</v>
      </c>
      <c r="AU9" s="10">
        <v>2077</v>
      </c>
      <c r="AV9" s="10">
        <v>80.849999999999994</v>
      </c>
      <c r="AW9" s="10">
        <v>581.1</v>
      </c>
      <c r="AX9" s="10">
        <v>533.83000000000004</v>
      </c>
      <c r="AY9" s="10">
        <v>6548.99</v>
      </c>
      <c r="AZ9" s="10">
        <v>982.35</v>
      </c>
      <c r="BA9" s="10">
        <v>7531.34</v>
      </c>
      <c r="BB9" s="7">
        <v>45748</v>
      </c>
      <c r="BC9" s="7">
        <v>45838</v>
      </c>
      <c r="BD9">
        <v>123673</v>
      </c>
      <c r="BE9">
        <v>127816</v>
      </c>
      <c r="BF9">
        <v>4143</v>
      </c>
      <c r="BG9">
        <v>9000</v>
      </c>
      <c r="BH9">
        <v>-4857</v>
      </c>
      <c r="BI9" s="8">
        <v>0.79</v>
      </c>
      <c r="BJ9" s="8">
        <v>1.19</v>
      </c>
      <c r="BK9" s="10">
        <v>0</v>
      </c>
      <c r="BL9" s="10">
        <v>0</v>
      </c>
      <c r="BM9" s="10">
        <v>0</v>
      </c>
      <c r="BN9" s="10">
        <v>-633.84</v>
      </c>
      <c r="BO9" s="10">
        <v>0</v>
      </c>
      <c r="BP9" s="10">
        <v>0</v>
      </c>
      <c r="BQ9" s="10">
        <v>0</v>
      </c>
      <c r="BR9" s="15">
        <v>8</v>
      </c>
      <c r="BS9" s="10">
        <v>1500</v>
      </c>
      <c r="BT9" s="10">
        <v>0</v>
      </c>
      <c r="BU9" s="10">
        <v>0</v>
      </c>
      <c r="BV9" s="10">
        <v>0</v>
      </c>
      <c r="BW9" s="10">
        <v>1851.3</v>
      </c>
      <c r="BX9" s="15">
        <v>100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2671.91</v>
      </c>
      <c r="CG9" s="10">
        <v>348.51</v>
      </c>
      <c r="CH9" s="10">
        <v>2323.4</v>
      </c>
      <c r="CI9" s="10">
        <v>1.22</v>
      </c>
      <c r="CJ9">
        <v>0</v>
      </c>
      <c r="CK9">
        <v>0</v>
      </c>
      <c r="CL9">
        <v>0</v>
      </c>
      <c r="CM9">
        <v>99.479900000000001</v>
      </c>
      <c r="CN9" s="7"/>
      <c r="CO9">
        <v>0</v>
      </c>
      <c r="CP9">
        <v>0</v>
      </c>
      <c r="CQ9">
        <v>0</v>
      </c>
      <c r="CR9">
        <v>-64317</v>
      </c>
      <c r="CS9" s="7">
        <v>45808</v>
      </c>
      <c r="CT9" s="7">
        <v>45808</v>
      </c>
      <c r="CU9">
        <v>127842</v>
      </c>
      <c r="CV9" t="s">
        <v>103</v>
      </c>
      <c r="CW9" t="s">
        <v>200</v>
      </c>
      <c r="CX9" s="10">
        <v>8200.23</v>
      </c>
      <c r="CY9" s="10">
        <v>5379.03</v>
      </c>
      <c r="CZ9" s="10">
        <v>-45460.72</v>
      </c>
      <c r="DA9" s="10">
        <v>0.87</v>
      </c>
      <c r="DB9" s="10">
        <v>-4225.59</v>
      </c>
      <c r="DC9" s="10">
        <v>-4859.43</v>
      </c>
    </row>
    <row r="10" spans="1:107" x14ac:dyDescent="0.35">
      <c r="A10" t="s">
        <v>97</v>
      </c>
      <c r="B10" s="6" t="s">
        <v>98</v>
      </c>
      <c r="C10" t="s">
        <v>120</v>
      </c>
      <c r="D10" t="s">
        <v>130</v>
      </c>
      <c r="E10" t="s">
        <v>140</v>
      </c>
      <c r="F10" t="s">
        <v>150</v>
      </c>
      <c r="G10" t="s">
        <v>161</v>
      </c>
      <c r="H10" t="s">
        <v>163</v>
      </c>
      <c r="I10" t="s">
        <v>173</v>
      </c>
      <c r="J10" s="7">
        <v>46031</v>
      </c>
      <c r="K10" s="7">
        <v>46032</v>
      </c>
      <c r="L10">
        <v>1</v>
      </c>
      <c r="M10">
        <v>1</v>
      </c>
      <c r="N10">
        <f t="shared" si="0"/>
        <v>0</v>
      </c>
      <c r="O10" s="7">
        <v>46040</v>
      </c>
      <c r="P10">
        <v>30</v>
      </c>
      <c r="Q10" s="7">
        <v>46061</v>
      </c>
      <c r="R10">
        <f t="shared" si="1"/>
        <v>21</v>
      </c>
      <c r="S10" t="s">
        <v>191</v>
      </c>
      <c r="T10" t="s">
        <v>181</v>
      </c>
      <c r="U10" t="s">
        <v>104</v>
      </c>
      <c r="V10" t="s">
        <v>105</v>
      </c>
      <c r="W10" t="s">
        <v>110</v>
      </c>
      <c r="X10">
        <v>2026</v>
      </c>
      <c r="Y10" t="s">
        <v>107</v>
      </c>
      <c r="Z10">
        <v>2498</v>
      </c>
      <c r="AA10" s="10">
        <v>172956.52</v>
      </c>
      <c r="AB10" s="10">
        <v>45491.46</v>
      </c>
      <c r="AC10" s="13">
        <v>0.19</v>
      </c>
      <c r="AD10" s="10">
        <v>18280.53</v>
      </c>
      <c r="AE10" s="10">
        <v>1436</v>
      </c>
      <c r="AF10">
        <v>5</v>
      </c>
      <c r="AG10" s="10">
        <v>72642</v>
      </c>
      <c r="AH10">
        <v>42</v>
      </c>
      <c r="AI10" s="7">
        <v>46062</v>
      </c>
      <c r="AJ10" s="7">
        <v>47887</v>
      </c>
      <c r="AK10">
        <v>60</v>
      </c>
      <c r="AL10">
        <v>3000</v>
      </c>
      <c r="AM10">
        <v>147009</v>
      </c>
      <c r="AN10" s="7">
        <v>46081</v>
      </c>
      <c r="AO10">
        <v>145157</v>
      </c>
      <c r="AP10">
        <v>147233</v>
      </c>
      <c r="AQ10">
        <v>2076</v>
      </c>
      <c r="AR10">
        <v>147009</v>
      </c>
      <c r="AS10">
        <v>2450</v>
      </c>
      <c r="AT10" s="10">
        <v>3728.95</v>
      </c>
      <c r="AU10" s="10">
        <v>2076.81</v>
      </c>
      <c r="AV10" s="10">
        <v>89.1</v>
      </c>
      <c r="AW10" s="10">
        <v>581.1</v>
      </c>
      <c r="AX10" s="10">
        <v>533.83000000000004</v>
      </c>
      <c r="AY10" s="10">
        <v>7009.79</v>
      </c>
      <c r="AZ10" s="10">
        <v>1051.47</v>
      </c>
      <c r="BA10" s="10">
        <v>8061.26</v>
      </c>
      <c r="BB10" s="7">
        <v>45748</v>
      </c>
      <c r="BC10" s="7">
        <v>45825</v>
      </c>
      <c r="BD10">
        <v>144169</v>
      </c>
      <c r="BE10">
        <v>147233</v>
      </c>
      <c r="BF10">
        <v>3064</v>
      </c>
      <c r="BG10">
        <v>9000</v>
      </c>
      <c r="BH10">
        <v>-5936</v>
      </c>
      <c r="BI10" s="8">
        <v>0.79</v>
      </c>
      <c r="BJ10" s="8">
        <v>1.19</v>
      </c>
      <c r="BK10" s="10">
        <v>0</v>
      </c>
      <c r="BL10" s="10">
        <v>0</v>
      </c>
      <c r="BM10" s="10">
        <v>0</v>
      </c>
      <c r="BN10" s="10">
        <v>-614.38</v>
      </c>
      <c r="BO10" s="10">
        <v>0</v>
      </c>
      <c r="BP10" s="10">
        <v>0</v>
      </c>
      <c r="BQ10" s="10">
        <v>0</v>
      </c>
      <c r="BR10" s="15">
        <v>12</v>
      </c>
      <c r="BS10" s="10">
        <v>1500</v>
      </c>
      <c r="BT10" s="10">
        <v>0</v>
      </c>
      <c r="BU10" s="10">
        <v>0</v>
      </c>
      <c r="BV10" s="10">
        <v>0</v>
      </c>
      <c r="BW10" s="10">
        <v>1851.3</v>
      </c>
      <c r="BX10" s="15">
        <v>100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3351.04</v>
      </c>
      <c r="CG10" s="10">
        <v>437.09</v>
      </c>
      <c r="CH10" s="10">
        <v>2913.95</v>
      </c>
      <c r="CI10" s="10">
        <v>1.4</v>
      </c>
      <c r="CJ10">
        <v>0</v>
      </c>
      <c r="CK10">
        <v>0</v>
      </c>
      <c r="CL10">
        <v>0</v>
      </c>
      <c r="CM10">
        <v>96.676599999999993</v>
      </c>
      <c r="CN10" s="7"/>
      <c r="CO10">
        <v>0</v>
      </c>
      <c r="CP10">
        <v>0</v>
      </c>
      <c r="CQ10">
        <v>0</v>
      </c>
      <c r="CR10">
        <v>-35991</v>
      </c>
      <c r="CS10" s="7">
        <v>45825</v>
      </c>
      <c r="CT10" s="7">
        <v>45825</v>
      </c>
      <c r="CU10">
        <v>147233</v>
      </c>
      <c r="CV10" t="s">
        <v>103</v>
      </c>
      <c r="CW10" t="s">
        <v>201</v>
      </c>
      <c r="CX10" s="10">
        <v>10822.96</v>
      </c>
      <c r="CY10" s="10">
        <v>4564.7700000000004</v>
      </c>
      <c r="CZ10" s="10">
        <v>-31910.81</v>
      </c>
      <c r="DA10" s="10">
        <v>0.69</v>
      </c>
      <c r="DB10" s="10">
        <v>-4095.84</v>
      </c>
      <c r="DC10" s="10">
        <v>-4710.22</v>
      </c>
    </row>
    <row r="11" spans="1:107" x14ac:dyDescent="0.35">
      <c r="A11" t="s">
        <v>97</v>
      </c>
      <c r="B11" s="6" t="s">
        <v>98</v>
      </c>
      <c r="C11" t="s">
        <v>121</v>
      </c>
      <c r="D11" t="s">
        <v>131</v>
      </c>
      <c r="E11" t="s">
        <v>141</v>
      </c>
      <c r="F11" t="s">
        <v>151</v>
      </c>
      <c r="G11" t="s">
        <v>162</v>
      </c>
      <c r="H11" t="s">
        <v>163</v>
      </c>
      <c r="I11" t="s">
        <v>174</v>
      </c>
      <c r="J11" s="7">
        <v>46032</v>
      </c>
      <c r="K11" s="7">
        <v>46033</v>
      </c>
      <c r="L11">
        <v>1</v>
      </c>
      <c r="M11">
        <v>1</v>
      </c>
      <c r="N11">
        <f t="shared" si="0"/>
        <v>0</v>
      </c>
      <c r="O11" s="7">
        <v>46041</v>
      </c>
      <c r="P11">
        <v>30</v>
      </c>
      <c r="Q11" s="7">
        <v>46062</v>
      </c>
      <c r="R11">
        <f t="shared" si="1"/>
        <v>21</v>
      </c>
      <c r="S11" t="s">
        <v>192</v>
      </c>
      <c r="T11" t="s">
        <v>182</v>
      </c>
      <c r="U11" t="s">
        <v>108</v>
      </c>
      <c r="V11" t="s">
        <v>105</v>
      </c>
      <c r="W11" t="s">
        <v>111</v>
      </c>
      <c r="X11">
        <v>2026</v>
      </c>
      <c r="Y11" t="s">
        <v>107</v>
      </c>
      <c r="Z11">
        <v>2498</v>
      </c>
      <c r="AA11" s="10">
        <v>172956.52</v>
      </c>
      <c r="AB11" s="10">
        <v>45491.46</v>
      </c>
      <c r="AC11" s="13">
        <v>0.2</v>
      </c>
      <c r="AD11" s="10">
        <v>18280.53</v>
      </c>
      <c r="AE11" s="10">
        <v>1718</v>
      </c>
      <c r="AF11">
        <v>5</v>
      </c>
      <c r="AG11" s="10">
        <v>72642</v>
      </c>
      <c r="AH11">
        <v>42</v>
      </c>
      <c r="AI11" s="7">
        <v>46063</v>
      </c>
      <c r="AJ11" s="7">
        <v>47888</v>
      </c>
      <c r="AK11">
        <v>60</v>
      </c>
      <c r="AL11">
        <v>1500</v>
      </c>
      <c r="AM11">
        <v>67137</v>
      </c>
      <c r="AN11" s="7">
        <v>46203</v>
      </c>
      <c r="AO11">
        <v>30090</v>
      </c>
      <c r="AP11">
        <v>30478</v>
      </c>
      <c r="AQ11">
        <v>388</v>
      </c>
      <c r="AR11">
        <v>30448</v>
      </c>
      <c r="AS11">
        <v>507</v>
      </c>
      <c r="AT11" s="10">
        <v>4221.91</v>
      </c>
      <c r="AU11" s="10">
        <v>1170.45</v>
      </c>
      <c r="AV11" s="10">
        <v>102.85</v>
      </c>
      <c r="AW11" s="10">
        <v>581.1</v>
      </c>
      <c r="AX11" s="10">
        <v>922.77</v>
      </c>
      <c r="AY11" s="10">
        <v>6999.08</v>
      </c>
      <c r="AZ11" s="10">
        <v>1049.8599999999999</v>
      </c>
      <c r="BA11" s="10">
        <v>8048.94</v>
      </c>
      <c r="BB11" s="7">
        <v>45748</v>
      </c>
      <c r="BC11" s="7">
        <v>45838</v>
      </c>
      <c r="BD11">
        <v>29023</v>
      </c>
      <c r="BE11">
        <v>30478</v>
      </c>
      <c r="BF11">
        <v>1455</v>
      </c>
      <c r="BG11">
        <v>4500</v>
      </c>
      <c r="BH11">
        <v>-3045</v>
      </c>
      <c r="BI11" s="8">
        <v>0.89</v>
      </c>
      <c r="BJ11" s="8">
        <v>1.36</v>
      </c>
      <c r="BK11" s="10">
        <v>0</v>
      </c>
      <c r="BL11" s="10">
        <v>0</v>
      </c>
      <c r="BM11" s="10">
        <v>0</v>
      </c>
      <c r="BN11" s="10">
        <v>-356.27</v>
      </c>
      <c r="BO11" s="10">
        <v>0</v>
      </c>
      <c r="BP11" s="10">
        <v>0</v>
      </c>
      <c r="BQ11" s="10">
        <v>0</v>
      </c>
      <c r="BR11" s="15">
        <v>3</v>
      </c>
      <c r="BS11" s="10">
        <v>1500</v>
      </c>
      <c r="BT11" s="10">
        <v>0</v>
      </c>
      <c r="BU11" s="10">
        <v>0</v>
      </c>
      <c r="BV11" s="10">
        <v>0</v>
      </c>
      <c r="BW11" s="10">
        <v>1851.3</v>
      </c>
      <c r="BX11" s="15">
        <v>100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5317.57</v>
      </c>
      <c r="CG11" s="10">
        <v>693.59</v>
      </c>
      <c r="CH11" s="10">
        <v>4623.9799999999996</v>
      </c>
      <c r="CI11" s="10">
        <v>11.92</v>
      </c>
      <c r="CJ11">
        <v>0</v>
      </c>
      <c r="CK11">
        <v>0</v>
      </c>
      <c r="CL11">
        <v>0</v>
      </c>
      <c r="CM11">
        <v>97.131500000000003</v>
      </c>
      <c r="CN11" s="7"/>
      <c r="CO11">
        <v>0</v>
      </c>
      <c r="CP11">
        <v>0</v>
      </c>
      <c r="CQ11">
        <v>0</v>
      </c>
      <c r="CR11">
        <v>-92552</v>
      </c>
      <c r="CS11" s="7">
        <v>45838</v>
      </c>
      <c r="CT11" s="7">
        <v>45838</v>
      </c>
      <c r="CU11">
        <v>67167</v>
      </c>
      <c r="CV11" t="s">
        <v>103</v>
      </c>
      <c r="CW11" t="s">
        <v>202</v>
      </c>
      <c r="CX11" s="10">
        <v>0</v>
      </c>
      <c r="CY11" s="10">
        <v>0</v>
      </c>
      <c r="CZ11" s="10">
        <v>-64259.47</v>
      </c>
      <c r="DA11" s="10">
        <v>0.78</v>
      </c>
      <c r="DB11" s="10">
        <v>-2375.1</v>
      </c>
      <c r="DC11" s="10">
        <v>-2731.37</v>
      </c>
    </row>
  </sheetData>
  <phoneticPr fontId="4" type="noConversion"/>
  <conditionalFormatting sqref="S2:S11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cf86ee-526f-4536-9daf-d1ee8064d50e}" enabled="1" method="Standard" siteId="{a1a39996-f913-4016-a58a-361c60dec5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Transnet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Rajamany   Transnet Corporate     JHB</dc:creator>
  <cp:lastModifiedBy>Mervin Rajamany   Transnet Corporate     JHB</cp:lastModifiedBy>
  <dcterms:created xsi:type="dcterms:W3CDTF">2026-02-28T12:28:57Z</dcterms:created>
  <dcterms:modified xsi:type="dcterms:W3CDTF">2026-02-28T12:49:13Z</dcterms:modified>
</cp:coreProperties>
</file>