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  <sheet state="visible" name="Pivot-Main" sheetId="2" r:id="rId5"/>
    <sheet state="visible" name="KPIs_Fleet Master Data" sheetId="3" r:id="rId6"/>
    <sheet state="visible" name="Fleet Size analysis" sheetId="4" r:id="rId7"/>
    <sheet state="visible" name="Sheet3" sheetId="5" r:id="rId8"/>
    <sheet state="visible" name="Sheet4" sheetId="6" r:id="rId9"/>
    <sheet state="visible" name="Sheet5" sheetId="7" r:id="rId10"/>
    <sheet state="visible" name="Sheet6" sheetId="8" r:id="rId11"/>
    <sheet state="visible" name="Sheet7" sheetId="9" r:id="rId12"/>
    <sheet state="visible" name="Sheet8" sheetId="10" r:id="rId13"/>
    <sheet state="visible" name="Sheet9" sheetId="11" r:id="rId14"/>
    <sheet state="visible" name="Sheet10" sheetId="12" r:id="rId15"/>
  </sheets>
  <definedNames>
    <definedName hidden="1" localSheetId="0" name="_xlnm._FilterDatabase">'Test 4-Stats'!$A$1:$DE$359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ta7LkgDEYNr3omzM+jTR4fG/Dwu0e9HwjZ4cBelYLL8="/>
    </ext>
  </extLst>
</workbook>
</file>

<file path=xl/sharedStrings.xml><?xml version="1.0" encoding="utf-8"?>
<sst xmlns="http://schemas.openxmlformats.org/spreadsheetml/2006/main" count="7820" uniqueCount="973">
  <si>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</si>
  <si>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</si>
  <si>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</si>
  <si>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</si>
  <si>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</si>
  <si>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</si>
  <si>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</si>
  <si>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</si>
  <si>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</si>
  <si>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</si>
  <si>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</si>
  <si>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</si>
  <si>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</si>
  <si>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</si>
  <si>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</si>
  <si>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</si>
  <si>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</si>
  <si>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</si>
  <si>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</si>
  <si>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</si>
  <si>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</si>
  <si>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</si>
  <si>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</si>
  <si>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</si>
  <si>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</si>
  <si>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</si>
  <si>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</si>
  <si>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</si>
  <si>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</si>
  <si>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</si>
  <si>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</si>
  <si>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</si>
  <si>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</si>
  <si>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</si>
  <si>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</si>
  <si>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</si>
  <si>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</si>
  <si>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</si>
  <si>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</si>
  <si>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</si>
  <si>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</si>
  <si>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</si>
  <si>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</si>
  <si>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</si>
  <si>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</si>
  <si>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</si>
  <si>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</si>
  <si>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</si>
  <si>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</si>
  <si>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</si>
  <si>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</si>
  <si>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</si>
  <si>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</si>
  <si>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</si>
  <si>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</si>
  <si>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</si>
  <si>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</si>
  <si>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</si>
  <si>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</si>
  <si>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</si>
  <si>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</si>
  <si>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</si>
  <si>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</si>
  <si>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</si>
  <si>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</si>
  <si>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</si>
  <si>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</si>
  <si>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</si>
  <si>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</si>
  <si>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</si>
  <si>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</si>
  <si>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</si>
  <si>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</si>
  <si>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</si>
  <si>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</si>
  <si>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</si>
  <si>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</si>
  <si>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</si>
  <si>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</si>
  <si>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</si>
  <si>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</si>
  <si>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</si>
  <si>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</si>
  <si>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</si>
  <si>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</si>
  <si>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</si>
  <si>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</si>
  <si>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</si>
  <si>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</si>
  <si>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</si>
  <si>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</si>
  <si>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</si>
  <si>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</si>
  <si>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</si>
  <si>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</si>
  <si>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</si>
  <si>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</si>
  <si>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</si>
  <si>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</si>
  <si>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</si>
  <si>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</si>
  <si>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</si>
  <si>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</si>
  <si>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</si>
  <si>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</si>
  <si>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</si>
  <si>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</si>
  <si>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</si>
  <si>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</si>
  <si>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</si>
  <si>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</si>
  <si>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</si>
  <si>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</si>
  <si>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</si>
  <si>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</si>
  <si>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</si>
  <si>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</si>
  <si>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</si>
  <si>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</si>
  <si>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</si>
  <si>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</si>
  <si>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</si>
  <si>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</si>
  <si>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</si>
  <si>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</si>
  <si>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</si>
  <si>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</si>
  <si>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</si>
  <si>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</si>
  <si>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</si>
  <si>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</si>
  <si>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</si>
  <si>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</si>
  <si>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</si>
  <si>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</si>
  <si>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</si>
  <si>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</si>
  <si>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</si>
  <si>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</si>
  <si>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</si>
  <si>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</si>
  <si>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</si>
  <si>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</si>
  <si>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</si>
  <si>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</si>
  <si>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</si>
  <si>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</si>
  <si>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</si>
  <si>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</si>
  <si>
    <t>Reg 5</t>
  </si>
  <si>
    <t>Contract 5</t>
  </si>
  <si>
    <t>PARKTOWN</t>
  </si>
  <si>
    <t>Reg 6</t>
  </si>
  <si>
    <t>Contract 6</t>
  </si>
  <si>
    <t>MILL SITE</t>
  </si>
  <si>
    <t>Reg 7</t>
  </si>
  <si>
    <t>Contract 7</t>
  </si>
  <si>
    <t>Company C</t>
  </si>
  <si>
    <t>Reg 8</t>
  </si>
  <si>
    <t>Contract 8</t>
  </si>
  <si>
    <t>ERMELO</t>
  </si>
  <si>
    <t>MPUMALANGA</t>
  </si>
  <si>
    <t>Reg 9</t>
  </si>
  <si>
    <t>Contract 9</t>
  </si>
  <si>
    <t>D-MAX 250 HO FLEETSIDE (SAFETY)</t>
  </si>
  <si>
    <t>KAALFONTEIN</t>
  </si>
  <si>
    <t>Reg 10</t>
  </si>
  <si>
    <t>Contract 10</t>
  </si>
  <si>
    <t>D-MAX 250 HO HI-RIDER D/CAB</t>
  </si>
  <si>
    <t>ELANDSFONTEIN</t>
  </si>
  <si>
    <t>Reg 11</t>
  </si>
  <si>
    <t>Contract 11</t>
  </si>
  <si>
    <t>RICHARDS BAY</t>
  </si>
  <si>
    <t>Reg 12</t>
  </si>
  <si>
    <t>Contract 12</t>
  </si>
  <si>
    <t>Company D</t>
  </si>
  <si>
    <t>DURBAN</t>
  </si>
  <si>
    <t>Reg 13</t>
  </si>
  <si>
    <t>Contract 13</t>
  </si>
  <si>
    <t>VRYHEID</t>
  </si>
  <si>
    <t>Reg 14</t>
  </si>
  <si>
    <t>Contract 14</t>
  </si>
  <si>
    <t>FORD</t>
  </si>
  <si>
    <t>RANGER 2.0 SiT D CAB BASE 4X4</t>
  </si>
  <si>
    <t>Reg 15</t>
  </si>
  <si>
    <t>Contract 15</t>
  </si>
  <si>
    <t>Reg 16</t>
  </si>
  <si>
    <t>Contract 16</t>
  </si>
  <si>
    <t>Reg 17</t>
  </si>
  <si>
    <t>Contract 17</t>
  </si>
  <si>
    <t>SEDAN</t>
  </si>
  <si>
    <t>ALMERA 1.5 ACENTA</t>
  </si>
  <si>
    <t>Reg 18</t>
  </si>
  <si>
    <t>Contract 18</t>
  </si>
  <si>
    <t>SUZUKI</t>
  </si>
  <si>
    <t>DZIRE 1.2I GA</t>
  </si>
  <si>
    <t>LADYSMITH</t>
  </si>
  <si>
    <t>Reg 19</t>
  </si>
  <si>
    <t>Contract 19</t>
  </si>
  <si>
    <t>TOYOTA</t>
  </si>
  <si>
    <t>HILUX 2.4 GD S AC 5MT</t>
  </si>
  <si>
    <t>Reg 20</t>
  </si>
  <si>
    <t>Contract 20</t>
  </si>
  <si>
    <t>Company E</t>
  </si>
  <si>
    <t>PIET RETIEF</t>
  </si>
  <si>
    <t>Reg 21</t>
  </si>
  <si>
    <t>Contract 21</t>
  </si>
  <si>
    <t>MINIBUS</t>
  </si>
  <si>
    <t>VOLKSWAGEN</t>
  </si>
  <si>
    <t>T6.1 KOMBI 2.0 TDI TRENDLINE DSG</t>
  </si>
  <si>
    <t>BAYHEAD</t>
  </si>
  <si>
    <t>Reg 22</t>
  </si>
  <si>
    <t>Contract 22</t>
  </si>
  <si>
    <t>Reg 23</t>
  </si>
  <si>
    <t>Contract 23</t>
  </si>
  <si>
    <t>D-MAX 1.9 DDI D CAB HR L AT</t>
  </si>
  <si>
    <t>Reg 24</t>
  </si>
  <si>
    <t>Contract 24</t>
  </si>
  <si>
    <t>DANSKRAAL</t>
  </si>
  <si>
    <t>Reg 25</t>
  </si>
  <si>
    <t>Contract 25</t>
  </si>
  <si>
    <t>HYUNDAI</t>
  </si>
  <si>
    <t>STARIA 2.2D EXECUTIVE 9 SEATER AT</t>
  </si>
  <si>
    <t>Reg 26</t>
  </si>
  <si>
    <t>Contract 26</t>
  </si>
  <si>
    <t>QUANTUM 2.5 D-4D 14-SEATER BUS</t>
  </si>
  <si>
    <t>Reg 27</t>
  </si>
  <si>
    <t>Contract 27</t>
  </si>
  <si>
    <t>Company F</t>
  </si>
  <si>
    <t>Reg 28</t>
  </si>
  <si>
    <t>Contract 28</t>
  </si>
  <si>
    <t>BELLVILLE</t>
  </si>
  <si>
    <t>Reg 29</t>
  </si>
  <si>
    <t>Contract 29</t>
  </si>
  <si>
    <t>HILUX 2.4 GD S 5MT</t>
  </si>
  <si>
    <t>ALRODE</t>
  </si>
  <si>
    <t>Reg 32</t>
  </si>
  <si>
    <t>Contract 32</t>
  </si>
  <si>
    <t>POLO SEDAN 1.6 LIFE</t>
  </si>
  <si>
    <t>Reg 33</t>
  </si>
  <si>
    <t>Contract 33</t>
  </si>
  <si>
    <t>Reg 34</t>
  </si>
  <si>
    <t>Contract 34</t>
  </si>
  <si>
    <t>Reg 35</t>
  </si>
  <si>
    <t>Contract 35</t>
  </si>
  <si>
    <t>Reg 36</t>
  </si>
  <si>
    <t>Contract 36</t>
  </si>
  <si>
    <t>2/29/2025</t>
  </si>
  <si>
    <t>Reg 37</t>
  </si>
  <si>
    <t>Contract 37</t>
  </si>
  <si>
    <t>Reg 38</t>
  </si>
  <si>
    <t>Contract 38</t>
  </si>
  <si>
    <t>STARIA 2.2D EXECUTIVE 11 SEATER AT</t>
  </si>
  <si>
    <t>Reg 39</t>
  </si>
  <si>
    <t>Contract 39</t>
  </si>
  <si>
    <t>Reg 40</t>
  </si>
  <si>
    <t>Contract 40</t>
  </si>
  <si>
    <t>Reg 41</t>
  </si>
  <si>
    <t>Contract 41</t>
  </si>
  <si>
    <t>RANGER 2.0 SiT D CAB BASE 4X2</t>
  </si>
  <si>
    <t>Reg 42</t>
  </si>
  <si>
    <t>Contract 42</t>
  </si>
  <si>
    <t>Reg 43</t>
  </si>
  <si>
    <t>Contract 43</t>
  </si>
  <si>
    <t>Reg 44</t>
  </si>
  <si>
    <t>Contract 44</t>
  </si>
  <si>
    <t>Reg 45</t>
  </si>
  <si>
    <t>Contract 45</t>
  </si>
  <si>
    <t>Reg 46</t>
  </si>
  <si>
    <t>Contract 46</t>
  </si>
  <si>
    <t>Reg 47</t>
  </si>
  <si>
    <t>Contract 47</t>
  </si>
  <si>
    <t>Reg 48</t>
  </si>
  <si>
    <t>Contract 48</t>
  </si>
  <si>
    <t>Reg 49</t>
  </si>
  <si>
    <t>Contract 49</t>
  </si>
  <si>
    <t>Reg 50</t>
  </si>
  <si>
    <t>Contract 50</t>
  </si>
  <si>
    <t>Reg 51</t>
  </si>
  <si>
    <t>Contract 51</t>
  </si>
  <si>
    <t>Reg 52</t>
  </si>
  <si>
    <t>Contract 52</t>
  </si>
  <si>
    <t>Reg 53</t>
  </si>
  <si>
    <t>Contract 53</t>
  </si>
  <si>
    <t>TOURNEO CUSTOM 2.2 TDCI AMBIENTE LWB</t>
  </si>
  <si>
    <t>Reg 54</t>
  </si>
  <si>
    <t>Contract 54</t>
  </si>
  <si>
    <t>NEWCASTLE</t>
  </si>
  <si>
    <t>Reg 55</t>
  </si>
  <si>
    <t>Contract 55</t>
  </si>
  <si>
    <t>Reg 56</t>
  </si>
  <si>
    <t>Contract 56</t>
  </si>
  <si>
    <t>Reg 57</t>
  </si>
  <si>
    <t>Contract 57</t>
  </si>
  <si>
    <t>Reg 58</t>
  </si>
  <si>
    <t>Contract 58</t>
  </si>
  <si>
    <t>D-MAX 1.9 DDI D CAB 4X4 L</t>
  </si>
  <si>
    <t>Reg 59</t>
  </si>
  <si>
    <t>Contract 59</t>
  </si>
  <si>
    <t>Reg 60</t>
  </si>
  <si>
    <t>Contract 60</t>
  </si>
  <si>
    <t>Reg 61</t>
  </si>
  <si>
    <t>Contract 61</t>
  </si>
  <si>
    <t>Reg 62</t>
  </si>
  <si>
    <t>Contract 62</t>
  </si>
  <si>
    <t>Reg 63</t>
  </si>
  <si>
    <t>Contract 63</t>
  </si>
  <si>
    <t>Reg 64</t>
  </si>
  <si>
    <t>Contract 64</t>
  </si>
  <si>
    <t>Reg 65</t>
  </si>
  <si>
    <t>Contract 65</t>
  </si>
  <si>
    <t>Reg 66</t>
  </si>
  <si>
    <t>Contract 66</t>
  </si>
  <si>
    <t>Reg 67</t>
  </si>
  <si>
    <t>Contract 67</t>
  </si>
  <si>
    <t>Reg 68</t>
  </si>
  <si>
    <t>Contract 68</t>
  </si>
  <si>
    <t>Reg 69</t>
  </si>
  <si>
    <t>Contract 69</t>
  </si>
  <si>
    <t>Reg 70</t>
  </si>
  <si>
    <t>Contract 70</t>
  </si>
  <si>
    <t>Reg 71</t>
  </si>
  <si>
    <t>Contract 71</t>
  </si>
  <si>
    <t>Reg 72</t>
  </si>
  <si>
    <t>Contract 72</t>
  </si>
  <si>
    <t>Reg 73</t>
  </si>
  <si>
    <t>Contract 73</t>
  </si>
  <si>
    <t>GWM</t>
  </si>
  <si>
    <t>P SERIES 2.0 TD SX S CAB 4X2</t>
  </si>
  <si>
    <t>PERWAY</t>
  </si>
  <si>
    <t>Reg 74</t>
  </si>
  <si>
    <t>Contract 74</t>
  </si>
  <si>
    <t>EMPANGENI</t>
  </si>
  <si>
    <t>Reg 75</t>
  </si>
  <si>
    <t>Contract 75</t>
  </si>
  <si>
    <t>NAVARA 2.5D SE 4X2 D CAB</t>
  </si>
  <si>
    <t>Reg 76</t>
  </si>
  <si>
    <t>Contract 76</t>
  </si>
  <si>
    <t>Reg 77</t>
  </si>
  <si>
    <t>Contract 77</t>
  </si>
  <si>
    <t>Reg 78</t>
  </si>
  <si>
    <t>Contract 78</t>
  </si>
  <si>
    <t>Reg 79</t>
  </si>
  <si>
    <t>Contract 79</t>
  </si>
  <si>
    <t>Reg 80</t>
  </si>
  <si>
    <t>Contract 80</t>
  </si>
  <si>
    <t>Reg 81</t>
  </si>
  <si>
    <t>Contract 81</t>
  </si>
  <si>
    <t>Reg 82</t>
  </si>
  <si>
    <t>Contract 82</t>
  </si>
  <si>
    <t>Reg 83</t>
  </si>
  <si>
    <t>Contract 83</t>
  </si>
  <si>
    <t>Reg 84</t>
  </si>
  <si>
    <t>Contract 84</t>
  </si>
  <si>
    <t>Reg 85</t>
  </si>
  <si>
    <t>Contract 85</t>
  </si>
  <si>
    <t>Reg 86</t>
  </si>
  <si>
    <t>Contract 86</t>
  </si>
  <si>
    <t>Reg 87</t>
  </si>
  <si>
    <t>Contract 87</t>
  </si>
  <si>
    <t>Reg 88</t>
  </si>
  <si>
    <t>Contract 88</t>
  </si>
  <si>
    <t>Reg 89</t>
  </si>
  <si>
    <t>Contract 89</t>
  </si>
  <si>
    <t>Reg 90</t>
  </si>
  <si>
    <t>Contract 90</t>
  </si>
  <si>
    <t>Reg 91</t>
  </si>
  <si>
    <t>Contract 91</t>
  </si>
  <si>
    <t>Reg 92</t>
  </si>
  <si>
    <t>Contract 92</t>
  </si>
  <si>
    <t>D-MAX 1.9 DDI D CAB HR L</t>
  </si>
  <si>
    <t>Reg 93</t>
  </si>
  <si>
    <t>Contract 93</t>
  </si>
  <si>
    <t>Reg 94</t>
  </si>
  <si>
    <t>Contract 94</t>
  </si>
  <si>
    <t>Reg 95</t>
  </si>
  <si>
    <t>Contract 95</t>
  </si>
  <si>
    <t>Reg 96</t>
  </si>
  <si>
    <t>Contract 96</t>
  </si>
  <si>
    <t>Reg 97</t>
  </si>
  <si>
    <t>Contract 97</t>
  </si>
  <si>
    <t>Reg 98</t>
  </si>
  <si>
    <t>Contract 98</t>
  </si>
  <si>
    <t>Reg 99</t>
  </si>
  <si>
    <t>Contract 99</t>
  </si>
  <si>
    <t>Reg 100</t>
  </si>
  <si>
    <t>Contract 100</t>
  </si>
  <si>
    <t>CIAZ 1.5 GL</t>
  </si>
  <si>
    <t>Reg 101</t>
  </si>
  <si>
    <t>Contract 101</t>
  </si>
  <si>
    <t>BETHLEHEM</t>
  </si>
  <si>
    <t>FREE STATE</t>
  </si>
  <si>
    <t>Reg 102</t>
  </si>
  <si>
    <t>Contract 102</t>
  </si>
  <si>
    <t>Reg 103</t>
  </si>
  <si>
    <t>Contract 103</t>
  </si>
  <si>
    <t>Reg 104</t>
  </si>
  <si>
    <t>Contract 104</t>
  </si>
  <si>
    <t>Reg 105</t>
  </si>
  <si>
    <t>Contract 105</t>
  </si>
  <si>
    <t>Reg 106</t>
  </si>
  <si>
    <t>Contract 106</t>
  </si>
  <si>
    <t>PIETERMARITZBURG</t>
  </si>
  <si>
    <t>Reg 107</t>
  </si>
  <si>
    <t>Contract 107</t>
  </si>
  <si>
    <t>Reg 108</t>
  </si>
  <si>
    <t>Contract 108</t>
  </si>
  <si>
    <t>Reg 109</t>
  </si>
  <si>
    <t>Contract 109</t>
  </si>
  <si>
    <t>Reg 110</t>
  </si>
  <si>
    <t>Contract 110</t>
  </si>
  <si>
    <t>Reg 111</t>
  </si>
  <si>
    <t>Contract 111</t>
  </si>
  <si>
    <t>Reg 112</t>
  </si>
  <si>
    <t>Contract 112</t>
  </si>
  <si>
    <t>Reg 113</t>
  </si>
  <si>
    <t>Contract 113</t>
  </si>
  <si>
    <t>Reg 114</t>
  </si>
  <si>
    <t>Contract 114</t>
  </si>
  <si>
    <t>Reg 115</t>
  </si>
  <si>
    <t>Contract 115</t>
  </si>
  <si>
    <t>Reg 116</t>
  </si>
  <si>
    <t>Contract 116</t>
  </si>
  <si>
    <t>Reg 117</t>
  </si>
  <si>
    <t>Contract 117</t>
  </si>
  <si>
    <t>Reg 118</t>
  </si>
  <si>
    <t>Contract 118</t>
  </si>
  <si>
    <t>Reg 119</t>
  </si>
  <si>
    <t>Contract 119</t>
  </si>
  <si>
    <t>Reg 120</t>
  </si>
  <si>
    <t>Contract 120</t>
  </si>
  <si>
    <t>Reg 121</t>
  </si>
  <si>
    <t>Contract 121</t>
  </si>
  <si>
    <t>NAVARA 2.5D SE 4X2 S CAB</t>
  </si>
  <si>
    <t>Reg 122</t>
  </si>
  <si>
    <t>Contract 122</t>
  </si>
  <si>
    <t>Reg 123</t>
  </si>
  <si>
    <t>Contract 123</t>
  </si>
  <si>
    <t>Reg 124</t>
  </si>
  <si>
    <t>Contract 124</t>
  </si>
  <si>
    <t>Reg 125</t>
  </si>
  <si>
    <t>Contract 125</t>
  </si>
  <si>
    <t>Reg 126</t>
  </si>
  <si>
    <t>Contract 126</t>
  </si>
  <si>
    <t>Reg 127</t>
  </si>
  <si>
    <t>Contract 127</t>
  </si>
  <si>
    <t>Reg 128</t>
  </si>
  <si>
    <t>Contract 128</t>
  </si>
  <si>
    <t>Reg 129</t>
  </si>
  <si>
    <t>Contract 129</t>
  </si>
  <si>
    <t>Reg 130</t>
  </si>
  <si>
    <t>Contract 130</t>
  </si>
  <si>
    <t>Reg 131</t>
  </si>
  <si>
    <t>Contract 131</t>
  </si>
  <si>
    <t>Reg 132</t>
  </si>
  <si>
    <t>Contract 132</t>
  </si>
  <si>
    <t>Reg 133</t>
  </si>
  <si>
    <t>Contract 133</t>
  </si>
  <si>
    <t>Reg 134</t>
  </si>
  <si>
    <t>Contract 134</t>
  </si>
  <si>
    <t>Reg 135</t>
  </si>
  <si>
    <t>Contract 135</t>
  </si>
  <si>
    <t>Reg 136</t>
  </si>
  <si>
    <t>Contract 136</t>
  </si>
  <si>
    <t>Reg 137</t>
  </si>
  <si>
    <t>Contract 137</t>
  </si>
  <si>
    <t>Reg 138</t>
  </si>
  <si>
    <t>Contract 138</t>
  </si>
  <si>
    <t>Reg 139</t>
  </si>
  <si>
    <t>Contract 139</t>
  </si>
  <si>
    <t>Reg 140</t>
  </si>
  <si>
    <t>Contract 140</t>
  </si>
  <si>
    <t>Reg 141</t>
  </si>
  <si>
    <t>Contract 141</t>
  </si>
  <si>
    <t>Reg 142</t>
  </si>
  <si>
    <t>Contract 142</t>
  </si>
  <si>
    <t>Reg 143</t>
  </si>
  <si>
    <t>Contract 143</t>
  </si>
  <si>
    <t>Reg 144</t>
  </si>
  <si>
    <t>Contract 144</t>
  </si>
  <si>
    <t>Reg 145</t>
  </si>
  <si>
    <t>Contract 145</t>
  </si>
  <si>
    <t>Reg 146</t>
  </si>
  <si>
    <t>Contract 146</t>
  </si>
  <si>
    <t>Reg 147</t>
  </si>
  <si>
    <t>Contract 147</t>
  </si>
  <si>
    <t>Reg 148</t>
  </si>
  <si>
    <t>Contract 148</t>
  </si>
  <si>
    <t>Reg 149</t>
  </si>
  <si>
    <t>Contract 149</t>
  </si>
  <si>
    <t>Reg 150</t>
  </si>
  <si>
    <t>Contract 150</t>
  </si>
  <si>
    <t>Reg 151</t>
  </si>
  <si>
    <t>Contract 151</t>
  </si>
  <si>
    <t>Reg 152</t>
  </si>
  <si>
    <t>Contract 152</t>
  </si>
  <si>
    <t>Reg 153</t>
  </si>
  <si>
    <t>Contract 153</t>
  </si>
  <si>
    <t>Reg 154</t>
  </si>
  <si>
    <t>Contract 154</t>
  </si>
  <si>
    <t>Reg 155</t>
  </si>
  <si>
    <t>Contract 155</t>
  </si>
  <si>
    <t>Reg 156</t>
  </si>
  <si>
    <t>Contract 156</t>
  </si>
  <si>
    <t>Reg 157</t>
  </si>
  <si>
    <t>Contract 157</t>
  </si>
  <si>
    <t>Reg 158</t>
  </si>
  <si>
    <t>Contract 158</t>
  </si>
  <si>
    <t>Reg 159</t>
  </si>
  <si>
    <t>Contract 159</t>
  </si>
  <si>
    <t>Reg 160</t>
  </si>
  <si>
    <t>Contract 160</t>
  </si>
  <si>
    <t>Reg 161</t>
  </si>
  <si>
    <t>Contract 161</t>
  </si>
  <si>
    <t>Reg 162</t>
  </si>
  <si>
    <t>Contract 162</t>
  </si>
  <si>
    <t>Reg 163</t>
  </si>
  <si>
    <t>Contract 163</t>
  </si>
  <si>
    <t>Reg 164</t>
  </si>
  <si>
    <t>Contract 164</t>
  </si>
  <si>
    <t>Reg 165</t>
  </si>
  <si>
    <t>Contract 165</t>
  </si>
  <si>
    <t>Reg 166</t>
  </si>
  <si>
    <t>Contract 166</t>
  </si>
  <si>
    <t>Reg 167</t>
  </si>
  <si>
    <t>Contract 167</t>
  </si>
  <si>
    <t>Reg 168</t>
  </si>
  <si>
    <t>Contract 168</t>
  </si>
  <si>
    <t>Reg 169</t>
  </si>
  <si>
    <t>Contract 169</t>
  </si>
  <si>
    <t>ALBERTON</t>
  </si>
  <si>
    <t>Reg 170</t>
  </si>
  <si>
    <t>Contract 170</t>
  </si>
  <si>
    <t>VLAKPLAAS</t>
  </si>
  <si>
    <t>Reg 171</t>
  </si>
  <si>
    <t>Contract 171</t>
  </si>
  <si>
    <t xml:space="preserve">ONE TON LDV EXTENDED CAB </t>
  </si>
  <si>
    <t>D-MAX 250 HO HI-RIDER EXTENDED CAB</t>
  </si>
  <si>
    <t>CENTRAL REGION</t>
  </si>
  <si>
    <t>Reg 172</t>
  </si>
  <si>
    <t>Contract 172</t>
  </si>
  <si>
    <t>D-MAX 250 HO HI-RIDER D/CAB 4X4</t>
  </si>
  <si>
    <t>Reg 173</t>
  </si>
  <si>
    <t>Contract 173</t>
  </si>
  <si>
    <t>Reg 174</t>
  </si>
  <si>
    <t>Contract 174</t>
  </si>
  <si>
    <t>Reg 175</t>
  </si>
  <si>
    <t>Contract 175</t>
  </si>
  <si>
    <t>ALMERA 1.5 ACENTA AT</t>
  </si>
  <si>
    <t>WATLOO</t>
  </si>
  <si>
    <t>Reg 176</t>
  </si>
  <si>
    <t>Contract 176</t>
  </si>
  <si>
    <t>Reg 177</t>
  </si>
  <si>
    <t>Contract 177</t>
  </si>
  <si>
    <t>RANGER 2.2 TDCI XL 4X4 D CAB</t>
  </si>
  <si>
    <t>TARLTON</t>
  </si>
  <si>
    <t>Reg 178</t>
  </si>
  <si>
    <t>Contract 178</t>
  </si>
  <si>
    <t>Reg 179</t>
  </si>
  <si>
    <t>Contract 179</t>
  </si>
  <si>
    <t>Reg 180</t>
  </si>
  <si>
    <t>Contract 180</t>
  </si>
  <si>
    <t>Reg 181</t>
  </si>
  <si>
    <t>Contract 181</t>
  </si>
  <si>
    <t>Reg 182</t>
  </si>
  <si>
    <t>Contract 182</t>
  </si>
  <si>
    <t>Reg 183</t>
  </si>
  <si>
    <t>Contract 183</t>
  </si>
  <si>
    <t>RANGER 2.0 SiT XL X CAB AT 4X4</t>
  </si>
  <si>
    <t>Reg 184</t>
  </si>
  <si>
    <t>Contract 184</t>
  </si>
  <si>
    <t>Reg 185</t>
  </si>
  <si>
    <t>Contract 185</t>
  </si>
  <si>
    <t>Reg 186</t>
  </si>
  <si>
    <t>Contract 186</t>
  </si>
  <si>
    <t>Reg 187</t>
  </si>
  <si>
    <t>Contract 187</t>
  </si>
  <si>
    <t>Reg 188</t>
  </si>
  <si>
    <t>Contract 188</t>
  </si>
  <si>
    <t>Reg 189</t>
  </si>
  <si>
    <t>Contract 189</t>
  </si>
  <si>
    <t>Reg 190</t>
  </si>
  <si>
    <t>Contract 190</t>
  </si>
  <si>
    <t>Reg 191</t>
  </si>
  <si>
    <t>Contract 191</t>
  </si>
  <si>
    <t>Reg 192</t>
  </si>
  <si>
    <t>Contract 192</t>
  </si>
  <si>
    <t>Reg 193</t>
  </si>
  <si>
    <t>Contract 193</t>
  </si>
  <si>
    <t>D-MAX 3.0 DDI E CAB 4X4 LSE AT</t>
  </si>
  <si>
    <t>Reg 194</t>
  </si>
  <si>
    <t>Contract 194</t>
  </si>
  <si>
    <t>Reg 195</t>
  </si>
  <si>
    <t>Contract 195</t>
  </si>
  <si>
    <t>D-MAX 1.9 DDI S CAB HR L</t>
  </si>
  <si>
    <t>Reg 196</t>
  </si>
  <si>
    <t>Contract 196</t>
  </si>
  <si>
    <t>Reg 197</t>
  </si>
  <si>
    <t>Contract 197</t>
  </si>
  <si>
    <t>Reg 198</t>
  </si>
  <si>
    <t>Contract 198</t>
  </si>
  <si>
    <t>Reg 199</t>
  </si>
  <si>
    <t>Contract 199</t>
  </si>
  <si>
    <t>Reg 200</t>
  </si>
  <si>
    <t>Contract 200</t>
  </si>
  <si>
    <t>Reg 201</t>
  </si>
  <si>
    <t>Contract 201</t>
  </si>
  <si>
    <t>Reg 202</t>
  </si>
  <si>
    <t>Contract 202</t>
  </si>
  <si>
    <t>Reg 203</t>
  </si>
  <si>
    <t>Contract 203</t>
  </si>
  <si>
    <t>Reg 204</t>
  </si>
  <si>
    <t>Contract 204</t>
  </si>
  <si>
    <t>Reg 205</t>
  </si>
  <si>
    <t>Contract 205</t>
  </si>
  <si>
    <t>Reg 206</t>
  </si>
  <si>
    <t>Contract 206</t>
  </si>
  <si>
    <t>Reg 207</t>
  </si>
  <si>
    <t>Contract 207</t>
  </si>
  <si>
    <t>COROLLA QUEST 1.8 CVT</t>
  </si>
  <si>
    <t>Reg 208</t>
  </si>
  <si>
    <t>Contract 208</t>
  </si>
  <si>
    <t>Reg 209</t>
  </si>
  <si>
    <t>Contract 209</t>
  </si>
  <si>
    <t>Reg 210</t>
  </si>
  <si>
    <t>Contract 210</t>
  </si>
  <si>
    <t>Reg 211</t>
  </si>
  <si>
    <t>Contract 211</t>
  </si>
  <si>
    <t>QUANTUM 2.8 GL LWB 14 SEATER</t>
  </si>
  <si>
    <t>Reg 212</t>
  </si>
  <si>
    <t>Contract 212</t>
  </si>
  <si>
    <t>Reg 213</t>
  </si>
  <si>
    <t>Contract 213</t>
  </si>
  <si>
    <t>Reg 214</t>
  </si>
  <si>
    <t>Contract 214</t>
  </si>
  <si>
    <t>Reg 215</t>
  </si>
  <si>
    <t>Contract 215</t>
  </si>
  <si>
    <t>Reg 216</t>
  </si>
  <si>
    <t>Contract 216</t>
  </si>
  <si>
    <t>Reg 217</t>
  </si>
  <si>
    <t>Contract 217</t>
  </si>
  <si>
    <t>Reg 218</t>
  </si>
  <si>
    <t>Contract 218</t>
  </si>
  <si>
    <t>Reg 219</t>
  </si>
  <si>
    <t>Contract 219</t>
  </si>
  <si>
    <t>Reg 220</t>
  </si>
  <si>
    <t>Contract 220</t>
  </si>
  <si>
    <t>Reg 221</t>
  </si>
  <si>
    <t>Contract 221</t>
  </si>
  <si>
    <t>Reg 222</t>
  </si>
  <si>
    <t>Contract 222</t>
  </si>
  <si>
    <t>Reg 223</t>
  </si>
  <si>
    <t>Contract 223</t>
  </si>
  <si>
    <t>Reg 224</t>
  </si>
  <si>
    <t>Contract 224</t>
  </si>
  <si>
    <t>Reg 225</t>
  </si>
  <si>
    <t>Contract 225</t>
  </si>
  <si>
    <t>Reg 226</t>
  </si>
  <si>
    <t>Contract 226</t>
  </si>
  <si>
    <t>Reg 227</t>
  </si>
  <si>
    <t>Contract 227</t>
  </si>
  <si>
    <t>Reg 228</t>
  </si>
  <si>
    <t>Contract 228</t>
  </si>
  <si>
    <t>Reg 229</t>
  </si>
  <si>
    <t>Contract 229</t>
  </si>
  <si>
    <t>Reg 230</t>
  </si>
  <si>
    <t>Contract 230</t>
  </si>
  <si>
    <t>Reg 231</t>
  </si>
  <si>
    <t>Contract 231</t>
  </si>
  <si>
    <t>Reg 232</t>
  </si>
  <si>
    <t>Contract 232</t>
  </si>
  <si>
    <t>Reg 233</t>
  </si>
  <si>
    <t>Contract 233</t>
  </si>
  <si>
    <t>Reg 234</t>
  </si>
  <si>
    <t>Contract 234</t>
  </si>
  <si>
    <t>Reg 235</t>
  </si>
  <si>
    <t>Contract 235</t>
  </si>
  <si>
    <t>Reg 236</t>
  </si>
  <si>
    <t>Contract 236</t>
  </si>
  <si>
    <t>Reg 237</t>
  </si>
  <si>
    <t>Contract 237</t>
  </si>
  <si>
    <t>Reg 238</t>
  </si>
  <si>
    <t>Contract 238</t>
  </si>
  <si>
    <t>Reg 239</t>
  </si>
  <si>
    <t>Contract 239</t>
  </si>
  <si>
    <t>Reg 240</t>
  </si>
  <si>
    <t>Contract 240</t>
  </si>
  <si>
    <t>Reg 241</t>
  </si>
  <si>
    <t>Contract 241</t>
  </si>
  <si>
    <t>Reg 242</t>
  </si>
  <si>
    <t>Contract 242</t>
  </si>
  <si>
    <t>Reg 243</t>
  </si>
  <si>
    <t>Contract 243</t>
  </si>
  <si>
    <t>Reg 244</t>
  </si>
  <si>
    <t>Contract 244</t>
  </si>
  <si>
    <t>Reg 245</t>
  </si>
  <si>
    <t>Contract 245</t>
  </si>
  <si>
    <t>Reg 246</t>
  </si>
  <si>
    <t>Contract 246</t>
  </si>
  <si>
    <t>Reg 247</t>
  </si>
  <si>
    <t>Contract 247</t>
  </si>
  <si>
    <t>Reg 248</t>
  </si>
  <si>
    <t>Contract 248</t>
  </si>
  <si>
    <t>Reg 249</t>
  </si>
  <si>
    <t>Contract 249</t>
  </si>
  <si>
    <t>MERCEDES</t>
  </si>
  <si>
    <t>VITO 114 CDI TOURER PRO</t>
  </si>
  <si>
    <t>Reg 250</t>
  </si>
  <si>
    <t>Contract 250</t>
  </si>
  <si>
    <t>Reg 251</t>
  </si>
  <si>
    <t>Contract 251</t>
  </si>
  <si>
    <t>Reg 252</t>
  </si>
  <si>
    <t>Contract 252</t>
  </si>
  <si>
    <t>Reg 253</t>
  </si>
  <si>
    <t>Contract 253</t>
  </si>
  <si>
    <t>Reg 254</t>
  </si>
  <si>
    <t>Contract 254</t>
  </si>
  <si>
    <t>Reg 255</t>
  </si>
  <si>
    <t>Contract 255</t>
  </si>
  <si>
    <t>Reg 256</t>
  </si>
  <si>
    <t>Contract 256</t>
  </si>
  <si>
    <t>Reg 257</t>
  </si>
  <si>
    <t>Contract 257</t>
  </si>
  <si>
    <t>Reg 258</t>
  </si>
  <si>
    <t>Contract 258</t>
  </si>
  <si>
    <t>Reg 259</t>
  </si>
  <si>
    <t>Contract 259</t>
  </si>
  <si>
    <t>Reg 260</t>
  </si>
  <si>
    <t>Contract 260</t>
  </si>
  <si>
    <t>Reg 261</t>
  </si>
  <si>
    <t>Contract 261</t>
  </si>
  <si>
    <t>Reg 262</t>
  </si>
  <si>
    <t>Contract 262</t>
  </si>
  <si>
    <t>Reg 263</t>
  </si>
  <si>
    <t>Contract 263</t>
  </si>
  <si>
    <t>Reg 264</t>
  </si>
  <si>
    <t>Contract 264</t>
  </si>
  <si>
    <t>Reg 265</t>
  </si>
  <si>
    <t>Contract 265</t>
  </si>
  <si>
    <t>QUANTUM 2.7 VVT-I SESFIKILE 16-SEATER BUS</t>
  </si>
  <si>
    <t>Reg 266</t>
  </si>
  <si>
    <t>Contract 266</t>
  </si>
  <si>
    <t>Reg 267</t>
  </si>
  <si>
    <t>Contract 267</t>
  </si>
  <si>
    <t>Reg 268</t>
  </si>
  <si>
    <t>Contract 268</t>
  </si>
  <si>
    <t>Reg 269</t>
  </si>
  <si>
    <t>Contract 269</t>
  </si>
  <si>
    <t>Reg 270</t>
  </si>
  <si>
    <t>Contract 270</t>
  </si>
  <si>
    <t>Reg 271</t>
  </si>
  <si>
    <t>Contract 271</t>
  </si>
  <si>
    <t>Reg 272</t>
  </si>
  <si>
    <t>Contract 272</t>
  </si>
  <si>
    <t>NP200 1.5 dCi A/C + SAFETY PACK</t>
  </si>
  <si>
    <t>Reg 273</t>
  </si>
  <si>
    <t>Contract 273</t>
  </si>
  <si>
    <t>Reg 274</t>
  </si>
  <si>
    <t>Contract 274</t>
  </si>
  <si>
    <t>Reg 275</t>
  </si>
  <si>
    <t>Contract 275</t>
  </si>
  <si>
    <t>Reg 276</t>
  </si>
  <si>
    <t>Contract 276</t>
  </si>
  <si>
    <t>Reg 277</t>
  </si>
  <si>
    <t>Contract 277</t>
  </si>
  <si>
    <t>Reg 278</t>
  </si>
  <si>
    <t>Contract 278</t>
  </si>
  <si>
    <t>Reg 279</t>
  </si>
  <si>
    <t>Contract 279</t>
  </si>
  <si>
    <t>Reg 280</t>
  </si>
  <si>
    <t>Contract 280</t>
  </si>
  <si>
    <t>Reg 281</t>
  </si>
  <si>
    <t>Contract 281</t>
  </si>
  <si>
    <t>ETIOS 1.5 Xs SEDAN</t>
  </si>
  <si>
    <t>Reg 282</t>
  </si>
  <si>
    <t>Contract 282</t>
  </si>
  <si>
    <t>Reg 283</t>
  </si>
  <si>
    <t>Contract 283</t>
  </si>
  <si>
    <t>Name 2</t>
  </si>
  <si>
    <t>Reg 284</t>
  </si>
  <si>
    <t>Contract 284</t>
  </si>
  <si>
    <t>HILUX 2.8 GD-6 D/CAB 4X4 RAIDER</t>
  </si>
  <si>
    <t>SALT RIVER</t>
  </si>
  <si>
    <t>Reg 285</t>
  </si>
  <si>
    <t>Contract 285</t>
  </si>
  <si>
    <t>Reg 286</t>
  </si>
  <si>
    <t>Contract 286</t>
  </si>
  <si>
    <t>Reg 287</t>
  </si>
  <si>
    <t>Contract 287</t>
  </si>
  <si>
    <t>Reg 288</t>
  </si>
  <si>
    <t>Contract 288</t>
  </si>
  <si>
    <t>Reg 289</t>
  </si>
  <si>
    <t>Contract 289</t>
  </si>
  <si>
    <t>Reg 290</t>
  </si>
  <si>
    <t>Contract 290</t>
  </si>
  <si>
    <t>Reg 291</t>
  </si>
  <si>
    <t>Contract 291</t>
  </si>
  <si>
    <t>Reg 292</t>
  </si>
  <si>
    <t>Contract 292</t>
  </si>
  <si>
    <t>Reg 293</t>
  </si>
  <si>
    <t>Contract 293</t>
  </si>
  <si>
    <t>Reg 294</t>
  </si>
  <si>
    <t>Contract 294</t>
  </si>
  <si>
    <t>Reg 295</t>
  </si>
  <si>
    <t>Contract 295</t>
  </si>
  <si>
    <t>Reg 296</t>
  </si>
  <si>
    <t>Contract 296</t>
  </si>
  <si>
    <t>Reg 297</t>
  </si>
  <si>
    <t>Contract 297</t>
  </si>
  <si>
    <t>Reg 298</t>
  </si>
  <si>
    <t>Contract 298</t>
  </si>
  <si>
    <t>H1 2.5 VGTi 9-SEATER BUS AT</t>
  </si>
  <si>
    <t>Reg 299</t>
  </si>
  <si>
    <t>Contract 299</t>
  </si>
  <si>
    <t>Reg 300</t>
  </si>
  <si>
    <t>Contract 300</t>
  </si>
  <si>
    <t>Reg 301</t>
  </si>
  <si>
    <t>Contract 301</t>
  </si>
  <si>
    <t>Reg 302</t>
  </si>
  <si>
    <t>Contract 302</t>
  </si>
  <si>
    <t>Reg 303</t>
  </si>
  <si>
    <t>Contract 303</t>
  </si>
  <si>
    <t>Reg 304</t>
  </si>
  <si>
    <t>Contract 304</t>
  </si>
  <si>
    <t>Reg 305</t>
  </si>
  <si>
    <t>Contract 305</t>
  </si>
  <si>
    <t>RANGER 2.2 TDCI XL 4X2 D CAB</t>
  </si>
  <si>
    <t>Reg 306</t>
  </si>
  <si>
    <t>Contract 306</t>
  </si>
  <si>
    <t>Reg 307</t>
  </si>
  <si>
    <t>Contract 307</t>
  </si>
  <si>
    <t>Reg 308</t>
  </si>
  <si>
    <t>Contract 308</t>
  </si>
  <si>
    <t>QUANTUM 2.8 GL LWB 11 SEATER</t>
  </si>
  <si>
    <t>Reg 309</t>
  </si>
  <si>
    <t>Contract 309</t>
  </si>
  <si>
    <t>Reg 310</t>
  </si>
  <si>
    <t>Contract 310</t>
  </si>
  <si>
    <t>SALDANHA</t>
  </si>
  <si>
    <t>Reg 311</t>
  </si>
  <si>
    <t>Contract 311</t>
  </si>
  <si>
    <t>Reg 312</t>
  </si>
  <si>
    <t>Contract 312</t>
  </si>
  <si>
    <t>Reg 313</t>
  </si>
  <si>
    <t>Contract 313</t>
  </si>
  <si>
    <t>Reg 314</t>
  </si>
  <si>
    <t>Contract 314</t>
  </si>
  <si>
    <t>Reg 315</t>
  </si>
  <si>
    <t>Contract 315</t>
  </si>
  <si>
    <t>Reg 316</t>
  </si>
  <si>
    <t>Contract 316</t>
  </si>
  <si>
    <t>Reg 317</t>
  </si>
  <si>
    <t>Contract 317</t>
  </si>
  <si>
    <t>Reg 318</t>
  </si>
  <si>
    <t>Contract 318</t>
  </si>
  <si>
    <t>Reg 319</t>
  </si>
  <si>
    <t>Contract 319</t>
  </si>
  <si>
    <t>Reg 320</t>
  </si>
  <si>
    <t>Contract 320</t>
  </si>
  <si>
    <t>Reg 321</t>
  </si>
  <si>
    <t>Contract 321</t>
  </si>
  <si>
    <t>Reg 322</t>
  </si>
  <si>
    <t>Contract 322</t>
  </si>
  <si>
    <t>Reg 323</t>
  </si>
  <si>
    <t>Contract 323</t>
  </si>
  <si>
    <t>Reg 324</t>
  </si>
  <si>
    <t>Contract 324</t>
  </si>
  <si>
    <t>Reg 325</t>
  </si>
  <si>
    <t>Contract 325</t>
  </si>
  <si>
    <t>QUANTUM 2.5 D-4D SESFIKILE 16-SEATER BUS</t>
  </si>
  <si>
    <t>Reg 326</t>
  </si>
  <si>
    <t>Contract 326</t>
  </si>
  <si>
    <t>Reg 327</t>
  </si>
  <si>
    <t>Contract 327</t>
  </si>
  <si>
    <t>Reg 328</t>
  </si>
  <si>
    <t>Contract 328</t>
  </si>
  <si>
    <t>Reg 329</t>
  </si>
  <si>
    <t>Contract 329</t>
  </si>
  <si>
    <t>Reg 330</t>
  </si>
  <si>
    <t>Contract 330</t>
  </si>
  <si>
    <t>Reg 331</t>
  </si>
  <si>
    <t>Contract 331</t>
  </si>
  <si>
    <t>Reg 332</t>
  </si>
  <si>
    <t>Contract 332</t>
  </si>
  <si>
    <t>Reg 333</t>
  </si>
  <si>
    <t>Contract 333</t>
  </si>
  <si>
    <t>Reg 334</t>
  </si>
  <si>
    <t>Contract 334</t>
  </si>
  <si>
    <t>Reg 335</t>
  </si>
  <si>
    <t>Contract 335</t>
  </si>
  <si>
    <t>Reg 336</t>
  </si>
  <si>
    <t>Contract 336</t>
  </si>
  <si>
    <t>Reg 337</t>
  </si>
  <si>
    <t>Contract 337</t>
  </si>
  <si>
    <t>Reg 338</t>
  </si>
  <si>
    <t>Contract 338</t>
  </si>
  <si>
    <t>Reg 339</t>
  </si>
  <si>
    <t>Contract 339</t>
  </si>
  <si>
    <t>Reg 340</t>
  </si>
  <si>
    <t>Contract 340</t>
  </si>
  <si>
    <t>NAVARA 2.5D SE 4X4 D CAB</t>
  </si>
  <si>
    <t>Reg 341</t>
  </si>
  <si>
    <t>Contract 341</t>
  </si>
  <si>
    <t>Reg 342</t>
  </si>
  <si>
    <t>Contract 342</t>
  </si>
  <si>
    <t>Reg 343</t>
  </si>
  <si>
    <t>Contract 343</t>
  </si>
  <si>
    <t>Reg 344</t>
  </si>
  <si>
    <t>Contract 344</t>
  </si>
  <si>
    <t>Reg 345</t>
  </si>
  <si>
    <t>Contract 345</t>
  </si>
  <si>
    <t>Reg 346</t>
  </si>
  <si>
    <t>Contract 346</t>
  </si>
  <si>
    <t>Reg 347</t>
  </si>
  <si>
    <t>Contract 347</t>
  </si>
  <si>
    <t>Reg 348</t>
  </si>
  <si>
    <t>Contract 348</t>
  </si>
  <si>
    <t>Reg 349</t>
  </si>
  <si>
    <t>Contract 349</t>
  </si>
  <si>
    <t>MOSSEL BAY</t>
  </si>
  <si>
    <t>Reg 350</t>
  </si>
  <si>
    <t>Contract 350</t>
  </si>
  <si>
    <t>Reg 351</t>
  </si>
  <si>
    <t>Contract 351</t>
  </si>
  <si>
    <t>Reg 352</t>
  </si>
  <si>
    <t>Contract 352</t>
  </si>
  <si>
    <t>Reg 353</t>
  </si>
  <si>
    <t>Contract 353</t>
  </si>
  <si>
    <t>Reg 354</t>
  </si>
  <si>
    <t>Contract 354</t>
  </si>
  <si>
    <t>D-MAX 250 HO HI-RIDER 4X4</t>
  </si>
  <si>
    <t>Reg 355</t>
  </si>
  <si>
    <t>Contract 355</t>
  </si>
  <si>
    <t>Reg 356</t>
  </si>
  <si>
    <t>Contract 356</t>
  </si>
  <si>
    <t>Reg 357</t>
  </si>
  <si>
    <t>Contract 357</t>
  </si>
  <si>
    <t>Reg 358</t>
  </si>
  <si>
    <t>Contract 358</t>
  </si>
  <si>
    <t>T6.1 PICK UP 2.0 TDI D CAB LWB</t>
  </si>
  <si>
    <t>Reg 359</t>
  </si>
  <si>
    <t>Contract 359</t>
  </si>
  <si>
    <t>Reg 360</t>
  </si>
  <si>
    <t>Contract 360</t>
  </si>
  <si>
    <t>Columns</t>
  </si>
  <si>
    <t>Rows</t>
  </si>
  <si>
    <t>Values</t>
  </si>
  <si>
    <t>Vehicle Fleet Master data</t>
  </si>
  <si>
    <t xml:space="preserve"> - a record of all vehicle master data from inception of contracts that’s currently in fleet</t>
  </si>
  <si>
    <t>FLEET SIZE ANALYSIS DASHBOARD</t>
  </si>
  <si>
    <t>Fleet Size per Business Unit</t>
  </si>
  <si>
    <t>Number of Vehicles</t>
  </si>
  <si>
    <t>Grand Total</t>
  </si>
  <si>
    <t>Fleet Size per Division/Depot/Department</t>
  </si>
  <si>
    <t>Fleet Size per Cost Centre</t>
  </si>
  <si>
    <t>Fleet Size per Manager</t>
  </si>
  <si>
    <t>Manager</t>
  </si>
  <si>
    <t>(blank)</t>
  </si>
  <si>
    <t>Fleet Size per Rate Category</t>
  </si>
  <si>
    <t>Fleet Size per Make</t>
  </si>
  <si>
    <t>Fleet Size per Model</t>
  </si>
  <si>
    <t>Fleet Size per Year</t>
  </si>
  <si>
    <t>Fleet Size per Fuel Type</t>
  </si>
  <si>
    <t>Fleet Size per Engine Size</t>
  </si>
  <si>
    <t>Engine Size</t>
  </si>
  <si>
    <t>Fleet Size per Province</t>
  </si>
  <si>
    <t>Fleet Size per Area</t>
  </si>
  <si>
    <t>Fleet Size per Deal Status</t>
  </si>
  <si>
    <t>Inactive-Sevice, Repairs or Maintenance</t>
  </si>
  <si>
    <t>Inactive-Accident Repairs</t>
  </si>
  <si>
    <t>Sold/ Written off</t>
  </si>
  <si>
    <t>Fleet Size per Supplier</t>
  </si>
  <si>
    <t>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</si>
</sst>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_-&quot;R&quot;* #,##0.00_-;\-&quot;R&quot;* #,##0.00_-;_-&quot;R&quot;* &quot;-&quot;??_-;_-@"/>
  </numFmts>
  <fonts count="7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AEAEAE"/>
        <bgColor rgb="FFAEAEA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2" fillId="4" fontId="3" numFmtId="14" xfId="0" applyAlignment="1" applyBorder="1" applyFont="1" applyNumberForma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3" numFmtId="9" xfId="0" applyAlignment="1" applyBorder="1" applyFont="1" applyNumberForma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5" fontId="3" numFmtId="14" xfId="0" applyAlignment="1" applyBorder="1" applyFont="1" applyNumberFormat="1">
      <alignment horizontal="center" vertical="center"/>
    </xf>
    <xf borderId="2" fillId="5" fontId="3" numFmtId="165" xfId="0" applyAlignment="1" applyBorder="1" applyFont="1" applyNumberFormat="1">
      <alignment horizontal="center" vertical="center"/>
    </xf>
    <xf borderId="2" fillId="5" fontId="3" numFmtId="9" xfId="0" applyAlignment="1" applyBorder="1" applyFont="1" applyNumberForma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164" xfId="0" applyAlignment="1" applyBorder="1" applyFont="1" applyNumberFormat="1">
      <alignment horizontal="center" vertical="center"/>
    </xf>
    <xf borderId="2" fillId="6" fontId="3" numFmtId="14" xfId="0" applyAlignment="1" applyBorder="1" applyFont="1" applyNumberFormat="1">
      <alignment horizontal="center" vertical="center"/>
    </xf>
    <xf borderId="2" fillId="6" fontId="3" numFmtId="165" xfId="0" applyAlignment="1" applyBorder="1" applyFont="1" applyNumberFormat="1">
      <alignment horizontal="center" vertical="center"/>
    </xf>
    <xf borderId="2" fillId="6" fontId="3" numFmtId="9" xfId="0" applyAlignment="1" applyBorder="1" applyFont="1" applyNumberForma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7" fontId="3" numFmtId="164" xfId="0" applyAlignment="1" applyBorder="1" applyFont="1" applyNumberFormat="1">
      <alignment horizontal="center" vertical="center"/>
    </xf>
    <xf borderId="2" fillId="7" fontId="3" numFmtId="14" xfId="0" applyAlignment="1" applyBorder="1" applyFont="1" applyNumberFormat="1">
      <alignment horizontal="center" vertical="center"/>
    </xf>
    <xf borderId="2" fillId="7" fontId="3" numFmtId="165" xfId="0" applyAlignment="1" applyBorder="1" applyFont="1" applyNumberFormat="1">
      <alignment horizontal="center" vertical="center"/>
    </xf>
    <xf borderId="2" fillId="7" fontId="3" numFmtId="9" xfId="0" applyAlignment="1" applyBorder="1" applyFont="1" applyNumberFormat="1">
      <alignment horizontal="center" vertical="center"/>
    </xf>
    <xf borderId="2" fillId="8" fontId="3" numFmtId="0" xfId="0" applyAlignment="1" applyBorder="1" applyFill="1" applyFont="1">
      <alignment horizontal="center" vertical="center"/>
    </xf>
    <xf borderId="2" fillId="8" fontId="3" numFmtId="164" xfId="0" applyAlignment="1" applyBorder="1" applyFont="1" applyNumberFormat="1">
      <alignment horizontal="center" vertical="center"/>
    </xf>
    <xf borderId="2" fillId="8" fontId="3" numFmtId="14" xfId="0" applyAlignment="1" applyBorder="1" applyFont="1" applyNumberFormat="1">
      <alignment horizontal="center" vertical="center"/>
    </xf>
    <xf borderId="2" fillId="8" fontId="3" numFmtId="165" xfId="0" applyAlignment="1" applyBorder="1" applyFont="1" applyNumberFormat="1">
      <alignment horizontal="center" vertical="center"/>
    </xf>
    <xf borderId="2" fillId="8" fontId="3" numFmtId="9" xfId="0" applyAlignment="1" applyBorder="1" applyFont="1" applyNumberForma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3" numFmtId="164" xfId="0" applyAlignment="1" applyBorder="1" applyFont="1" applyNumberFormat="1">
      <alignment horizontal="center" vertical="center"/>
    </xf>
    <xf borderId="2" fillId="9" fontId="3" numFmtId="14" xfId="0" applyAlignment="1" applyBorder="1" applyFont="1" applyNumberFormat="1">
      <alignment horizontal="center" vertical="center"/>
    </xf>
    <xf borderId="2" fillId="9" fontId="3" numFmtId="165" xfId="0" applyAlignment="1" applyBorder="1" applyFont="1" applyNumberFormat="1">
      <alignment horizontal="center" vertical="center"/>
    </xf>
    <xf borderId="2" fillId="9" fontId="3" numFmtId="9" xfId="0" applyAlignment="1" applyBorder="1" applyFont="1" applyNumberFormat="1">
      <alignment horizontal="center" vertical="center"/>
    </xf>
    <xf borderId="2" fillId="10" fontId="3" numFmtId="0" xfId="0" applyAlignment="1" applyBorder="1" applyFill="1" applyFont="1">
      <alignment horizontal="center" vertical="center"/>
    </xf>
    <xf borderId="2" fillId="10" fontId="3" numFmtId="164" xfId="0" applyAlignment="1" applyBorder="1" applyFont="1" applyNumberFormat="1">
      <alignment horizontal="center" vertical="center"/>
    </xf>
    <xf borderId="2" fillId="10" fontId="3" numFmtId="14" xfId="0" applyAlignment="1" applyBorder="1" applyFont="1" applyNumberFormat="1">
      <alignment horizontal="center" vertical="center"/>
    </xf>
    <xf borderId="2" fillId="10" fontId="3" numFmtId="165" xfId="0" applyAlignment="1" applyBorder="1" applyFont="1" applyNumberFormat="1">
      <alignment horizontal="center" vertical="center"/>
    </xf>
    <xf borderId="2" fillId="10" fontId="3" numFmtId="9" xfId="0" applyAlignment="1" applyBorder="1" applyFont="1" applyNumberFormat="1">
      <alignment horizontal="center" vertical="center"/>
    </xf>
    <xf borderId="2" fillId="11" fontId="3" numFmtId="0" xfId="0" applyAlignment="1" applyBorder="1" applyFill="1" applyFont="1">
      <alignment horizontal="center" vertical="center"/>
    </xf>
    <xf borderId="2" fillId="11" fontId="3" numFmtId="164" xfId="0" applyAlignment="1" applyBorder="1" applyFont="1" applyNumberFormat="1">
      <alignment horizontal="center" vertical="center"/>
    </xf>
    <xf borderId="2" fillId="11" fontId="3" numFmtId="14" xfId="0" applyAlignment="1" applyBorder="1" applyFont="1" applyNumberFormat="1">
      <alignment horizontal="center" vertical="center"/>
    </xf>
    <xf borderId="2" fillId="11" fontId="3" numFmtId="165" xfId="0" applyAlignment="1" applyBorder="1" applyFont="1" applyNumberFormat="1">
      <alignment horizontal="center" vertical="center"/>
    </xf>
    <xf borderId="2" fillId="11" fontId="3" numFmtId="9" xfId="0" applyAlignment="1" applyBorder="1" applyFont="1" applyNumberFormat="1">
      <alignment horizontal="center" vertical="center"/>
    </xf>
    <xf borderId="2" fillId="12" fontId="3" numFmtId="0" xfId="0" applyAlignment="1" applyBorder="1" applyFill="1" applyFont="1">
      <alignment horizontal="center" vertical="center"/>
    </xf>
    <xf borderId="2" fillId="12" fontId="3" numFmtId="164" xfId="0" applyAlignment="1" applyBorder="1" applyFont="1" applyNumberFormat="1">
      <alignment horizontal="center" vertical="center"/>
    </xf>
    <xf borderId="2" fillId="12" fontId="3" numFmtId="14" xfId="0" applyAlignment="1" applyBorder="1" applyFont="1" applyNumberFormat="1">
      <alignment horizontal="center" vertical="center"/>
    </xf>
    <xf borderId="2" fillId="12" fontId="3" numFmtId="165" xfId="0" applyAlignment="1" applyBorder="1" applyFont="1" applyNumberFormat="1">
      <alignment horizontal="center" vertical="center"/>
    </xf>
    <xf borderId="2" fillId="12" fontId="3" numFmtId="9" xfId="0" applyAlignment="1" applyBorder="1" applyFont="1" applyNumberFormat="1">
      <alignment horizontal="center" vertical="center"/>
    </xf>
    <xf borderId="2" fillId="13" fontId="3" numFmtId="0" xfId="0" applyAlignment="1" applyBorder="1" applyFill="1" applyFont="1">
      <alignment horizontal="center" vertical="center"/>
    </xf>
    <xf borderId="2" fillId="13" fontId="3" numFmtId="164" xfId="0" applyAlignment="1" applyBorder="1" applyFont="1" applyNumberFormat="1">
      <alignment horizontal="center" vertical="center"/>
    </xf>
    <xf borderId="2" fillId="13" fontId="3" numFmtId="14" xfId="0" applyAlignment="1" applyBorder="1" applyFont="1" applyNumberFormat="1">
      <alignment horizontal="center" vertical="center"/>
    </xf>
    <xf borderId="2" fillId="13" fontId="3" numFmtId="165" xfId="0" applyAlignment="1" applyBorder="1" applyFont="1" applyNumberFormat="1">
      <alignment horizontal="center" vertical="center"/>
    </xf>
    <xf borderId="2" fillId="13" fontId="3" numFmtId="9" xfId="0" applyAlignment="1" applyBorder="1" applyFont="1" applyNumberForma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5" numFmtId="0" xfId="0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6" numFmtId="0" xfId="0" applyFont="1"/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6" numFmtId="0" xfId="0" applyAlignment="1" applyBorder="1" applyFont="1">
      <alignment horizontal="left"/>
    </xf>
    <xf borderId="1" fillId="0" fontId="6" numFmtId="0" xfId="0" applyBorder="1" applyFont="1"/>
    <xf borderId="1" fillId="0" fontId="4" numFmtId="0" xfId="0" applyAlignment="1" applyBorder="1" applyFont="1">
      <alignment horizontal="left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F359" sheet="Test 4-Stats"/>
  </cacheSource>
  <cacheFields>
    <cacheField name="Supplier Name" numFmtId="0">
      <sharedItems>
        <s v="Company A"/>
        <s v="Company B"/>
        <s v="Company C"/>
        <s v="Company D"/>
        <s v="Company E"/>
        <s v="Company F"/>
      </sharedItems>
    </cacheField>
    <cacheField name="Month" numFmtId="164">
      <sharedItems containsSemiMixedTypes="0" containsDate="1" containsString="0"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</sharedItems>
    </cacheField>
    <cacheField name="Business Unit" numFmtId="0">
      <sharedItems>
        <s v="Business Unit 1"/>
        <s v="Business Unit 2"/>
        <s v="Business Unit 3"/>
      </sharedItems>
    </cacheField>
    <cacheField name="Division/Depot/Department" numFmtId="0">
      <sharedItems>
        <s v="Division 1"/>
        <s v="Division 2"/>
        <s v="Division 3"/>
      </sharedItems>
    </cacheField>
    <cacheField name="Cost Centre" numFmtId="0">
      <sharedItems>
        <s v="Cost Centre 1"/>
        <s v="Cost Centre 2"/>
        <s v="Cost Centre 3"/>
      </sharedItems>
    </cacheField>
    <cacheField name="Area" numFmtId="0">
      <sharedItems>
        <s v="CAPE TOWN"/>
        <s v="ISANDO"/>
        <s v="PRETORIA"/>
        <s v="PARKTOWN"/>
        <s v="MILL SITE"/>
        <s v="ERMELO"/>
        <s v="KAALFONTEIN"/>
        <s v="ELANDSFONTEIN"/>
        <s v="RICHARDS BAY"/>
        <s v="DURBAN"/>
        <s v="VRYHEID"/>
        <s v="LADYSMITH"/>
        <s v="PIET RETIEF"/>
        <s v="BAYHEAD"/>
        <s v="DANSKRAAL"/>
        <s v="BELLVILLE"/>
        <s v="ALRODE"/>
        <s v="NEWCASTLE"/>
        <s v="PERWAY"/>
        <s v="EMPANGENI"/>
        <s v="BETHLEHEM"/>
        <s v="PIETERMARITZBURG"/>
        <s v="ALBERTON"/>
        <s v="VLAKPLAAS"/>
        <s v="CENTRAL REGION"/>
        <s v="WATLOO"/>
        <s v="TARLTON"/>
        <s v="SALT RIVER"/>
        <s v="SALDANHA"/>
        <s v="MOSSEL BAY"/>
      </sharedItems>
    </cacheField>
    <cacheField name="Province" numFmtId="0">
      <sharedItems>
        <s v="WESTERN CAPE"/>
        <s v="GAUTENG"/>
        <s v="KWAZULU NATAL"/>
        <s v="MPUMALANGA"/>
        <s v="FREE STATE"/>
      </sharedItems>
    </cacheField>
    <cacheField name="Responsible Manager" numFmtId="0">
      <sharedItems>
        <s v="Manager 1"/>
        <s v="Manager 2"/>
        <s v="Manager 3"/>
      </sharedItems>
    </cacheField>
    <cacheField name="RFQ Sent Date" numFmtId="14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7-01T00:00:00Z"/>
        <d v="2020-07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1-29T00:00:00Z"/>
        <d v="2020-11-30T00:00:00Z"/>
        <d v="2020-11-23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4T00:00:00Z"/>
        <d v="2020-11-25T00:00:00Z"/>
        <d v="2020-11-26T00:00:00Z"/>
        <d v="2020-12-27T00:00:00Z"/>
        <d v="2020-12-28T00:00:00Z"/>
        <d v="2020-12-29T00:00:00Z"/>
        <d v="2020-12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</sharedItems>
    </cacheField>
    <cacheField name="Quotes Received Date" numFmtId="14">
      <sharedItems containsSemiMixedTypes="0" containsDate="1" containsString="0">
        <d v="2020-01-02T00:00:00Z"/>
        <d v="2020-01-04T00:00:00Z"/>
        <d v="2020-01-10T00:00:00Z"/>
        <d v="2020-01-06T00:00:00Z"/>
        <d v="2020-01-08T00:00:00Z"/>
        <d v="2020-01-20T00:00:00Z"/>
        <d v="2020-01-11T00:00:00Z"/>
        <d v="2020-01-12T00:00:00Z"/>
        <d v="2020-01-13T00:00:00Z"/>
        <d v="2020-01-16T00:00:00Z"/>
        <d v="2020-01-15T00:00:00Z"/>
        <d v="2020-01-17T00:00:00Z"/>
        <d v="2020-01-19T00:00:00Z"/>
        <d v="2020-01-21T00:00:00Z"/>
        <d v="2020-01-27T00:00:00Z"/>
        <d v="2020-01-23T00:00:00Z"/>
        <d v="2020-01-24T00:00:00Z"/>
        <d v="2020-01-25T00:00:00Z"/>
        <d v="2020-01-26T00:00:00Z"/>
        <d v="2020-01-29T00:00:00Z"/>
        <d v="2020-01-28T00:00:00Z"/>
        <d v="2020-01-30T00:00:00Z"/>
        <d v="2020-02-05T00:00:00Z"/>
        <d v="2020-02-03T00:00:00Z"/>
        <d v="2020-02-04T00:00:00Z"/>
        <d v="2020-02-06T00:00:00Z"/>
        <d v="2020-02-07T00:00:00Z"/>
        <d v="2020-02-08T00:00:00Z"/>
        <d v="2020-02-12T00:00:00Z"/>
        <d v="2020-02-10T00:00:00Z"/>
        <d v="2020-02-11T00:00:00Z"/>
        <d v="2020-02-18T00:00:00Z"/>
        <d v="2020-02-14T00:00:00Z"/>
        <d v="2020-02-15T00:00:00Z"/>
        <d v="2020-02-16T00:00:00Z"/>
        <d v="2020-02-17T00:00:00Z"/>
        <d v="2020-02-19T00:00:00Z"/>
        <d v="2020-02-26T00:00:00Z"/>
        <d v="2020-02-21T00:00:00Z"/>
        <d v="2020-02-22T00:00:00Z"/>
        <d v="2020-02-23T00:00:00Z"/>
        <d v="2020-02-24T00:00:00Z"/>
        <d v="2020-02-25T00:00:00Z"/>
        <d v="2020-02-29T00:00:00Z"/>
        <d v="2020-02-27T00:00:00Z"/>
        <d v="2020-02-28T00:00:00Z"/>
        <d v="2020-03-15T00:00:00Z"/>
        <d v="2020-03-26T00:00:00Z"/>
        <d v="2020-03-27T00:00:00Z"/>
        <d v="2020-03-14T00:00:00Z"/>
        <d v="2020-03-16T00:00:00Z"/>
        <d v="2020-03-17T00:00:00Z"/>
        <d v="2020-03-18T00:00:00Z"/>
        <d v="2020-03-29T00:00:00Z"/>
        <d v="2020-03-30T00:00:00Z"/>
        <d v="2020-03-31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20T00:00:00Z"/>
        <d v="2020-04-17T00:00:00Z"/>
        <d v="2020-04-18T00:00:00Z"/>
        <d v="2020-04-19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30T00:00:00Z"/>
        <d v="2020-05-01T00:00:00Z"/>
        <d v="2020-05-02T00:00:00Z"/>
        <d v="2020-05-03T00:00:00Z"/>
        <d v="2020-05-04T00:00:00Z"/>
        <d v="2020-05-06T00:00:00Z"/>
        <d v="2020-05-07T00:00:00Z"/>
        <d v="2020-05-08T00:00:00Z"/>
        <d v="2020-05-09T00:00:00Z"/>
        <d v="2020-05-2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1T00:00:00Z"/>
        <d v="2020-05-22T00:00:00Z"/>
        <d v="2020-05-28T00:00:00Z"/>
        <d v="2020-05-30T00:00:00Z"/>
        <d v="2020-05-25T00:00:00Z"/>
        <d v="2020-05-26T00:00:00Z"/>
        <d v="2020-05-27T00:00:00Z"/>
        <d v="2020-05-31T00:00:00Z"/>
        <d v="2020-06-01T00:00:00Z"/>
        <d v="2020-06-02T00:00:00Z"/>
        <d v="2020-06-06T00:00:00Z"/>
        <d v="2020-06-04T00:00:00Z"/>
        <d v="2020-06-05T00:00:00Z"/>
        <d v="2020-06-12T00:00:00Z"/>
        <d v="2020-06-07T00:00:00Z"/>
        <d v="2020-06-08T00:00:00Z"/>
        <d v="2020-06-09T00:00:00Z"/>
        <d v="2020-06-13T00:00:00Z"/>
        <d v="2020-06-11T00:00:00Z"/>
        <d v="2020-06-14T00:00:00Z"/>
        <d v="2020-06-15T00:00:00Z"/>
        <d v="2020-06-26T00:00:00Z"/>
        <d v="2020-06-17T00:00:00Z"/>
        <d v="2020-06-18T00:00:00Z"/>
        <d v="2020-06-29T00:00:00Z"/>
        <d v="2020-06-20T00:00:00Z"/>
        <d v="2020-06-21T00:00:00Z"/>
        <d v="2020-06-22T00:00:00Z"/>
        <d v="2020-06-23T00:00:00Z"/>
        <d v="2020-06-27T00:00:00Z"/>
        <d v="2020-06-25T00:00:00Z"/>
        <d v="2020-06-28T00:00:00Z"/>
        <d v="2020-06-30T00:00:00Z"/>
        <d v="2020-07-01T00:00:00Z"/>
        <d v="2020-07-02T00:00:00Z"/>
        <d v="2020-07-1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8T00:00:00Z"/>
        <d v="2020-07-14T00:00:00Z"/>
        <d v="2020-07-16T00:00:00Z"/>
        <d v="2020-07-17T00:00:00Z"/>
        <d v="2020-07-29T00:00:00Z"/>
        <d v="2020-07-20T00:00:00Z"/>
        <d v="2020-07-21T00:00:00Z"/>
        <d v="2020-07-22T00:00:00Z"/>
        <d v="2020-07-23T00:00:00Z"/>
        <d v="2020-07-24T00:00:00Z"/>
        <d v="2020-07-25T00:00:00Z"/>
        <d v="2020-07-27T00:00:00Z"/>
        <d v="2020-07-28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18T00:00:00Z"/>
        <d v="2020-08-09T00:00:00Z"/>
        <d v="2020-08-10T00:00:00Z"/>
        <d v="2020-08-11T00:00:00Z"/>
        <d v="2020-08-19T00:00:00Z"/>
        <d v="2020-08-13T00:00:00Z"/>
        <d v="2020-08-14T00:00:00Z"/>
        <d v="2020-08-15T00:00:00Z"/>
        <d v="2020-08-16T00:00:00Z"/>
        <d v="2020-08-17T00:00:00Z"/>
        <d v="2020-08-29T00:00:00Z"/>
        <d v="2020-08-20T00:00:00Z"/>
        <d v="2020-08-21T00:00:00Z"/>
        <d v="2020-08-22T00:00:00Z"/>
        <d v="2020-08-23T00:00:00Z"/>
        <d v="2020-08-24T00:00:00Z"/>
        <d v="2020-08-26T00:00:00Z"/>
        <d v="2020-08-28T00:00:00Z"/>
        <d v="2020-08-30T00:00:00Z"/>
        <d v="2020-08-31T00:00:00Z"/>
        <d v="2020-09-05T00:00:00Z"/>
        <d v="2020-09-02T00:00:00Z"/>
        <d v="2020-09-07T00:00:00Z"/>
        <d v="2020-09-04T00:00:00Z"/>
        <d v="2020-09-06T00:00:00Z"/>
        <d v="2020-09-10T00:00:00Z"/>
        <d v="2020-09-08T00:00:00Z"/>
        <d v="2020-09-09T00:00:00Z"/>
        <d v="2020-09-11T00:00:00Z"/>
        <d v="2020-09-12T00:00:00Z"/>
        <d v="2020-09-13T00:00:00Z"/>
        <d v="2020-09-19T00:00:00Z"/>
        <d v="2020-09-15T00:00:00Z"/>
        <d v="2020-09-16T00:00:00Z"/>
        <d v="2020-09-17T00:00:00Z"/>
        <d v="2020-09-18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7T00:00:00Z"/>
        <d v="2020-10-04T00:00:00Z"/>
        <d v="2020-10-05T00:00:00Z"/>
        <d v="2020-10-06T00:00:00Z"/>
        <d v="2020-10-08T00:00:00Z"/>
        <d v="2020-10-09T00:00:00Z"/>
        <d v="2020-10-12T00:00:00Z"/>
        <d v="2020-10-11T00:00:00Z"/>
        <d v="2020-10-13T00:00:00Z"/>
        <d v="2020-10-14T00:00:00Z"/>
        <d v="2020-10-15T00:00:00Z"/>
        <d v="2020-10-18T00:00:00Z"/>
        <d v="2020-10-17T00:00:00Z"/>
        <d v="2020-10-19T00:00:00Z"/>
        <d v="2020-10-20T00:00:00Z"/>
        <d v="2020-10-21T00:00:00Z"/>
        <d v="2020-10-22T00:00:00Z"/>
        <d v="2020-10-23T00:00:00Z"/>
        <d v="2020-10-24T00:00:00Z"/>
        <d v="2020-10-27T00:00:00Z"/>
        <d v="2020-10-26T00:00:00Z"/>
        <d v="2020-10-28T00:00:00Z"/>
        <d v="2020-10-31T00:00:00Z"/>
        <d v="2020-11-30T00:00:00Z"/>
        <d v="2020-12-02T00:00:00Z"/>
        <d v="2020-11-27T00:00:00Z"/>
        <d v="2020-11-02T00:00:00Z"/>
        <d v="2020-11-03T00:00:00Z"/>
        <d v="2020-11-08T00:00:00Z"/>
        <d v="2020-11-05T00:00:00Z"/>
        <d v="2020-11-06T00:00:00Z"/>
        <d v="2020-11-07T00:00:00Z"/>
        <d v="2020-11-09T00:00:00Z"/>
        <d v="2020-11-11T00:00:00Z"/>
        <d v="2020-11-12T00:00:00Z"/>
        <d v="2020-11-13T00:00:00Z"/>
        <d v="2020-11-2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3T00:00:00Z"/>
        <d v="2020-11-28T00:00:00Z"/>
        <d v="2020-11-26T00:00:00Z"/>
        <d v="2020-12-28T00:00:00Z"/>
        <d v="2020-12-29T00:00:00Z"/>
        <d v="2020-12-30T00:00:00Z"/>
        <d v="2020-12-31T00:00:00Z"/>
        <d v="2020-12-03T00:00:00Z"/>
        <d v="2020-12-07T00:00:00Z"/>
        <d v="2020-12-05T00:00:00Z"/>
        <d v="2020-12-06T00:00:00Z"/>
        <d v="2020-12-08T00:00:00Z"/>
        <d v="2020-12-10T00:00:00Z"/>
        <d v="2020-12-12T00:00:00Z"/>
        <d v="2020-12-13T00:00:00Z"/>
        <d v="2020-12-14T00:00:00Z"/>
        <d v="2020-12-18T00:00:00Z"/>
        <d v="2020-12-16T00:00:00Z"/>
        <d v="2020-12-17T00:00:00Z"/>
        <d v="2020-12-20T00:00:00Z"/>
        <d v="2020-12-21T00:00:00Z"/>
        <d v="2020-12-22T00:00:00Z"/>
        <d v="2020-12-23T00:00:00Z"/>
        <d v="2020-12-24T00:00:00Z"/>
        <d v="2020-12-26T00:00:00Z"/>
      </sharedItems>
    </cacheField>
    <cacheField name="Actual Quotation Days" numFmtId="0">
      <sharedItems containsSemiMixedTypes="0" containsString="0" containsNumber="1" containsInteger="1">
        <n v="1.0"/>
        <n v="2.0"/>
        <n v="6.0"/>
        <n v="4.0"/>
        <n v="12.0"/>
        <n v="3.0"/>
        <n v="7.0"/>
        <n v="15.0"/>
        <n v="11.0"/>
        <n v="31.0"/>
        <n v="21.0"/>
        <n v="5.0"/>
        <n v="23.0"/>
        <n v="0.0"/>
        <n v="18.0"/>
        <n v="32.0"/>
        <n v="8.0"/>
      </sharedItems>
    </cacheField>
    <cacheField name="Target Quotation Days" numFmtId="0">
      <sharedItems containsSemiMixedTypes="0" containsString="0" containsNumber="1" containsInteger="1">
        <n v="1.0"/>
      </sharedItems>
    </cacheField>
    <cacheField name="Variance for Quote Days" numFmtId="0">
      <sharedItems containsSemiMixedTypes="0" containsString="0" containsNumber="1" containsInteger="1">
        <n v="0.0"/>
        <n v="1.0"/>
        <n v="5.0"/>
        <n v="3.0"/>
        <n v="11.0"/>
        <n v="2.0"/>
        <n v="6.0"/>
        <n v="14.0"/>
        <n v="10.0"/>
        <n v="30.0"/>
        <n v="20.0"/>
        <n v="4.0"/>
        <n v="22.0"/>
        <n v="-1.0"/>
        <n v="17.0"/>
        <n v="31.0"/>
        <n v="7.0"/>
      </sharedItems>
    </cacheField>
    <cacheField name="Approval of best Quote Date" numFmtId="14">
      <sharedItems containsSemiMixedTypes="0" containsDate="1" containsString="0"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27T00:00:00Z"/>
        <d v="2020-07-28T00:00:00Z"/>
        <d v="2020-07-29T00:00:00Z"/>
        <d v="2020-07-30T00:00:00Z"/>
        <d v="2020-07-23T00:00:00Z"/>
        <d v="2020-07-24T00:00:00Z"/>
        <d v="2020-07-25T00:00:00Z"/>
        <d v="2020-07-26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30T00:00:00Z"/>
        <d v="2020-08-31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1T00:00:00Z"/>
        <d v="2020-09-12T00:00:00Z"/>
        <d v="2020-09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1-11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12-12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</sharedItems>
    </cacheField>
    <cacheField name="Vehicle Delivery Date" numFmtId="14">
      <sharedItems containsSemiMixedTypes="0" containsDate="1" containsString="0">
        <d v="2020-02-25T00:00:00Z"/>
        <d v="2020-05-26T00:00:00Z"/>
        <d v="2020-03-27T00:00:00Z"/>
        <d v="2020-07-28T00:00:00Z"/>
        <d v="2020-01-29T00:00:00Z"/>
        <d v="2020-02-23T00:00:00Z"/>
        <d v="2020-01-31T00:00:00Z"/>
        <d v="2020-02-01T00:00:00Z"/>
        <d v="2020-02-02T00:00:00Z"/>
        <d v="2020-02-03T00:00:00Z"/>
        <d v="2020-06-04T00:00:00Z"/>
        <d v="2020-02-05T00:00:00Z"/>
        <d v="2020-02-06T00:00:00Z"/>
        <d v="2020-02-07T00:00:00Z"/>
        <d v="2020-02-08T00:00:00Z"/>
        <d v="2020-10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5-21T00:00:00Z"/>
        <d v="2020-02-22T00:00:00Z"/>
        <d v="2020-02-26T00:00:00Z"/>
        <d v="2020-09-27T00:00:00Z"/>
        <d v="2020-02-28T00:00:00Z"/>
        <d v="2020-02-29T00:00:00Z"/>
        <d v="2020-03-01T00:00:00Z"/>
        <d v="2020-03-02T00:00:00Z"/>
        <d v="2020-03-03T00:00:00Z"/>
        <d v="2020-03-05T00:00:00Z"/>
        <d v="2020-03-06T00:00:00Z"/>
        <d v="2020-03-07T00:00:00Z"/>
        <d v="2020-03-08T00:00:00Z"/>
        <d v="2020-03-09T00:00:00Z"/>
        <d v="2020-03-10T00:00:00Z"/>
        <d v="2020-07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8-21T00:00:00Z"/>
        <d v="2020-03-22T00:00:00Z"/>
        <d v="2020-03-23T00:00:00Z"/>
        <d v="2020-03-24T00:00:00Z"/>
        <d v="2020-03-25T00:00:00Z"/>
        <d v="2020-03-26T00:00:00Z"/>
        <d v="2020-03-28T00:00:00Z"/>
        <d v="2020-03-29T00:00:00Z"/>
        <d v="2020-03-30T00:00:00Z"/>
        <d v="2020-03-31T00:00:00Z"/>
        <d v="2020-04-15T00:00:00Z"/>
        <d v="2020-04-16T00:00:00Z"/>
        <d v="2020-04-17T00:00:00Z"/>
        <d v="2020-04-18T00:00:00Z"/>
        <d v="2020-05-19T00:00:00Z"/>
        <d v="2020-08-20T00:00:00Z"/>
        <d v="2020-04-21T00:00:00Z"/>
        <d v="2020-04-08T00:00:00Z"/>
        <d v="2020-04-09T00:00:00Z"/>
        <d v="2020-04-10T00:00:00Z"/>
        <d v="2020-09-11T00:00:00Z"/>
        <d v="2020-04-12T00:00:00Z"/>
        <d v="2020-04-13T00:00:00Z"/>
        <d v="2020-04-14T00:00:00Z"/>
        <d v="2020-06-15T00:00:00Z"/>
        <d v="2020-04-19T00:00:00Z"/>
        <d v="2020-04-20T00:00:00Z"/>
        <d v="2020-07-21T00:00:00Z"/>
        <d v="2020-04-22T00:00:00Z"/>
        <d v="2020-04-23T00:00:00Z"/>
        <d v="2020-04-24T00:00:00Z"/>
        <d v="2020-10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7-04T00:00:00Z"/>
        <d v="2020-05-05T00:00:00Z"/>
        <d v="2020-05-06T00:00:00Z"/>
        <d v="2020-05-07T00:00:00Z"/>
        <d v="2020-10-08T00:00:00Z"/>
        <d v="2020-05-09T00:00:00Z"/>
        <d v="2020-08-10T00:00:00Z"/>
        <d v="2020-05-11T00:00:00Z"/>
        <d v="2020-05-12T00:00:00Z"/>
        <d v="2020-07-13T00:00:00Z"/>
        <d v="2020-05-14T00:00:00Z"/>
        <d v="2020-05-15T00:00:00Z"/>
        <d v="2020-05-16T00:00:00Z"/>
        <d v="2020-09-17T00:00:00Z"/>
        <d v="2020-05-18T00:00:00Z"/>
        <d v="2020-05-20T00:00:00Z"/>
        <d v="2020-12-22T00:00:00Z"/>
        <d v="2020-05-23T00:00:00Z"/>
        <d v="2020-05-24T00:00:00Z"/>
        <d v="2020-05-25T00:00:00Z"/>
        <d v="2020-08-26T00:00:00Z"/>
        <d v="2020-05-27T00:00:00Z"/>
        <d v="2020-06-28T00:00:00Z"/>
        <d v="2020-05-29T00:00:00Z"/>
        <d v="2020-05-30T00:00:00Z"/>
        <d v="2020-08-31T00:00:00Z"/>
        <d v="2020-06-01T00:00:00Z"/>
        <d v="2020-08-02T00:00:00Z"/>
        <d v="2020-06-03T00:00:00Z"/>
        <d v="2020-06-26T00:00:00Z"/>
        <d v="2020-06-27T00:00:00Z"/>
        <d v="2020-06-29T00:00:00Z"/>
        <d v="2020-06-30T00:00:00Z"/>
        <d v="2020-10-01T00:00:00Z"/>
        <d v="2020-07-02T00:00:00Z"/>
        <d v="2020-07-03T00:00:00Z"/>
        <d v="2020-07-05T00:00:00Z"/>
        <d v="2020-07-06T00:00:00Z"/>
        <d v="2020-07-07T00:00:00Z"/>
        <d v="2020-07-08T00:00:00Z"/>
        <d v="2020-07-09T00:00:00Z"/>
        <d v="2020-07-10T00:00:00Z"/>
        <d v="2020-11-12T00:00:00Z"/>
        <d v="2020-07-14T00:00:00Z"/>
        <d v="2020-07-15T00:00:00Z"/>
        <d v="2020-07-16T00:00:00Z"/>
        <d v="2020-07-17T00:00:00Z"/>
        <d v="2020-12-18T00:00:00Z"/>
        <d v="2020-07-19T00:00:00Z"/>
        <d v="2020-10-20T00:00:00Z"/>
        <d v="2020-07-22T00:00:00Z"/>
        <d v="2020-07-23T00:00:00Z"/>
        <d v="2020-07-24T00:00:00Z"/>
        <d v="2020-09-08T00:00:00Z"/>
        <d v="2020-07-12T00:00:00Z"/>
        <d v="2020-11-17T00:00:00Z"/>
        <d v="2020-07-18T00:00:00Z"/>
        <d v="2020-07-20T00:00:00Z"/>
        <d v="2020-12-25T00:00:00Z"/>
        <d v="2020-07-26T00:00:00Z"/>
        <d v="2020-07-27T00:00:00Z"/>
        <d v="2020-10-29T00:00:00Z"/>
        <d v="2020-07-30T00:00:00Z"/>
        <d v="2020-07-31T00:00:00Z"/>
        <d v="2020-08-01T00:00:00Z"/>
        <d v="2020-08-03T00:00:00Z"/>
        <d v="2020-12-04T00:00:00Z"/>
        <d v="2020-08-05T00:00:00Z"/>
        <d v="2020-08-06T00:00:00Z"/>
        <d v="2020-08-07T00:00:00Z"/>
        <d v="2020-08-08T00:00:00Z"/>
        <d v="2020-08-09T00:00:00Z"/>
        <d v="2020-10-10T00:00:00Z"/>
        <d v="2020-08-11T00:00:00Z"/>
        <d v="2020-08-12T00:00:00Z"/>
        <d v="2020-08-13T00:00:00Z"/>
        <d v="2020-11-14T00:00:00Z"/>
        <d v="2020-08-15T00:00:00Z"/>
        <d v="2020-08-16T00:00:00Z"/>
        <d v="2020-08-17T00:00:00Z"/>
        <d v="2020-08-18T00:00:00Z"/>
        <d v="2020-08-19T00:00:00Z"/>
        <d v="2020-09-22T00:00:00Z"/>
        <d v="2020-08-23T00:00:00Z"/>
        <d v="2020-08-24T00:00:00Z"/>
        <d v="2020-11-27T00:00:00Z"/>
        <d v="2020-08-28T00:00:00Z"/>
        <d v="2020-08-29T00:00:00Z"/>
        <d v="2020-08-30T00:00:00Z"/>
        <d v="2020-12-01T00:00:00Z"/>
        <d v="2020-09-02T00:00:00Z"/>
        <d v="2020-09-03T00:00:00Z"/>
        <d v="2020-09-04T00:00:00Z"/>
        <d v="2020-09-05T00:00:00Z"/>
        <d v="2020-09-06T00:00:00Z"/>
        <d v="2020-09-30T00:00:00Z"/>
        <d v="2020-12-02T00:00:00Z"/>
        <d v="2020-10-03T00:00:00Z"/>
        <d v="2020-10-04T00:00:00Z"/>
        <d v="2020-10-05T00:00:00Z"/>
        <d v="2020-10-06T00:00:00Z"/>
        <d v="2020-10-07T00:00:00Z"/>
        <d v="2020-12-08T00:00:00Z"/>
        <d v="2020-10-11T00:00:00Z"/>
        <d v="2020-10-12T00:00:00Z"/>
        <d v="2020-10-13T00:00:00Z"/>
        <d v="2020-10-14T00:00:00Z"/>
        <d v="2020-10-15T00:00:00Z"/>
        <d v="2020-12-23T00:00:00Z"/>
        <d v="2020-09-24T00:00:00Z"/>
        <d v="2020-09-25T00:00:00Z"/>
        <d v="2020-09-26T00:00:00Z"/>
        <d v="2020-12-27T00:00:00Z"/>
        <d v="2020-09-28T00:00:00Z"/>
        <d v="2020-09-29T00:00:00Z"/>
        <d v="2020-11-30T00:00:00Z"/>
        <d v="2020-10-02T00:00:00Z"/>
        <d v="2020-12-15T00:00:00Z"/>
        <d v="2020-10-16T00:00:00Z"/>
        <d v="2020-10-17T00:00:00Z"/>
        <d v="2020-10-19T00:00:00Z"/>
        <d v="2020-12-20T00:00:00Z"/>
        <d v="2020-10-21T00:00:00Z"/>
        <d v="2020-10-22T00:00:00Z"/>
        <d v="2020-10-23T00:00:00Z"/>
        <d v="2020-10-24T00:00:00Z"/>
        <d v="2021-03-25T00:00:00Z"/>
        <d v="2020-10-26T00:00:00Z"/>
        <d v="2020-10-27T00:00:00Z"/>
        <d v="2020-10-28T00:00:00Z"/>
        <d v="2021-02-20T00:00:00Z"/>
        <d v="2020-10-31T00:00:00Z"/>
        <d v="2020-11-01T00:00:00Z"/>
        <d v="2020-11-02T00:00:00Z"/>
        <d v="2020-11-03T00:00:00Z"/>
        <d v="2020-11-04T00:00:00Z"/>
        <d v="2020-11-05T00:00:00Z"/>
        <d v="2021-05-06T00:00:00Z"/>
        <d v="2020-11-07T00:00:00Z"/>
        <d v="2020-11-08T00:00:00Z"/>
        <d v="2020-11-09T00:00:00Z"/>
        <d v="2020-11-10T00:00:00Z"/>
        <d v="2020-11-11T00:00:00Z"/>
        <d v="2021-01-12T00:00:00Z"/>
        <d v="2020-11-13T00:00:00Z"/>
        <d v="2020-11-15T00:00:00Z"/>
        <d v="2020-11-16T00:00:00Z"/>
        <d v="2021-04-18T00:00:00Z"/>
        <d v="2020-11-19T00:00:00Z"/>
        <d v="2020-11-20T00:00:00Z"/>
        <d v="2020-11-21T00:00:00Z"/>
        <d v="2021-03-22T00:00:00Z"/>
        <d v="2021-03-23T00:00:00Z"/>
        <d v="2021-03-24T00:00:00Z"/>
        <d v="2021-03-26T00:00:00Z"/>
        <d v="2021-03-27T00:00:00Z"/>
        <d v="2021-03-28T00:00:00Z"/>
        <d v="2021-03-29T00:00:00Z"/>
        <d v="2021-03-30T00:00:00Z"/>
        <d v="2021-01-01T00:00:00Z"/>
        <d v="2021-01-02T00:00:00Z"/>
        <d v="2021-01-03T00:00:00Z"/>
        <d v="2021-01-04T00:00:00Z"/>
        <d v="2021-01-06T00:00:00Z"/>
        <d v="2021-01-07T00:00:00Z"/>
        <d v="2021-01-08T00:00:00Z"/>
        <d v="2021-01-09T00:00:00Z"/>
        <d v="2021-01-10T00:00:00Z"/>
        <d v="2021-01-13T00:00:00Z"/>
        <d v="2021-01-14T00:00:00Z"/>
        <d v="2021-01-16T00:00:00Z"/>
        <d v="2021-01-17T00:00:00Z"/>
        <d v="2021-01-18T00:00:00Z"/>
        <d v="2021-01-19T00:00:00Z"/>
        <d v="2021-01-20T00:00:00Z"/>
        <d v="2021-05-23T00:00:00Z"/>
        <d v="2021-05-22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3-03T00:00:00Z"/>
        <d v="2021-03-02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2-03-12T00:00:00Z"/>
        <d v="2022-03-05T00:00:00Z"/>
        <d v="2022-03-13T00:00:00Z"/>
        <d v="2022-03-14T00:00:00Z"/>
        <d v="2022-03-15T00:00:00Z"/>
        <d v="2022-03-16T00:00:00Z"/>
        <d v="2022-03-17T00:00:00Z"/>
        <d v="2022-05-18T00:00:00Z"/>
      </sharedItems>
    </cacheField>
    <cacheField name="Actual Delivery Days" numFmtId="0">
      <sharedItems containsSemiMixedTypes="0" containsString="0" containsNumber="1" containsInteger="1">
        <n v="41.0"/>
        <n v="131.0"/>
        <n v="70.0"/>
        <n v="192.0"/>
        <n v="10.0"/>
        <n v="34.0"/>
        <n v="253.0"/>
        <n v="223.0"/>
        <n v="102.0"/>
        <n v="11.0"/>
        <n v="147.0"/>
        <n v="25.0"/>
        <n v="178.0"/>
        <n v="26.0"/>
        <n v="40.0"/>
        <n v="54.0"/>
        <n v="62.0"/>
        <n v="24.0"/>
        <n v="146.0"/>
        <n v="170.0"/>
        <n v="17.0"/>
        <n v="78.0"/>
        <n v="115.0"/>
        <n v="214.0"/>
        <n v="31.0"/>
        <n v="32.0"/>
        <n v="71.0"/>
        <n v="163.0"/>
        <n v="133.0"/>
        <n v="224.0"/>
        <n v="152.0"/>
        <n v="30.0"/>
        <n v="132.0"/>
        <n v="50.0"/>
        <n v="173.0"/>
        <n v="203.0"/>
        <n v="121.0"/>
        <n v="72.0"/>
        <n v="20.0"/>
        <n v="21.0"/>
        <n v="144.0"/>
        <n v="185.0"/>
        <n v="94.0"/>
        <n v="2.0"/>
        <n v="101.0"/>
        <n v="33.0"/>
        <n v="64.0"/>
        <n v="125.0"/>
        <n v="65.0"/>
        <n v="161.0"/>
        <n v="123.0"/>
        <n v="191.0"/>
        <n v="42.0"/>
        <n v="130.0"/>
        <n v="128.0"/>
        <n v="39.0"/>
        <n v="63.0"/>
        <n v="60.0"/>
        <n v="69.0"/>
        <n v="162.0"/>
        <n v="90.0"/>
        <n v="93.0"/>
        <n v="100.0"/>
      </sharedItems>
    </cacheField>
    <cacheField name="Target Delivery Days" numFmtId="0">
      <sharedItems containsSemiMixedTypes="0" containsString="0" containsNumber="1" containsInteger="1">
        <n v="90.0"/>
      </sharedItems>
    </cacheField>
    <cacheField name="Variance for Delivery Days" numFmtId="0">
      <sharedItems containsSemiMixedTypes="0" containsString="0" containsNumber="1" containsInteger="1">
        <n v="-49.0"/>
        <n v="41.0"/>
        <n v="-20.0"/>
        <n v="102.0"/>
        <n v="-80.0"/>
        <n v="-56.0"/>
        <n v="163.0"/>
        <n v="133.0"/>
        <n v="12.0"/>
        <n v="-79.0"/>
        <n v="57.0"/>
        <n v="-65.0"/>
        <n v="88.0"/>
        <n v="-64.0"/>
        <n v="-50.0"/>
        <n v="-36.0"/>
        <n v="-28.0"/>
        <n v="-66.0"/>
        <n v="56.0"/>
        <n v="80.0"/>
        <n v="-73.0"/>
        <n v="-12.0"/>
        <n v="25.0"/>
        <n v="124.0"/>
        <n v="-59.0"/>
        <n v="-58.0"/>
        <n v="-19.0"/>
        <n v="73.0"/>
        <n v="43.0"/>
        <n v="134.0"/>
        <n v="62.0"/>
        <n v="-60.0"/>
        <n v="42.0"/>
        <n v="-40.0"/>
        <n v="83.0"/>
        <n v="113.0"/>
        <n v="31.0"/>
        <n v="-18.0"/>
        <n v="-70.0"/>
        <n v="-69.0"/>
        <n v="54.0"/>
        <n v="95.0"/>
        <n v="4.0"/>
        <n v="-88.0"/>
        <n v="11.0"/>
        <n v="-57.0"/>
        <n v="-26.0"/>
        <n v="35.0"/>
        <n v="-25.0"/>
        <n v="71.0"/>
        <n v="33.0"/>
        <n v="101.0"/>
        <n v="-48.0"/>
        <n v="40.0"/>
        <n v="38.0"/>
        <n v="-51.0"/>
        <n v="-27.0"/>
        <n v="-30.0"/>
        <n v="-21.0"/>
        <n v="72.0"/>
        <n v="0.0"/>
        <n v="3.0"/>
        <n v="10.0"/>
      </sharedItems>
    </cacheField>
    <cacheField name="Reg No" numFmtId="0">
      <sharedItems>
        <s v="Reg 1"/>
        <s v="Reg 2"/>
        <s v="Reg 3"/>
        <s v="Reg 4"/>
        <s v="Reg 5"/>
        <s v="Reg 6"/>
        <s v="Reg 7"/>
        <s v="Reg 8"/>
        <s v="Reg 9"/>
        <s v="Reg 10"/>
        <s v="Reg 11"/>
        <s v="Reg 12"/>
        <s v="Reg 13"/>
        <s v="Reg 14"/>
        <s v="Reg 15"/>
        <s v="Reg 16"/>
        <s v="Reg 17"/>
        <s v="Reg 18"/>
        <s v="Reg 19"/>
        <s v="Reg 20"/>
        <s v="Reg 21"/>
        <s v="Reg 22"/>
        <s v="Reg 23"/>
        <s v="Reg 24"/>
        <s v="Reg 25"/>
        <s v="Reg 26"/>
        <s v="Reg 27"/>
        <s v="Reg 28"/>
        <s v="Reg 29"/>
        <s v="Reg 32"/>
        <s v="Reg 33"/>
        <s v="Reg 34"/>
        <s v="Reg 35"/>
        <s v="Reg 36"/>
        <s v="Reg 37"/>
        <s v="Reg 38"/>
        <s v="Reg 39"/>
        <s v="Reg 40"/>
        <s v="Reg 41"/>
        <s v="Reg 42"/>
        <s v="Reg 43"/>
        <s v="Reg 44"/>
        <s v="Reg 45"/>
        <s v="Reg 46"/>
        <s v="Reg 47"/>
        <s v="Reg 48"/>
        <s v="Reg 49"/>
        <s v="Reg 50"/>
        <s v="Reg 51"/>
        <s v="Reg 52"/>
        <s v="Reg 53"/>
        <s v="Reg 54"/>
        <s v="Reg 55"/>
        <s v="Reg 56"/>
        <s v="Reg 57"/>
        <s v="Reg 58"/>
        <s v="Reg 59"/>
        <s v="Reg 60"/>
        <s v="Reg 61"/>
        <s v="Reg 62"/>
        <s v="Reg 63"/>
        <s v="Reg 64"/>
        <s v="Reg 65"/>
        <s v="Reg 66"/>
        <s v="Reg 67"/>
        <s v="Reg 68"/>
        <s v="Reg 69"/>
        <s v="Reg 70"/>
        <s v="Reg 71"/>
        <s v="Reg 72"/>
        <s v="Reg 73"/>
        <s v="Reg 74"/>
        <s v="Reg 75"/>
        <s v="Reg 76"/>
        <s v="Reg 77"/>
        <s v="Reg 78"/>
        <s v="Reg 79"/>
        <s v="Reg 80"/>
        <s v="Reg 81"/>
        <s v="Reg 82"/>
        <s v="Reg 83"/>
        <s v="Reg 84"/>
        <s v="Reg 85"/>
        <s v="Reg 86"/>
        <s v="Reg 87"/>
        <s v="Reg 88"/>
        <s v="Reg 89"/>
        <s v="Reg 90"/>
        <s v="Reg 91"/>
        <s v="Reg 92"/>
        <s v="Reg 93"/>
        <s v="Reg 94"/>
        <s v="Reg 95"/>
        <s v="Reg 96"/>
        <s v="Reg 97"/>
        <s v="Reg 98"/>
        <s v="Reg 99"/>
        <s v="Reg 100"/>
        <s v="Reg 101"/>
        <s v="Reg 102"/>
        <s v="Reg 103"/>
        <s v="Reg 104"/>
        <s v="Reg 105"/>
        <s v="Reg 106"/>
        <s v="Reg 107"/>
        <s v="Reg 108"/>
        <s v="Reg 109"/>
        <s v="Reg 110"/>
        <s v="Reg 111"/>
        <s v="Reg 112"/>
        <s v="Reg 113"/>
        <s v="Reg 114"/>
        <s v="Reg 115"/>
        <s v="Reg 116"/>
        <s v="Reg 117"/>
        <s v="Reg 118"/>
        <s v="Reg 119"/>
        <s v="Reg 120"/>
        <s v="Reg 121"/>
        <s v="Reg 122"/>
        <s v="Reg 123"/>
        <s v="Reg 124"/>
        <s v="Reg 125"/>
        <s v="Reg 126"/>
        <s v="Reg 127"/>
        <s v="Reg 128"/>
        <s v="Reg 129"/>
        <s v="Reg 130"/>
        <s v="Reg 131"/>
        <s v="Reg 132"/>
        <s v="Reg 133"/>
        <s v="Reg 134"/>
        <s v="Reg 135"/>
        <s v="Reg 136"/>
        <s v="Reg 137"/>
        <s v="Reg 138"/>
        <s v="Reg 139"/>
        <s v="Reg 140"/>
        <s v="Reg 141"/>
        <s v="Reg 142"/>
        <s v="Reg 143"/>
        <s v="Reg 144"/>
        <s v="Reg 145"/>
        <s v="Reg 146"/>
        <s v="Reg 147"/>
        <s v="Reg 148"/>
        <s v="Reg 149"/>
        <s v="Reg 150"/>
        <s v="Reg 151"/>
        <s v="Reg 152"/>
        <s v="Reg 153"/>
        <s v="Reg 154"/>
        <s v="Reg 155"/>
        <s v="Reg 156"/>
        <s v="Reg 157"/>
        <s v="Reg 158"/>
        <s v="Reg 159"/>
        <s v="Reg 160"/>
        <s v="Reg 161"/>
        <s v="Reg 162"/>
        <s v="Reg 163"/>
        <s v="Reg 164"/>
        <s v="Reg 165"/>
        <s v="Reg 166"/>
        <s v="Reg 167"/>
        <s v="Reg 168"/>
        <s v="Reg 169"/>
        <s v="Reg 170"/>
        <s v="Reg 171"/>
        <s v="Reg 172"/>
        <s v="Reg 173"/>
        <s v="Reg 174"/>
        <s v="Reg 175"/>
        <s v="Reg 176"/>
        <s v="Reg 177"/>
        <s v="Reg 178"/>
        <s v="Reg 179"/>
        <s v="Reg 180"/>
        <s v="Reg 181"/>
        <s v="Reg 182"/>
        <s v="Reg 183"/>
        <s v="Reg 184"/>
        <s v="Reg 185"/>
        <s v="Reg 186"/>
        <s v="Reg 187"/>
        <s v="Reg 188"/>
        <s v="Reg 189"/>
        <s v="Reg 190"/>
        <s v="Reg 191"/>
        <s v="Reg 192"/>
        <s v="Reg 193"/>
        <s v="Reg 194"/>
        <s v="Reg 195"/>
        <s v="Reg 196"/>
        <s v="Reg 197"/>
        <s v="Reg 198"/>
        <s v="Reg 199"/>
        <s v="Reg 200"/>
        <s v="Reg 201"/>
        <s v="Reg 202"/>
        <s v="Reg 203"/>
        <s v="Reg 204"/>
        <s v="Reg 205"/>
        <s v="Reg 206"/>
        <s v="Reg 207"/>
        <s v="Reg 208"/>
        <s v="Reg 209"/>
        <s v="Reg 210"/>
        <s v="Reg 211"/>
        <s v="Reg 212"/>
        <s v="Reg 213"/>
        <s v="Reg 214"/>
        <s v="Reg 215"/>
        <s v="Reg 216"/>
        <s v="Reg 217"/>
        <s v="Reg 218"/>
        <s v="Reg 219"/>
        <s v="Reg 220"/>
        <s v="Reg 221"/>
        <s v="Reg 222"/>
        <s v="Reg 223"/>
        <s v="Reg 224"/>
        <s v="Reg 225"/>
        <s v="Reg 226"/>
        <s v="Reg 227"/>
        <s v="Reg 228"/>
        <s v="Reg 229"/>
        <s v="Reg 230"/>
        <s v="Reg 231"/>
        <s v="Reg 232"/>
        <s v="Reg 233"/>
        <s v="Reg 234"/>
        <s v="Reg 235"/>
        <s v="Reg 236"/>
        <s v="Reg 237"/>
        <s v="Reg 238"/>
        <s v="Reg 239"/>
        <s v="Reg 240"/>
        <s v="Reg 241"/>
        <s v="Reg 242"/>
        <s v="Reg 243"/>
        <s v="Reg 244"/>
        <s v="Reg 245"/>
        <s v="Reg 246"/>
        <s v="Reg 247"/>
        <s v="Reg 248"/>
        <s v="Reg 249"/>
        <s v="Reg 250"/>
        <s v="Reg 251"/>
        <s v="Reg 252"/>
        <s v="Reg 253"/>
        <s v="Reg 254"/>
        <s v="Reg 255"/>
        <s v="Reg 256"/>
        <s v="Reg 257"/>
        <s v="Reg 258"/>
        <s v="Reg 259"/>
        <s v="Reg 260"/>
        <s v="Reg 261"/>
        <s v="Reg 262"/>
        <s v="Reg 263"/>
        <s v="Reg 264"/>
        <s v="Reg 265"/>
        <s v="Reg 266"/>
        <s v="Reg 267"/>
        <s v="Reg 268"/>
        <s v="Reg 269"/>
        <s v="Reg 270"/>
        <s v="Reg 271"/>
        <s v="Reg 272"/>
        <s v="Reg 273"/>
        <s v="Reg 274"/>
        <s v="Reg 275"/>
        <s v="Reg 276"/>
        <s v="Reg 277"/>
        <s v="Reg 278"/>
        <s v="Reg 279"/>
        <s v="Reg 280"/>
        <s v="Reg 281"/>
        <s v="Reg 282"/>
        <s v="Reg 283"/>
        <s v="Reg 284"/>
        <s v="Reg 285"/>
        <s v="Reg 286"/>
        <s v="Reg 287"/>
        <s v="Reg 288"/>
        <s v="Reg 289"/>
        <s v="Reg 290"/>
        <s v="Reg 291"/>
        <s v="Reg 292"/>
        <s v="Reg 293"/>
        <s v="Reg 294"/>
        <s v="Reg 295"/>
        <s v="Reg 296"/>
        <s v="Reg 297"/>
        <s v="Reg 298"/>
        <s v="Reg 299"/>
        <s v="Reg 300"/>
        <s v="Reg 301"/>
        <s v="Reg 302"/>
        <s v="Reg 303"/>
        <s v="Reg 304"/>
        <s v="Reg 305"/>
        <s v="Reg 306"/>
        <s v="Reg 307"/>
        <s v="Reg 308"/>
        <s v="Reg 309"/>
        <s v="Reg 310"/>
        <s v="Reg 311"/>
        <s v="Reg 312"/>
        <s v="Reg 313"/>
        <s v="Reg 314"/>
        <s v="Reg 315"/>
        <s v="Reg 316"/>
        <s v="Reg 317"/>
        <s v="Reg 318"/>
        <s v="Reg 319"/>
        <s v="Reg 320"/>
        <s v="Reg 321"/>
        <s v="Reg 322"/>
        <s v="Reg 323"/>
        <s v="Reg 324"/>
        <s v="Reg 325"/>
        <s v="Reg 326"/>
        <s v="Reg 327"/>
        <s v="Reg 328"/>
        <s v="Reg 329"/>
        <s v="Reg 330"/>
        <s v="Reg 331"/>
        <s v="Reg 332"/>
        <s v="Reg 333"/>
        <s v="Reg 334"/>
        <s v="Reg 335"/>
        <s v="Reg 336"/>
        <s v="Reg 337"/>
        <s v="Reg 338"/>
        <s v="Reg 339"/>
        <s v="Reg 340"/>
        <s v="Reg 341"/>
        <s v="Reg 342"/>
        <s v="Reg 343"/>
        <s v="Reg 344"/>
        <s v="Reg 345"/>
        <s v="Reg 346"/>
        <s v="Reg 347"/>
        <s v="Reg 348"/>
        <s v="Reg 349"/>
        <s v="Reg 350"/>
        <s v="Reg 351"/>
        <s v="Reg 352"/>
        <s v="Reg 353"/>
        <s v="Reg 354"/>
        <s v="Reg 355"/>
        <s v="Reg 356"/>
        <s v="Reg 357"/>
        <s v="Reg 358"/>
        <s v="Reg 359"/>
        <s v="Reg 360"/>
      </sharedItems>
    </cacheField>
    <cacheField name="Contract No" numFmtId="0">
      <sharedItems>
        <s v="Contract 1"/>
        <s v="Contract 2"/>
        <s v="Contract 3"/>
        <s v="Contract 4"/>
        <s v="Contract 5"/>
        <s v="Contract 6"/>
        <s v="Contract 7"/>
        <s v="Contract 8"/>
        <s v="Contract 9"/>
        <s v="Contract 10"/>
        <s v="Contract 11"/>
        <s v="Contract 12"/>
        <s v="Contract 13"/>
        <s v="Contract 14"/>
        <s v="Contract 15"/>
        <s v="Contract 16"/>
        <s v="Contract 17"/>
        <s v="Contract 18"/>
        <s v="Contract 19"/>
        <s v="Contract 20"/>
        <s v="Contract 21"/>
        <s v="Contract 22"/>
        <s v="Contract 23"/>
        <s v="Contract 24"/>
        <s v="Contract 25"/>
        <s v="Contract 26"/>
        <s v="Contract 27"/>
        <s v="Contract 28"/>
        <s v="Contract 29"/>
        <s v="Contract 32"/>
        <s v="Contract 33"/>
        <s v="Contract 34"/>
        <s v="Contract 35"/>
        <s v="Contract 36"/>
        <s v="Contract 37"/>
        <s v="Contract 38"/>
        <s v="Contract 39"/>
        <s v="Contract 40"/>
        <s v="Contract 41"/>
        <s v="Contract 42"/>
        <s v="Contract 43"/>
        <s v="Contract 44"/>
        <s v="Contract 45"/>
        <s v="Contract 46"/>
        <s v="Contract 47"/>
        <s v="Contract 48"/>
        <s v="Contract 49"/>
        <s v="Contract 50"/>
        <s v="Contract 51"/>
        <s v="Contract 52"/>
        <s v="Contract 53"/>
        <s v="Contract 54"/>
        <s v="Contract 55"/>
        <s v="Contract 56"/>
        <s v="Contract 57"/>
        <s v="Contract 58"/>
        <s v="Contract 59"/>
        <s v="Contract 60"/>
        <s v="Contract 61"/>
        <s v="Contract 62"/>
        <s v="Contract 63"/>
        <s v="Contract 64"/>
        <s v="Contract 65"/>
        <s v="Contract 66"/>
        <s v="Contract 67"/>
        <s v="Contract 68"/>
        <s v="Contract 69"/>
        <s v="Contract 70"/>
        <s v="Contract 71"/>
        <s v="Contract 72"/>
        <s v="Contract 73"/>
        <s v="Contract 74"/>
        <s v="Contract 75"/>
        <s v="Contract 76"/>
        <s v="Contract 77"/>
        <s v="Contract 78"/>
        <s v="Contract 79"/>
        <s v="Contract 80"/>
        <s v="Contract 81"/>
        <s v="Contract 82"/>
        <s v="Contract 83"/>
        <s v="Contract 84"/>
        <s v="Contract 85"/>
        <s v="Contract 86"/>
        <s v="Contract 87"/>
        <s v="Contract 88"/>
        <s v="Contract 89"/>
        <s v="Contract 90"/>
        <s v="Contract 91"/>
        <s v="Contract 92"/>
        <s v="Contract 93"/>
        <s v="Contract 94"/>
        <s v="Contract 95"/>
        <s v="Contract 96"/>
        <s v="Contract 97"/>
        <s v="Contract 98"/>
        <s v="Contract 99"/>
        <s v="Contract 100"/>
        <s v="Contract 101"/>
        <s v="Contract 102"/>
        <s v="Contract 103"/>
        <s v="Contract 104"/>
        <s v="Contract 105"/>
        <s v="Contract 106"/>
        <s v="Contract 107"/>
        <s v="Contract 108"/>
        <s v="Contract 109"/>
        <s v="Contract 110"/>
        <s v="Contract 111"/>
        <s v="Contract 112"/>
        <s v="Contract 113"/>
        <s v="Contract 114"/>
        <s v="Contract 115"/>
        <s v="Contract 116"/>
        <s v="Contract 117"/>
        <s v="Contract 118"/>
        <s v="Contract 119"/>
        <s v="Contract 120"/>
        <s v="Contract 121"/>
        <s v="Contract 122"/>
        <s v="Contract 123"/>
        <s v="Contract 124"/>
        <s v="Contract 125"/>
        <s v="Contract 126"/>
        <s v="Contract 127"/>
        <s v="Contract 128"/>
        <s v="Contract 129"/>
        <s v="Contract 130"/>
        <s v="Contract 131"/>
        <s v="Contract 132"/>
        <s v="Contract 133"/>
        <s v="Contract 134"/>
        <s v="Contract 135"/>
        <s v="Contract 136"/>
        <s v="Contract 137"/>
        <s v="Contract 138"/>
        <s v="Contract 139"/>
        <s v="Contract 140"/>
        <s v="Contract 141"/>
        <s v="Contract 142"/>
        <s v="Contract 143"/>
        <s v="Contract 144"/>
        <s v="Contract 145"/>
        <s v="Contract 146"/>
        <s v="Contract 147"/>
        <s v="Contract 148"/>
        <s v="Contract 149"/>
        <s v="Contract 150"/>
        <s v="Contract 151"/>
        <s v="Contract 152"/>
        <s v="Contract 153"/>
        <s v="Contract 154"/>
        <s v="Contract 155"/>
        <s v="Contract 156"/>
        <s v="Contract 157"/>
        <s v="Contract 158"/>
        <s v="Contract 159"/>
        <s v="Contract 160"/>
        <s v="Contract 161"/>
        <s v="Contract 162"/>
        <s v="Contract 163"/>
        <s v="Contract 164"/>
        <s v="Contract 165"/>
        <s v="Contract 166"/>
        <s v="Contract 167"/>
        <s v="Contract 168"/>
        <s v="Contract 169"/>
        <s v="Contract 170"/>
        <s v="Contract 171"/>
        <s v="Contract 172"/>
        <s v="Contract 173"/>
        <s v="Contract 174"/>
        <s v="Contract 175"/>
        <s v="Contract 176"/>
        <s v="Contract 177"/>
        <s v="Contract 178"/>
        <s v="Contract 179"/>
        <s v="Contract 180"/>
        <s v="Contract 181"/>
        <s v="Contract 182"/>
        <s v="Contract 183"/>
        <s v="Contract 184"/>
        <s v="Contract 185"/>
        <s v="Contract 186"/>
        <s v="Contract 187"/>
        <s v="Contract 188"/>
        <s v="Contract 189"/>
        <s v="Contract 190"/>
        <s v="Contract 191"/>
        <s v="Contract 192"/>
        <s v="Contract 193"/>
        <s v="Contract 194"/>
        <s v="Contract 195"/>
        <s v="Contract 196"/>
        <s v="Contract 197"/>
        <s v="Contract 198"/>
        <s v="Contract 199"/>
        <s v="Contract 200"/>
        <s v="Contract 201"/>
        <s v="Contract 202"/>
        <s v="Contract 203"/>
        <s v="Contract 204"/>
        <s v="Contract 205"/>
        <s v="Contract 206"/>
        <s v="Contract 207"/>
        <s v="Contract 208"/>
        <s v="Contract 209"/>
        <s v="Contract 210"/>
        <s v="Contract 211"/>
        <s v="Contract 212"/>
        <s v="Contract 213"/>
        <s v="Contract 214"/>
        <s v="Contract 215"/>
        <s v="Contract 216"/>
        <s v="Contract 217"/>
        <s v="Contract 218"/>
        <s v="Contract 219"/>
        <s v="Contract 220"/>
        <s v="Contract 221"/>
        <s v="Contract 222"/>
        <s v="Contract 223"/>
        <s v="Contract 224"/>
        <s v="Contract 225"/>
        <s v="Contract 226"/>
        <s v="Contract 227"/>
        <s v="Contract 228"/>
        <s v="Contract 229"/>
        <s v="Contract 230"/>
        <s v="Contract 231"/>
        <s v="Contract 232"/>
        <s v="Contract 233"/>
        <s v="Contract 234"/>
        <s v="Contract 235"/>
        <s v="Contract 236"/>
        <s v="Contract 237"/>
        <s v="Contract 238"/>
        <s v="Contract 239"/>
        <s v="Contract 240"/>
        <s v="Contract 241"/>
        <s v="Contract 242"/>
        <s v="Contract 243"/>
        <s v="Contract 244"/>
        <s v="Contract 245"/>
        <s v="Contract 246"/>
        <s v="Contract 247"/>
        <s v="Contract 248"/>
        <s v="Contract 249"/>
        <s v="Contract 250"/>
        <s v="Contract 251"/>
        <s v="Contract 252"/>
        <s v="Contract 253"/>
        <s v="Contract 254"/>
        <s v="Contract 255"/>
        <s v="Contract 256"/>
        <s v="Contract 257"/>
        <s v="Contract 258"/>
        <s v="Contract 259"/>
        <s v="Contract 260"/>
        <s v="Contract 261"/>
        <s v="Contract 262"/>
        <s v="Contract 263"/>
        <s v="Contract 264"/>
        <s v="Contract 265"/>
        <s v="Contract 266"/>
        <s v="Contract 267"/>
        <s v="Contract 268"/>
        <s v="Contract 269"/>
        <s v="Contract 270"/>
        <s v="Contract 271"/>
        <s v="Contract 272"/>
        <s v="Contract 273"/>
        <s v="Contract 274"/>
        <s v="Contract 275"/>
        <s v="Contract 276"/>
        <s v="Contract 277"/>
        <s v="Contract 278"/>
        <s v="Contract 279"/>
        <s v="Contract 280"/>
        <s v="Contract 281"/>
        <s v="Contract 282"/>
        <s v="Contract 283"/>
        <s v="Contract 284"/>
        <s v="Contract 285"/>
        <s v="Contract 286"/>
        <s v="Contract 287"/>
        <s v="Contract 288"/>
        <s v="Contract 289"/>
        <s v="Contract 290"/>
        <s v="Contract 291"/>
        <s v="Contract 292"/>
        <s v="Contract 293"/>
        <s v="Contract 294"/>
        <s v="Contract 295"/>
        <s v="Contract 296"/>
        <s v="Contract 297"/>
        <s v="Contract 298"/>
        <s v="Contract 299"/>
        <s v="Contract 300"/>
        <s v="Contract 301"/>
        <s v="Contract 302"/>
        <s v="Contract 303"/>
        <s v="Contract 304"/>
        <s v="Contract 305"/>
        <s v="Contract 306"/>
        <s v="Contract 307"/>
        <s v="Contract 308"/>
        <s v="Contract 309"/>
        <s v="Contract 310"/>
        <s v="Contract 311"/>
        <s v="Contract 312"/>
        <s v="Contract 313"/>
        <s v="Contract 314"/>
        <s v="Contract 315"/>
        <s v="Contract 316"/>
        <s v="Contract 317"/>
        <s v="Contract 318"/>
        <s v="Contract 319"/>
        <s v="Contract 320"/>
        <s v="Contract 321"/>
        <s v="Contract 322"/>
        <s v="Contract 323"/>
        <s v="Contract 324"/>
        <s v="Contract 325"/>
        <s v="Contract 326"/>
        <s v="Contract 327"/>
        <s v="Contract 328"/>
        <s v="Contract 329"/>
        <s v="Contract 330"/>
        <s v="Contract 331"/>
        <s v="Contract 332"/>
        <s v="Contract 333"/>
        <s v="Contract 334"/>
        <s v="Contract 335"/>
        <s v="Contract 336"/>
        <s v="Contract 337"/>
        <s v="Contract 338"/>
        <s v="Contract 339"/>
        <s v="Contract 340"/>
        <s v="Contract 341"/>
        <s v="Contract 342"/>
        <s v="Contract 343"/>
        <s v="Contract 344"/>
        <s v="Contract 345"/>
        <s v="Contract 346"/>
        <s v="Contract 347"/>
        <s v="Contract 348"/>
        <s v="Contract 349"/>
        <s v="Contract 350"/>
        <s v="Contract 351"/>
        <s v="Contract 352"/>
        <s v="Contract 353"/>
        <s v="Contract 354"/>
        <s v="Contract 355"/>
        <s v="Contract 356"/>
        <s v="Contract 357"/>
        <s v="Contract 358"/>
        <s v="Contract 359"/>
        <s v="Contract 360"/>
      </sharedItems>
    </cacheField>
    <cacheField name="Contract Type" numFmtId="0">
      <sharedItems>
        <s v="Long Term"/>
      </sharedItems>
    </cacheField>
    <cacheField name="Rate Category" numFmtId="0">
      <sharedItems>
        <s v="HALF TON LDV"/>
        <s v="ONE TON LDV SINGLE CAB"/>
        <s v="ONE TON LDV DOUBLE CAB"/>
        <s v="SEDAN"/>
        <s v="MINIBUS"/>
        <s v="ONE TON LDV EXTENDED CAB "/>
      </sharedItems>
    </cacheField>
    <cacheField name="Make" numFmtId="0">
      <sharedItems>
        <s v="NISSAN"/>
        <s v="ISUZU"/>
        <s v="FORD"/>
        <s v="SUZUKI"/>
        <s v="TOYOTA"/>
        <s v="VOLKSWAGEN"/>
        <s v="HYUNDAI"/>
        <s v="GWM"/>
        <s v="MERCEDES"/>
      </sharedItems>
    </cacheField>
    <cacheField name="Model" numFmtId="0">
      <sharedItems>
        <s v="NP200 1.6 8V AC SAFETY PACK"/>
        <s v="KB 250 D-TEQ FLEETSIDE (SAFETY)"/>
        <s v="KB 250 D-TEQ HI-RIDER D/CAB"/>
        <s v="D-MAX 250 HO FLEETSIDE (SAFETY)"/>
        <s v="D-MAX 250 HO HI-RIDER D/CAB"/>
        <s v="RANGER 2.0 SiT D CAB BASE 4X4"/>
        <s v="ALMERA 1.5 ACENTA"/>
        <s v="DZIRE 1.2I GA"/>
        <s v="HILUX 2.4 GD S AC 5MT"/>
        <s v="T6.1 KOMBI 2.0 TDI TRENDLINE DSG"/>
        <s v="D-MAX 1.9 DDI D CAB HR L AT"/>
        <s v="STARIA 2.2D EXECUTIVE 9 SEATER AT"/>
        <s v="QUANTUM 2.5 D-4D 14-SEATER BUS"/>
        <s v="HILUX 2.4 GD S 5MT"/>
        <s v="POLO SEDAN 1.6 LIFE"/>
        <s v="STARIA 2.2D EXECUTIVE 11 SEATER AT"/>
        <s v="RANGER 2.0 SiT D CAB BASE 4X2"/>
        <s v="TOURNEO CUSTOM 2.2 TDCI AMBIENTE LWB"/>
        <s v="D-MAX 1.9 DDI D CAB 4X4 L"/>
        <s v="P SERIES 2.0 TD SX S CAB 4X2"/>
        <s v="NAVARA 2.5D SE 4X2 D CAB"/>
        <s v="D-MAX 1.9 DDI D CAB HR L"/>
        <s v="CIAZ 1.5 GL"/>
        <s v="NAVARA 2.5D SE 4X2 S CAB"/>
        <s v="D-MAX 250 HO HI-RIDER EXTENDED CAB"/>
        <s v="D-MAX 250 HO HI-RIDER D/CAB 4X4"/>
        <s v="ALMERA 1.5 ACENTA AT"/>
        <s v="RANGER 2.2 TDCI XL 4X4 D CAB"/>
        <s v="RANGER 2.0 SiT XL X CAB AT 4X4"/>
        <s v="D-MAX 3.0 DDI E CAB 4X4 LSE AT"/>
        <s v="D-MAX 1.9 DDI S CAB HR L"/>
        <s v="COROLLA QUEST 1.8 CVT"/>
        <s v="QUANTUM 2.8 GL LWB 14 SEATER"/>
        <s v="VITO 114 CDI TOURER PRO"/>
        <s v="QUANTUM 2.7 VVT-I SESFIKILE 16-SEATER BUS"/>
        <s v="NP200 1.5 dCi A/C + SAFETY PACK"/>
        <s v="ETIOS 1.5 Xs SEDAN"/>
        <s v="HILUX 2.8 GD-6 D/CAB 4X4 RAIDER"/>
        <s v="H1 2.5 VGTi 9-SEATER BUS AT"/>
        <s v="RANGER 2.2 TDCI XL 4X2 D CAB"/>
        <s v="QUANTUM 2.8 GL LWB 11 SEATER"/>
        <s v="QUANTUM 2.5 D-4D SESFIKILE 16-SEATER BUS"/>
        <s v="NAVARA 2.5D SE 4X4 D CAB"/>
        <s v="D-MAX 250 HO HI-RIDER 4X4"/>
        <s v="T6.1 PICK UP 2.0 TDI D CAB LWB"/>
      </sharedItems>
    </cacheField>
    <cacheField name="Year" numFmtId="0">
      <sharedItems containsSemiMixedTypes="0" containsString="0" containsNumber="1" containsInteger="1">
        <n v="2020.0"/>
        <n v="2019.0"/>
        <n v="2023.0"/>
        <n v="2024.0"/>
        <n v="2021.0"/>
        <n v="2022.0"/>
        <n v="2025.0"/>
      </sharedItems>
    </cacheField>
    <cacheField name="Fuel Type" numFmtId="0">
      <sharedItems>
        <s v="PETROL"/>
        <s v="DIESEL"/>
      </sharedItems>
    </cacheField>
    <cacheField name="Engine Capacity" numFmtId="0">
      <sharedItems containsSemiMixedTypes="0" containsString="0" containsNumber="1" containsInteger="1">
        <n v="1598.0"/>
        <n v="2498.0"/>
        <n v="1998.0"/>
        <n v="1498.0"/>
        <n v="1198.0"/>
        <n v="2398.0"/>
        <n v="1898.0"/>
        <n v="2198.0"/>
        <n v="2998.0"/>
        <n v="1798.0"/>
        <n v="2798.0"/>
        <n v="2698.0"/>
      </sharedItems>
    </cacheField>
    <cacheField name="Tyres Allocated" numFmtId="0">
      <sharedItems containsSemiMixedTypes="0" containsString="0" containsNumber="1" containsInteger="1">
        <n v="12.0"/>
        <n v="16.0"/>
      </sharedItems>
    </cacheField>
    <cacheField name="Tyres Used" numFmtId="0">
      <sharedItems containsSemiMixedTypes="0" containsString="0" containsNumber="1">
        <n v="0.0"/>
        <n v="12.0"/>
        <n v="8.0"/>
        <n v="10.0"/>
        <n v="4.0"/>
        <n v="3.0"/>
        <n v="6.0"/>
        <n v="16.0"/>
        <n v="13.0"/>
        <n v="40.0"/>
        <n v="9.0"/>
        <n v="1.0"/>
        <n v="7.0"/>
        <n v="2.0"/>
        <n v="5.0"/>
        <n v="1.99"/>
        <n v="15.0"/>
        <n v="15.99"/>
        <n v="11.0"/>
        <n v="12.98"/>
      </sharedItems>
    </cacheField>
    <cacheField name="Retail Price" numFmtId="165">
      <sharedItems containsSemiMixedTypes="0" containsString="0" containsNumber="1">
        <n v="172956.52"/>
        <n v="279652.17"/>
        <n v="323947.37"/>
        <n v="291043.48"/>
        <n v="363391.3"/>
        <n v="440782.61"/>
        <n v="460956.52"/>
        <n v="482952.0"/>
        <n v="220869.57"/>
        <n v="195565.22"/>
        <n v="358957.0"/>
        <n v="771217.39"/>
        <n v="463304.35"/>
        <n v="365565.22"/>
        <n v="741652.17"/>
        <n v="628087.0"/>
        <n v="349565.0"/>
        <n v="369900.0"/>
        <n v="592067.0"/>
        <n v="782173.91"/>
        <n v="444087.0"/>
        <n v="482957.0"/>
        <n v="729112.71"/>
        <n v="305826.09"/>
        <n v="791217.39"/>
        <n v="220696.0"/>
        <n v="567304.35"/>
        <n v="178174.0"/>
        <n v="204900.0"/>
        <n v="720000.0"/>
        <n v="454435.0"/>
        <n v="359173.91"/>
        <n v="456087.0"/>
        <n v="801652.17"/>
        <n v="184260.87"/>
        <n v="479043.48"/>
        <n v="494174.0"/>
        <n v="184261.0"/>
        <n v="453264.78"/>
        <n v="439391.0"/>
        <n v="491833.91"/>
        <n v="452047.39"/>
        <n v="242521.74"/>
        <n v="258173.91"/>
        <n v="370347.83"/>
        <n v="450347.83"/>
        <n v="463913.04"/>
        <n v="240782.61"/>
        <n v="452957.0"/>
        <n v="400956.52"/>
        <n v="495739.0"/>
        <n v="184434.78"/>
        <n v="435478.0"/>
        <n v="349565.22"/>
        <n v="597478.26"/>
        <n v="366260.87"/>
        <n v="334260.87"/>
        <n v="312783.0"/>
        <n v="733479.0"/>
        <n v="471652.17"/>
        <n v="467913.04"/>
        <n v="967565.0"/>
        <n v="454434.78"/>
        <n v="494347.83"/>
        <n v="521254.5"/>
        <n v="198695.65"/>
        <n v="432870.0"/>
        <n v="291043.18"/>
        <n v="408173.91"/>
        <n v="216695.65"/>
        <n v="190240.52"/>
        <n v="175913.0"/>
        <n v="541565.0"/>
        <n v="387391.0"/>
        <n v="399186.96"/>
        <n v="502435.0"/>
        <n v="537826.09"/>
        <n v="381826.09"/>
        <n v="234608.7"/>
        <n v="342695.65"/>
        <n v="710174.0"/>
        <n v="728087.0"/>
        <n v="400601.74"/>
        <n v="428869.57"/>
        <n v="374434.78"/>
        <n v="485300.0"/>
      </sharedItems>
    </cacheField>
    <cacheField name="Discount Amount" numFmtId="165">
      <sharedItems containsSemiMixedTypes="0" containsString="0" containsNumber="1">
        <n v="45491.46"/>
        <n v="52153.09"/>
        <n v="52288.09"/>
        <n v="38803.67"/>
        <n v="52153.08"/>
        <n v="56709.18"/>
        <n v="72543.26"/>
        <n v="71421.44"/>
        <n v="91595.35"/>
        <n v="29511.33"/>
        <n v="45823.1"/>
        <n v="15600.0"/>
        <n v="46664.41"/>
        <n v="44275.33"/>
        <n v="80354.39"/>
        <n v="71993.18"/>
        <n v="66748.7"/>
        <n v="75370.44"/>
        <n v="44394.75"/>
        <n v="53998.52"/>
        <n v="95248.0"/>
        <n v="69395.65"/>
        <n v="25898.69"/>
        <n v="30373.37"/>
        <n v="29117.5"/>
        <n v="47723.1"/>
        <n v="71209.56"/>
        <n v="37696.0"/>
        <n v="107085.52"/>
        <n v="25452.29"/>
        <n v="7400.0"/>
        <n v="34426.0"/>
        <n v="20004.79"/>
        <n v="35800.29"/>
        <n v="107752.17"/>
        <n v="29868.06"/>
        <n v="86959.0"/>
        <n v="72148.69"/>
        <n v="3700.0"/>
        <n v="53038.7"/>
        <n v="11200.0"/>
        <n v="89778.48"/>
        <n v="40250.09"/>
        <n v="10200.0"/>
        <n v="34630.07"/>
        <n v="19222.07"/>
        <n v="20392.29"/>
        <n v="54387.32"/>
        <n v="35437.99"/>
        <n v="34535.03"/>
        <n v="35229.08"/>
        <n v="13200.0"/>
        <n v="11113.04"/>
        <n v="73934.57"/>
        <n v="74443.27"/>
        <n v="88008.48"/>
        <n v="75402.33"/>
        <n v="76923.96"/>
        <n v="87583.84"/>
        <n v="69496.3"/>
        <n v="111908.54"/>
        <n v="24439.97"/>
        <n v="64189.36"/>
        <n v="80191.3"/>
        <n v="37546.29"/>
        <n v="70104.84"/>
        <n v="60326.48"/>
        <n v="72606.75"/>
        <n v="71923.26"/>
        <n v="66869.7"/>
        <n v="62442.22"/>
        <n v="37910.0"/>
        <n v="25022.64"/>
        <n v="86550.52"/>
        <n v="18319.11"/>
        <n v="68333.36"/>
        <n v="51930.79"/>
        <n v="59766.96"/>
        <n v="93915.52"/>
        <n v="56424.2"/>
        <n v="28631.78"/>
        <n v="18259.71"/>
        <n v="92264.14"/>
        <n v="11200.13"/>
        <n v="19108.07"/>
        <n v="67252.61"/>
        <n v="28632.0"/>
        <n v="18205.11"/>
        <n v="45665.33"/>
        <n v="10631.43"/>
        <n v="56708.88"/>
        <n v="66699.78"/>
        <n v="70797.17"/>
        <n v="19926.2"/>
        <n v="68702.45"/>
        <n v="111482.39"/>
        <n v="38683.01"/>
        <n v="18493.0"/>
        <n v="51971.57"/>
        <n v="34086.0"/>
        <n v="52106.57"/>
        <n v="40292.0"/>
        <n v="52087.96"/>
        <n v="19946.67"/>
        <n v="38611.01"/>
        <n v="65339.99"/>
        <n v="76230.22"/>
        <n v="59813.53"/>
        <n v="47981.01"/>
        <n v="67555.86"/>
        <n v="77511.87"/>
        <n v="97563.65"/>
        <n v="59959.74"/>
        <n v="63952.83"/>
        <n v="77378.04"/>
        <n v="43725.87"/>
        <n v="58995.85"/>
      </sharedItems>
    </cacheField>
    <cacheField name="Discount %" numFmtId="9">
      <sharedItems containsSemiMixedTypes="0" containsString="0" containsNumber="1">
        <n v="0.26"/>
        <n v="0.19"/>
        <n v="0.12"/>
        <n v="0.2"/>
        <n v="0.16"/>
        <n v="0.06"/>
        <n v="0.21"/>
        <n v="0.08"/>
        <n v="0.13"/>
        <n v="0.17"/>
        <n v="0.09"/>
        <n v="0.15"/>
        <n v="0.04"/>
        <n v="0.03"/>
        <n v="0.3"/>
        <n v="0.07"/>
        <n v="0.02"/>
        <n v="0.05"/>
        <n v="0.31"/>
        <n v="0.25"/>
        <n v="0.14"/>
        <n v="0.18"/>
        <n v="0.23"/>
        <n v="0.32"/>
        <n v="0.27"/>
        <n v="0.11"/>
        <n v="0.1"/>
      </sharedItems>
    </cacheField>
    <cacheField name="Accessory Amount" numFmtId="165">
      <sharedItems containsSemiMixedTypes="0" containsString="0" containsNumber="1">
        <n v="18280.53"/>
        <n v="19390.1"/>
        <n v="37811.82"/>
        <n v="18702.72"/>
        <n v="19785.12"/>
        <n v="18227.7"/>
        <n v="19142.44"/>
        <n v="35043.05"/>
        <n v="18032.91"/>
        <n v="8915.66"/>
        <n v="11953.33"/>
        <n v="56494.37"/>
        <n v="25730.64"/>
        <n v="24585.1"/>
        <n v="24481.01"/>
        <n v="24598.81"/>
        <n v="10524.58"/>
        <n v="7270.59"/>
        <n v="34060.48"/>
        <n v="34085.19"/>
        <n v="8147.3"/>
        <n v="8500.74"/>
        <n v="23048.67"/>
        <n v="17423.66"/>
        <n v="6795.0"/>
        <n v="24609.06"/>
        <n v="25507.33"/>
        <n v="24592.31"/>
        <n v="55158.97"/>
        <n v="4838.25"/>
        <n v="13946.58"/>
        <n v="24281.41"/>
        <n v="24391.27"/>
        <n v="24242.28"/>
        <n v="24528.21"/>
        <n v="9991.96"/>
        <n v="24564.84"/>
        <n v="31604.48"/>
        <n v="35012.31"/>
        <n v="52135.71"/>
        <n v="35035.12"/>
        <n v="52514.38"/>
        <n v="52573.78"/>
        <n v="52544.92"/>
        <n v="23204.92"/>
        <n v="17942.97"/>
        <n v="21390.4"/>
        <n v="17029.89"/>
        <n v="26159.61"/>
        <n v="18877.3"/>
        <n v="7185.81"/>
        <n v="40570.43"/>
        <n v="13825.78"/>
        <n v="29382.46"/>
        <n v="29100.57"/>
        <n v="31982.86"/>
        <n v="33703.74"/>
        <n v="34467.2"/>
        <n v="34462.55"/>
        <n v="34498.82"/>
        <n v="34470.86"/>
        <n v="33702.04"/>
        <n v="33644.53"/>
        <n v="34509.79"/>
        <n v="33607.87"/>
        <n v="13183.05"/>
        <n v="13710.12"/>
        <n v="12767.74"/>
        <n v="7196.76"/>
        <n v="28041.64"/>
        <n v="32788.74"/>
        <n v="27318.7"/>
        <n v="18558.71"/>
        <n v="14784.13"/>
        <n v="18326.06"/>
        <n v="18256.42"/>
        <n v="19280.77"/>
        <n v="18290.3"/>
        <n v="18284.79"/>
        <n v="11740.16"/>
        <n v="13832.31"/>
        <n v="13577.29"/>
        <n v="13515.0"/>
        <n v="7373.47"/>
        <n v="29194.21"/>
        <n v="13201.89"/>
        <n v="29016.89"/>
        <n v="30635.28"/>
        <n v="29202.01"/>
        <n v="24532.97"/>
        <n v="29060.89"/>
        <n v="29673.49"/>
        <n v="29589.39"/>
        <n v="26748.7"/>
        <n v="24561.45"/>
        <n v="33309.34"/>
        <n v="42540.98"/>
        <n v="5617.36"/>
        <n v="14823.37"/>
        <n v="14930.08"/>
        <n v="14735.11"/>
        <n v="14921.53"/>
        <n v="5529.12"/>
        <n v="30425.44"/>
        <n v="50158.73"/>
        <n v="50544.62"/>
        <n v="44698.53"/>
        <n v="49074.58"/>
        <n v="49022.33"/>
        <n v="49014.38"/>
        <n v="51870.62"/>
        <n v="49064.77"/>
        <n v="51736.08"/>
        <n v="51382.55"/>
        <n v="51695.77"/>
        <n v="51614.32"/>
        <n v="44438.55"/>
        <n v="44430.66"/>
        <n v="40950.11"/>
        <n v="33239.31"/>
        <n v="33879.92"/>
        <n v="33213.34"/>
        <n v="29766.79"/>
        <n v="29749.68"/>
        <n v="33969.76"/>
        <n v="33187.94"/>
        <n v="30639.81"/>
        <n v="30442.34"/>
        <n v="29775.79"/>
        <n v="33485.94"/>
        <n v="34089.95"/>
        <n v="40210.46"/>
        <n v="40504.16"/>
        <n v="32579.35"/>
        <n v="47033.12"/>
        <n v="33069.61"/>
        <n v="40544.35"/>
        <n v="40471.72"/>
        <n v="51869.59"/>
        <n v="50325.99"/>
        <n v="71719.38"/>
        <n v="72083.52"/>
        <n v="72132.35"/>
        <n v="71699.0"/>
        <n v="32821.15"/>
        <n v="71015.57"/>
        <n v="71863.64"/>
        <n v="108014.87"/>
        <n v="37259.81"/>
        <n v="108178.94"/>
        <n v="108031.94"/>
        <n v="108068.04"/>
        <n v="76633.47"/>
        <n v="37577.86"/>
        <n v="108003.93"/>
        <n v="108007.25"/>
        <n v="108019.61"/>
        <n v="44778.02"/>
        <n v="41472.25"/>
        <n v="41570.73"/>
        <n v="41410.93"/>
        <n v="17523.08"/>
        <n v="5072.37"/>
        <n v="75678.67"/>
        <n v="32768.34"/>
        <n v="76573.1"/>
        <n v="32847.98"/>
        <n v="5733.32"/>
        <n v="28672.54"/>
        <n v="34476.86"/>
        <n v="27377.29"/>
        <n v="27471.11"/>
        <n v="10715.31"/>
        <n v="30152.69"/>
        <n v="42286.25"/>
        <n v="27424.56"/>
        <n v="18873.08"/>
        <n v="5041.86"/>
        <n v="27362.01"/>
        <n v="150637.5"/>
        <n v="153533.57"/>
        <n v="153609.13"/>
        <n v="30600.66"/>
        <n v="35779.71"/>
        <n v="34697.9"/>
        <n v="45768.41"/>
        <n v="31360.86"/>
        <n v="15144.65"/>
        <n v="30786.21"/>
        <n v="33806.95"/>
        <n v="36133.57"/>
        <n v="119293.81"/>
        <n v="50615.9"/>
        <n v="34120.69"/>
        <n v="20092.43"/>
        <n v="14145.7"/>
        <n v="14128.58"/>
        <n v="53744.59"/>
        <n v="41760.38"/>
        <n v="42802.75"/>
        <n v="41557.53"/>
        <n v="41662.59"/>
        <n v="42547.54"/>
        <n v="7129.12"/>
        <n v="41764.14"/>
        <n v="42747.12"/>
        <n v="40805.97"/>
        <n v="33258.91"/>
        <n v="51488.77"/>
        <n v="50835.7"/>
        <n v="5394.24"/>
        <n v="35187.69"/>
        <n v="34108.22"/>
        <n v="9123.08"/>
        <n v="9045.94"/>
        <n v="9128.53"/>
        <n v="9547.64"/>
        <n v="9095.58"/>
        <n v="9142.55"/>
        <n v="9321.0"/>
        <n v="34229.34"/>
        <n v="35056.09"/>
        <n v="34049.74"/>
        <n v="35132.07"/>
        <n v="34101.94"/>
        <n v="34996.04"/>
        <n v="35167.32"/>
        <n v="35191.24"/>
        <n v="13596.63"/>
        <n v="12996.61"/>
        <n v="13176.69"/>
        <n v="13035.62"/>
        <n v="13171.22"/>
        <n v="16192.62"/>
        <n v="13101.48"/>
        <n v="112471.96"/>
        <n v="108316.69"/>
        <n v="34877.65"/>
        <n v="12932.38"/>
        <n v="34244.68"/>
        <n v="35239.89"/>
        <n v="35928.0"/>
        <n v="12071.29"/>
        <n v="30859.42"/>
        <n v="10230.76"/>
        <n v="15313.48"/>
        <n v="36355.56"/>
        <n v="36173.22"/>
        <n v="53358.32"/>
        <n v="170066.64"/>
        <n v="49370.36"/>
        <n v="7943.49"/>
        <n v="7961.91"/>
        <n v="34999.97"/>
        <n v="49139.62"/>
        <n v="66970.87"/>
        <n v="65412.87"/>
        <n v="58075.05"/>
        <n v="57355.84"/>
        <n v="69950.16"/>
        <n v="23751.45"/>
        <n v="10766.17"/>
        <n v="33978.24"/>
        <n v="32300.93"/>
        <n v="20426.11"/>
        <n v="19101.31"/>
        <n v="27916.71"/>
        <n v="27742.48"/>
        <n v="22952.13"/>
        <n v="22858.66"/>
        <n v="21233.85"/>
        <n v="22726.91"/>
        <n v="22597.29"/>
        <n v="20777.47"/>
        <n v="20109.68"/>
        <n v="20381.98"/>
        <n v="22953.88"/>
        <n v="8373.85"/>
        <n v="23351.99"/>
        <n v="23671.52"/>
        <n v="34200.72"/>
        <n v="13986.83"/>
        <n v="20748.35"/>
        <n v="20097.03"/>
        <n v="20658.37"/>
        <n v="22934.81"/>
        <n v="21219.74"/>
        <n v="20329.87"/>
        <n v="21385.8"/>
        <n v="23865.46"/>
        <n v="21452.31"/>
        <n v="30706.78"/>
        <n v="21017.87"/>
        <n v="32291.5"/>
        <n v="16066.64"/>
        <n v="0.0"/>
        <n v="20911.68"/>
        <n v="19591.75"/>
        <n v="19015.91"/>
        <n v="19462.52"/>
        <n v="20141.64"/>
        <n v="30780.28"/>
        <n v="23532.42"/>
        <n v="20125.56"/>
        <n v="26209.53"/>
        <n v="26653.55"/>
        <n v="26486.43"/>
        <n v="30373.32"/>
        <n v="22858.73"/>
        <n v="27745.54"/>
        <n v="20973.19"/>
        <n v="28957.61"/>
        <n v="22123.04"/>
        <n v="32204.18"/>
        <n v="27881.04"/>
        <n v="27670.25"/>
        <n v="32195.32"/>
        <n v="32156.43"/>
        <n v="32407.78"/>
        <n v="32218.5"/>
        <n v="32286.09"/>
        <n v="34123.1"/>
        <n v="28312.31"/>
        <n v="32500.0"/>
        <n v="32944.67"/>
        <n v="32877.69"/>
        <n v="28334.65"/>
        <n v="7961.23"/>
        <n v="49157.73"/>
        <n v="34271.0"/>
        <n v="20654.87"/>
        <n v="33991.07"/>
        <n v="34286.62"/>
        <n v="33849.66"/>
        <n v="27263.37"/>
        <n v="14015.54"/>
        <n v="36004.49"/>
        <n v="16017.31"/>
        <n v="27413.95"/>
        <n v="27346.82"/>
        <n v="22681.93"/>
        <n v="30366.05"/>
        <n v="8092.44"/>
        <n v="23125.84"/>
        <n v="78000.63"/>
        <n v="78351.87"/>
        <n v="29868.41"/>
        <n v="24727.31"/>
        <n v="23300.22"/>
        <n v="17282.75"/>
        <n v="22784.74"/>
        <n v="21235.92"/>
        <n v="20985.83"/>
        <n v="28543.1"/>
        <n v="32404.16"/>
        <n v="21113.78"/>
      </sharedItems>
    </cacheField>
    <cacheField name="Finance Sundries" numFmtId="165">
      <sharedItems containsSemiMixedTypes="0" containsString="0" containsNumber="1">
        <n v="584.0"/>
        <n v="1466.0"/>
        <n v="1646.0"/>
        <n v="1182.0"/>
        <n v="1436.0"/>
        <n v="1718.0"/>
        <n v="3046.0"/>
        <n v="2242.5"/>
        <n v="2431.5"/>
        <n v="2617.5"/>
        <n v="1895.0"/>
        <n v="1650.0"/>
        <n v="2184.0"/>
        <n v="2124.0"/>
        <n v="2417.0"/>
        <n v="1986.0"/>
        <n v="1992.0"/>
        <n v="2912.0"/>
        <n v="2603.0"/>
        <n v="2021.0"/>
        <n v="2621.0"/>
        <n v="2715.5"/>
        <n v="3171.0"/>
        <n v="2310.0"/>
        <n v="3200.0"/>
        <n v="2297.0"/>
        <n v="2519.0"/>
        <n v="3276.66"/>
        <n v="3378.04"/>
        <n v="5735.34"/>
        <n v="2237.5"/>
        <n v="2575.0"/>
        <n v="2696.11"/>
        <n v="1961.0"/>
        <n v="2435.0"/>
        <n v="2250.0"/>
        <n v="3573.5"/>
        <n v="2420.03"/>
        <n v="1689.5"/>
        <n v="2514.0"/>
        <n v="2203.0"/>
        <n v="2353.03"/>
        <n v="3655.03"/>
        <n v="2276.0"/>
        <n v="1662.0"/>
        <n v="2531.0"/>
        <n v="1973.0"/>
        <n v="2322.0"/>
        <n v="2633.0"/>
        <n v="3321.0"/>
        <n v="2448.0"/>
        <n v="2207.0"/>
        <n v="5707.0"/>
        <n v="5773.68"/>
        <n v="5792.52"/>
        <n v="5819.96"/>
        <n v="2840.46"/>
        <n v="2831.0"/>
        <n v="2136.0"/>
        <n v="2077.5"/>
        <n v="2727.5"/>
        <n v="2424.0"/>
        <n v="2727.0"/>
        <n v="2765.0"/>
        <n v="1710.0"/>
        <n v="2112.0"/>
        <n v="2014.5"/>
        <n v="2135.0"/>
        <n v="2748.0"/>
        <n v="2298.0"/>
        <n v="1754.5"/>
        <n v="3105.0"/>
        <n v="2148.0"/>
        <n v="3621.0"/>
        <n v="2729.0"/>
        <n v="2562.0"/>
        <n v="2191.0"/>
        <n v="2346.5"/>
        <n v="2272.5"/>
        <n v="2848.0"/>
        <n v="2724.0"/>
        <n v="2033.0"/>
        <n v="3151.0"/>
        <n v="2048.5"/>
        <n v="3156.0"/>
        <n v="2345.0"/>
        <n v="1998.0"/>
        <n v="2447.0"/>
        <n v="2526.0"/>
        <n v="2648.5"/>
        <n v="1586.0"/>
        <n v="8454.57"/>
        <n v="2782.0"/>
        <n v="4917.5"/>
        <n v="5007.5"/>
        <n v="5837.5"/>
        <n v="4475.5"/>
        <n v="6419.5"/>
        <n v="5203.88"/>
        <n v="4403.5"/>
        <n v="5356.85"/>
        <n v="4623.5"/>
        <n v="4697.5"/>
        <n v="4787.5"/>
        <n v="5303.5"/>
        <n v="5277.5"/>
        <n v="0.0"/>
        <n v="1881.5"/>
        <n v="1239.5"/>
        <n v="1587.5"/>
        <n v="2241.5"/>
        <n v="1677.5"/>
        <n v="4314.5"/>
        <n v="2664.5"/>
        <n v="1830.0"/>
        <n v="1536.5"/>
        <n v="2205.5"/>
        <n v="2548.3"/>
        <n v="1911.5"/>
        <n v="1217.5"/>
        <n v="3015.0"/>
        <n v="1207.5"/>
        <n v="1591.5"/>
        <n v="2510.5"/>
        <n v="1362.0"/>
        <n v="2183.0"/>
        <n v="1795.0"/>
        <n v="1514.9"/>
        <n v="2101.0"/>
        <n v="2117.5"/>
        <n v="1704.0"/>
        <n v="10192.5"/>
        <n v="2711.0"/>
        <n v="2751.0"/>
        <n v="2436.0"/>
        <n v="2087.5"/>
        <n v="1836.0"/>
        <n v="2207.5"/>
        <n v="3771.4"/>
        <n v="2486.5"/>
        <n v="2678.5"/>
      </sharedItems>
    </cacheField>
    <cacheField name="Interest %" numFmtId="0">
      <sharedItems containsSemiMixedTypes="0" containsString="0" containsNumber="1">
        <n v="7.75"/>
      </sharedItems>
    </cacheField>
    <cacheField name="Residual Value" numFmtId="165">
      <sharedItems containsString="0" containsBlank="1" containsNumber="1">
        <n v="72642.0"/>
        <m/>
        <n v="115469.58"/>
        <n v="119447.45"/>
        <n v="123525.53"/>
        <n v="120718.17"/>
        <n v="170794.0"/>
        <n v="185129.0"/>
        <n v="193602.0"/>
        <n v="224491.8"/>
        <n v="231766.6"/>
        <n v="249769.0"/>
        <n v="92765.0"/>
        <n v="105902.0"/>
        <n v="150762.0"/>
        <n v="339336.0"/>
        <n v="300775.0"/>
        <n v="239130.0"/>
        <n v="168160.0"/>
        <n v="283238.2"/>
        <n v="301482.0"/>
        <n v="152521.0"/>
        <n v="184950.0"/>
        <n v="284192.0"/>
        <n v="302090.0"/>
        <n v="164504.0"/>
        <n v="229948.0"/>
        <n v="182783.0"/>
        <n v="249772.0"/>
        <n v="269772.0"/>
        <n v="137622.0"/>
        <n v="94899.0"/>
        <n v="306344.0"/>
        <n v="78397.0"/>
        <n v="90350.7"/>
        <n v="252000.0"/>
        <n v="243113.0"/>
        <n v="149697.0"/>
        <n v="229079.0"/>
        <n v="202821.0"/>
        <n v="301254.1"/>
        <n v="83794.58"/>
        <n v="266400.0"/>
        <n v="82960.22"/>
        <n v="177054.36"/>
        <n v="210779.0"/>
        <n v="255573.0"/>
        <n v="101520.0"/>
        <n v="79232.0"/>
        <n v="234700.0"/>
        <n v="99780.0"/>
        <n v="164002.3"/>
        <n v="184871.0"/>
        <n v="228429.72"/>
        <n v="234289.0"/>
        <n v="235306.0"/>
        <n v="242487.0"/>
        <n v="158181.0"/>
        <n v="229355.5"/>
        <n v="215864.0"/>
        <n v="254362.0"/>
        <n v="234070.0"/>
        <n v="202728.49"/>
        <n v="104284.0"/>
        <n v="184383.0"/>
        <n v="111015.0"/>
        <n v="137029.0"/>
        <n v="152446.98"/>
        <n v="191135.08"/>
        <n v="181637.04"/>
        <n v="27779.59"/>
        <n v="172124.0"/>
        <n v="168402.0"/>
        <n v="68550.94"/>
        <n v="181969.12"/>
        <n v="105851.0"/>
        <n v="198323.0"/>
        <n v="234783.0"/>
        <n v="202657.0"/>
        <n v="79307.0"/>
        <n v="165482.0"/>
        <n v="193944.0"/>
        <n v="157304.0"/>
        <n v="246969.03"/>
        <n v="164817.0"/>
        <n v="150417.0"/>
        <n v="248348.0"/>
        <n v="153264.0"/>
        <n v="293507.0"/>
        <n v="325190.0"/>
        <n v="167009.0"/>
        <n v="269830.0"/>
        <n v="252324.0"/>
        <n v="196523.0"/>
        <n v="314363.0"/>
        <n v="430289.0"/>
        <n v="213043.0"/>
        <n v="269906.0"/>
        <n v="85439.0"/>
        <n v="207778.0"/>
        <n v="133880.0"/>
        <n v="126752.78"/>
        <n v="173810.8"/>
        <n v="73973.4"/>
        <n v="313642.44"/>
        <n v="313312.0"/>
        <n v="91012.0"/>
        <n v="71153.15"/>
        <n v="171433.0"/>
        <n v="74371.0"/>
        <n v="75194.75"/>
        <n v="87511.0"/>
        <n v="26071.08"/>
        <n v="91475.0"/>
        <n v="130970.0"/>
        <n v="227457.0"/>
        <n v="79901.0"/>
        <n v="80296.02"/>
        <n v="45401.56"/>
        <n v="0.0"/>
        <n v="13797.96"/>
        <n v="47684.74"/>
        <n v="152624.0"/>
        <n v="223010.0"/>
        <n v="84516.68"/>
        <n v="108212.98"/>
        <n v="77999.0"/>
        <n v="147209.0"/>
        <n v="151691.0"/>
        <n v="214025.0"/>
        <n v="315402.0"/>
        <n v="252440.0"/>
        <n v="263422.0"/>
        <n v="246193.0"/>
        <n v="126815.3"/>
        <n v="66584.0"/>
        <n v="196542.0"/>
        <n v="81803.0"/>
        <n v="193617.0"/>
        <n v="160367.0"/>
        <n v="82113.0"/>
        <n v="154213.0"/>
        <n v="326680.0"/>
        <n v="334920.0"/>
        <n v="156235.0"/>
        <n v="116863.0"/>
        <n v="192991.0"/>
        <n v="161007.0"/>
        <n v="174708.0"/>
      </sharedItems>
    </cacheField>
    <cacheField name="RV %" numFmtId="0">
      <sharedItems containsString="0" containsBlank="1" containsNumber="1">
        <n v="42.0"/>
        <m/>
        <n v="98.98"/>
        <n v="98.33"/>
        <n v="98.43"/>
        <n v="98.95"/>
        <n v="68.23"/>
        <n v="57.39"/>
        <n v="58.17"/>
        <n v="51.72"/>
        <n v="54.15"/>
        <n v="44.0"/>
        <n v="39.0"/>
        <n v="51.61"/>
        <n v="46.0"/>
        <n v="46.86"/>
        <n v="48.0"/>
        <n v="49.74"/>
        <n v="50.0"/>
        <n v="58.2"/>
        <n v="38.62"/>
        <n v="45.0"/>
        <n v="51.78"/>
        <n v="37.0"/>
        <n v="66.74"/>
        <n v="43.0"/>
        <n v="54.0"/>
        <n v="95.0"/>
        <n v="35.0"/>
        <n v="53.5"/>
        <n v="41.68"/>
        <n v="50.23"/>
        <n v="45.47"/>
        <n v="89.19"/>
        <n v="88.94"/>
        <n v="50.1"/>
        <n v="59.97"/>
        <n v="42.89"/>
        <n v="45.7"/>
        <n v="56.03"/>
        <n v="51.69"/>
        <n v="36.0"/>
        <n v="54.22"/>
        <n v="50.94"/>
        <n v="51.03"/>
        <n v="52.59"/>
        <n v="40.0"/>
        <n v="68.61"/>
        <n v="63.48"/>
        <n v="66.88"/>
        <n v="67.68"/>
        <n v="70.92"/>
        <n v="41.26"/>
        <n v="52.98"/>
        <n v="38.0"/>
        <n v="57.14"/>
        <n v="67.84"/>
        <n v="44.91"/>
        <n v="68.04"/>
        <n v="51.58"/>
        <n v="52.34"/>
        <n v="49.0"/>
        <n v="40.02"/>
        <n v="41.1"/>
        <n v="45.69"/>
        <n v="54.86"/>
        <n v="39.73"/>
        <n v="44.47"/>
        <n v="43.1"/>
        <n v="59.08"/>
        <n v="66.18"/>
        <n v="97.94"/>
        <n v="99.04"/>
        <n v="97.86"/>
        <n v="98.57"/>
        <n v="97.96"/>
        <n v="98.34"/>
        <n v="95.51"/>
        <n v="52.0"/>
        <n v="98.39"/>
        <n v="98.44"/>
        <n v="97.38"/>
        <n v="0.0"/>
        <n v="91.83"/>
        <n v="97.5"/>
        <n v="98.52"/>
        <n v="82.76"/>
        <n v="41.0"/>
        <n v="56.0"/>
        <n v="63.77"/>
        <n v="63.02"/>
        <n v="54.97"/>
        <n v="45.89"/>
        <n v="61.9"/>
        <n v="59.96"/>
        <n v="22.0"/>
      </sharedItems>
    </cacheField>
    <cacheField name="Start Date" numFmtId="14">
      <sharedItems containsSemiMixedTypes="0" containsDate="1" containsString="0">
        <d v="2020-02-25T00:00:00Z"/>
        <d v="2020-05-26T00:00:00Z"/>
        <d v="2020-03-27T00:00:00Z"/>
        <d v="2020-07-28T00:00:00Z"/>
        <d v="2020-01-29T00:00:00Z"/>
        <d v="2020-02-23T00:00:00Z"/>
        <d v="2020-01-31T00:00:00Z"/>
        <d v="2020-02-01T00:00:00Z"/>
        <d v="2020-02-02T00:00:00Z"/>
        <d v="2020-02-03T00:00:00Z"/>
        <d v="2020-06-04T00:00:00Z"/>
        <d v="2020-02-05T00:00:00Z"/>
        <d v="2020-02-06T00:00:00Z"/>
        <d v="2020-02-07T00:00:00Z"/>
        <d v="2020-02-08T00:00:00Z"/>
        <d v="2020-10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5-21T00:00:00Z"/>
        <d v="2020-02-22T00:00:00Z"/>
        <d v="2020-02-26T00:00:00Z"/>
        <d v="2020-09-27T00:00:00Z"/>
        <d v="2020-02-28T00:00:00Z"/>
        <d v="2020-02-29T00:00:00Z"/>
        <d v="2020-03-01T00:00:00Z"/>
        <d v="2020-03-02T00:00:00Z"/>
        <d v="2020-03-03T00:00:00Z"/>
        <d v="2020-03-05T00:00:00Z"/>
        <d v="2020-03-06T00:00:00Z"/>
        <d v="2020-03-07T00:00:00Z"/>
        <d v="2020-03-08T00:00:00Z"/>
        <d v="2020-03-09T00:00:00Z"/>
        <d v="2020-03-10T00:00:00Z"/>
        <d v="2020-07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8-21T00:00:00Z"/>
        <d v="2020-03-22T00:00:00Z"/>
        <d v="2020-03-23T00:00:00Z"/>
        <d v="2020-03-24T00:00:00Z"/>
        <d v="2020-03-25T00:00:00Z"/>
        <d v="2020-03-26T00:00:00Z"/>
        <d v="2020-03-28T00:00:00Z"/>
        <d v="2020-03-29T00:00:00Z"/>
        <d v="2020-03-30T00:00:00Z"/>
        <d v="2020-03-31T00:00:00Z"/>
        <d v="2020-04-15T00:00:00Z"/>
        <d v="2020-04-16T00:00:00Z"/>
        <d v="2020-04-17T00:00:00Z"/>
        <d v="2020-04-18T00:00:00Z"/>
        <d v="2020-05-19T00:00:00Z"/>
        <d v="2020-08-20T00:00:00Z"/>
        <d v="2020-04-21T00:00:00Z"/>
        <d v="2020-04-08T00:00:00Z"/>
        <d v="2020-04-09T00:00:00Z"/>
        <d v="2020-04-10T00:00:00Z"/>
        <d v="2020-09-11T00:00:00Z"/>
        <d v="2020-04-12T00:00:00Z"/>
        <d v="2020-04-13T00:00:00Z"/>
        <d v="2020-04-14T00:00:00Z"/>
        <d v="2020-06-15T00:00:00Z"/>
        <d v="2020-04-19T00:00:00Z"/>
        <d v="2020-04-20T00:00:00Z"/>
        <d v="2020-07-21T00:00:00Z"/>
        <d v="2020-04-22T00:00:00Z"/>
        <d v="2020-04-23T00:00:00Z"/>
        <d v="2020-04-24T00:00:00Z"/>
        <d v="2020-10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7-04T00:00:00Z"/>
        <d v="2020-05-05T00:00:00Z"/>
        <d v="2020-05-06T00:00:00Z"/>
        <d v="2020-05-07T00:00:00Z"/>
        <d v="2020-10-08T00:00:00Z"/>
        <d v="2020-05-09T00:00:00Z"/>
        <d v="2020-08-10T00:00:00Z"/>
        <d v="2020-05-11T00:00:00Z"/>
        <d v="2020-05-12T00:00:00Z"/>
        <d v="2020-07-13T00:00:00Z"/>
        <d v="2020-05-14T00:00:00Z"/>
        <d v="2020-05-15T00:00:00Z"/>
        <d v="2020-05-16T00:00:00Z"/>
        <d v="2020-09-17T00:00:00Z"/>
        <d v="2020-05-18T00:00:00Z"/>
        <d v="2020-05-20T00:00:00Z"/>
        <d v="2020-12-22T00:00:00Z"/>
        <d v="2020-05-23T00:00:00Z"/>
        <d v="2020-05-24T00:00:00Z"/>
        <d v="2020-05-25T00:00:00Z"/>
        <d v="2020-08-26T00:00:00Z"/>
        <d v="2020-05-27T00:00:00Z"/>
        <d v="2020-06-28T00:00:00Z"/>
        <d v="2020-05-29T00:00:00Z"/>
        <d v="2020-05-30T00:00:00Z"/>
        <d v="2020-08-31T00:00:00Z"/>
        <d v="2020-06-01T00:00:00Z"/>
        <d v="2020-08-02T00:00:00Z"/>
        <d v="2020-06-03T00:00:00Z"/>
        <d v="2020-06-26T00:00:00Z"/>
        <d v="2020-06-27T00:00:00Z"/>
        <d v="2020-06-29T00:00:00Z"/>
        <d v="2020-06-30T00:00:00Z"/>
        <d v="2020-10-01T00:00:00Z"/>
        <d v="2020-07-02T00:00:00Z"/>
        <d v="2020-07-03T00:00:00Z"/>
        <d v="2020-07-05T00:00:00Z"/>
        <d v="2020-07-06T00:00:00Z"/>
        <d v="2020-07-07T00:00:00Z"/>
        <d v="2020-07-08T00:00:00Z"/>
        <d v="2020-07-09T00:00:00Z"/>
        <d v="2020-07-10T00:00:00Z"/>
        <d v="2020-11-12T00:00:00Z"/>
        <d v="2020-07-14T00:00:00Z"/>
        <d v="2020-07-15T00:00:00Z"/>
        <d v="2020-07-16T00:00:00Z"/>
        <d v="2020-07-17T00:00:00Z"/>
        <d v="2020-12-18T00:00:00Z"/>
        <d v="2020-07-19T00:00:00Z"/>
        <d v="2020-10-20T00:00:00Z"/>
        <d v="2020-07-22T00:00:00Z"/>
        <d v="2020-07-23T00:00:00Z"/>
        <d v="2020-07-24T00:00:00Z"/>
        <d v="2020-09-08T00:00:00Z"/>
        <d v="2020-07-12T00:00:00Z"/>
        <d v="2020-11-17T00:00:00Z"/>
        <d v="2020-07-18T00:00:00Z"/>
        <d v="2020-07-20T00:00:00Z"/>
        <d v="2020-12-25T00:00:00Z"/>
        <d v="2020-07-26T00:00:00Z"/>
        <d v="2020-07-27T00:00:00Z"/>
        <d v="2020-10-29T00:00:00Z"/>
        <d v="2020-07-30T00:00:00Z"/>
        <d v="2020-07-31T00:00:00Z"/>
        <d v="2020-08-01T00:00:00Z"/>
        <d v="2020-08-03T00:00:00Z"/>
        <d v="2020-12-04T00:00:00Z"/>
        <d v="2020-08-05T00:00:00Z"/>
        <d v="2020-08-06T00:00:00Z"/>
        <d v="2020-08-07T00:00:00Z"/>
        <d v="2020-08-08T00:00:00Z"/>
        <d v="2020-08-09T00:00:00Z"/>
        <d v="2020-10-10T00:00:00Z"/>
        <d v="2020-08-11T00:00:00Z"/>
        <d v="2020-08-12T00:00:00Z"/>
        <d v="2020-08-13T00:00:00Z"/>
        <d v="2020-11-14T00:00:00Z"/>
        <d v="2020-08-15T00:00:00Z"/>
        <d v="2020-08-16T00:00:00Z"/>
        <d v="2020-08-17T00:00:00Z"/>
        <d v="2020-08-18T00:00:00Z"/>
        <d v="2020-08-19T00:00:00Z"/>
        <d v="2020-09-22T00:00:00Z"/>
        <d v="2020-08-23T00:00:00Z"/>
        <d v="2020-08-24T00:00:00Z"/>
        <d v="2020-11-27T00:00:00Z"/>
        <d v="2020-08-28T00:00:00Z"/>
        <d v="2020-08-29T00:00:00Z"/>
        <d v="2020-08-30T00:00:00Z"/>
        <d v="2020-12-01T00:00:00Z"/>
        <d v="2020-09-02T00:00:00Z"/>
        <d v="2020-09-03T00:00:00Z"/>
        <d v="2020-09-04T00:00:00Z"/>
        <d v="2020-09-05T00:00:00Z"/>
        <d v="2020-09-06T00:00:00Z"/>
        <d v="2020-09-30T00:00:00Z"/>
        <d v="2020-12-02T00:00:00Z"/>
        <d v="2020-10-03T00:00:00Z"/>
        <d v="2020-10-04T00:00:00Z"/>
        <d v="2020-10-05T00:00:00Z"/>
        <d v="2020-10-06T00:00:00Z"/>
        <d v="2020-10-07T00:00:00Z"/>
        <d v="2020-12-08T00:00:00Z"/>
        <d v="2020-10-11T00:00:00Z"/>
        <d v="2020-10-12T00:00:00Z"/>
        <d v="2020-10-13T00:00:00Z"/>
        <d v="2020-10-14T00:00:00Z"/>
        <d v="2020-10-15T00:00:00Z"/>
        <d v="2020-12-23T00:00:00Z"/>
        <d v="2020-09-24T00:00:00Z"/>
        <d v="2020-09-25T00:00:00Z"/>
        <d v="2020-09-26T00:00:00Z"/>
        <d v="2020-12-27T00:00:00Z"/>
        <d v="2020-09-28T00:00:00Z"/>
        <d v="2020-09-29T00:00:00Z"/>
        <d v="2020-11-30T00:00:00Z"/>
        <d v="2020-10-02T00:00:00Z"/>
        <d v="2020-12-15T00:00:00Z"/>
        <d v="2020-10-16T00:00:00Z"/>
        <d v="2020-10-17T00:00:00Z"/>
        <d v="2020-10-19T00:00:00Z"/>
        <d v="2020-12-20T00:00:00Z"/>
        <d v="2020-10-21T00:00:00Z"/>
        <d v="2020-10-22T00:00:00Z"/>
        <d v="2020-10-23T00:00:00Z"/>
        <d v="2020-07-01T00:00:00Z"/>
        <d v="2021-03-22T00:00:00Z"/>
        <d v="2021-03-23T00:00:00Z"/>
        <d v="2021-03-24T00:00:00Z"/>
        <d v="2021-03-26T00:00:00Z"/>
        <d v="2021-03-27T00:00:00Z"/>
        <d v="2021-03-28T00:00:00Z"/>
        <d v="2021-03-29T00:00:00Z"/>
        <d v="2021-03-30T00:00:00Z"/>
        <d v="2021-01-01T00:00:00Z"/>
        <d v="2021-01-02T00:00:00Z"/>
        <d v="2021-01-03T00:00:00Z"/>
        <d v="2021-01-04T00:00:00Z"/>
        <d v="2021-01-06T00:00:00Z"/>
        <d v="2021-01-07T00:00:00Z"/>
        <d v="2021-01-08T00:00:00Z"/>
        <d v="2021-01-09T00:00:00Z"/>
        <d v="2021-01-10T00:00:00Z"/>
        <d v="2021-01-13T00:00:00Z"/>
        <d v="2021-01-14T00:00:00Z"/>
        <d v="2021-01-16T00:00:00Z"/>
        <d v="2021-01-17T00:00:00Z"/>
        <d v="2021-01-18T00:00:00Z"/>
        <d v="2021-01-19T00:00:00Z"/>
        <d v="2021-01-20T00:00:00Z"/>
        <d v="2021-05-23T00:00:00Z"/>
        <d v="2021-05-22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3-03T00:00:00Z"/>
        <d v="2021-03-02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2-03-12T00:00:00Z"/>
        <d v="2022-03-05T00:00:00Z"/>
        <d v="2022-03-13T00:00:00Z"/>
        <d v="2022-03-14T00:00:00Z"/>
        <d v="2022-03-15T00:00:00Z"/>
        <d v="2022-03-16T00:00:00Z"/>
        <d v="2022-03-17T00:00:00Z"/>
        <d v="2022-05-18T00:00:00Z"/>
      </sharedItems>
    </cacheField>
    <cacheField name="End Date">
      <sharedItems containsDate="1" containsMixedTypes="1">
        <d v="2025-02-25T00:00:00Z"/>
        <d v="2025-05-26T00:00:00Z"/>
        <d v="2025-03-27T00:00:00Z"/>
        <d v="2025-07-28T00:00:00Z"/>
        <d v="2025-01-29T00:00:00Z"/>
        <d v="2025-02-23T00:00:00Z"/>
        <d v="2025-01-31T00:00:00Z"/>
        <d v="2025-02-01T00:00:00Z"/>
        <d v="2025-02-02T00:00:00Z"/>
        <d v="2025-02-03T00:00:00Z"/>
        <d v="2025-06-04T00:00:00Z"/>
        <d v="2025-02-05T00:00:00Z"/>
        <d v="2025-02-06T00:00:00Z"/>
        <d v="2025-02-07T00:00:00Z"/>
        <d v="2025-02-08T00:00:00Z"/>
        <d v="2025-10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5-21T00:00:00Z"/>
        <d v="2025-02-22T00:00:00Z"/>
        <d v="2025-02-26T00:00:00Z"/>
        <d v="2025-09-27T00:00:00Z"/>
        <d v="2025-02-28T00:00:00Z"/>
        <s v="2/29/2025"/>
        <d v="2025-03-01T00:00:00Z"/>
        <d v="2025-03-02T00:00:00Z"/>
        <d v="2025-03-03T00:00:00Z"/>
        <d v="2025-03-05T00:00:00Z"/>
        <d v="2025-03-06T00:00:00Z"/>
        <d v="2025-03-07T00:00:00Z"/>
        <d v="2025-03-08T00:00:00Z"/>
        <d v="2025-03-09T00:00:00Z"/>
        <d v="2025-03-10T00:00:00Z"/>
        <d v="2025-07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8-21T00:00:00Z"/>
        <d v="2025-03-22T00:00:00Z"/>
        <d v="2025-03-23T00:00:00Z"/>
        <d v="2025-03-24T00:00:00Z"/>
        <d v="2025-03-25T00:00:00Z"/>
        <d v="2025-03-26T00:00:00Z"/>
        <d v="2025-03-28T00:00:00Z"/>
        <d v="2025-03-29T00:00:00Z"/>
        <d v="2025-03-30T00:00:00Z"/>
        <d v="2025-03-31T00:00:00Z"/>
        <d v="2025-04-15T00:00:00Z"/>
        <d v="2025-04-16T00:00:00Z"/>
        <d v="2025-04-17T00:00:00Z"/>
        <d v="2025-04-18T00:00:00Z"/>
        <d v="2025-05-19T00:00:00Z"/>
        <d v="2025-08-20T00:00:00Z"/>
        <d v="2025-04-21T00:00:00Z"/>
        <d v="2025-04-08T00:00:00Z"/>
        <d v="2025-04-09T00:00:00Z"/>
        <d v="2025-04-10T00:00:00Z"/>
        <d v="2025-09-11T00:00:00Z"/>
        <d v="2025-04-12T00:00:00Z"/>
        <d v="2025-04-13T00:00:00Z"/>
        <d v="2025-04-14T00:00:00Z"/>
        <d v="2025-06-15T00:00:00Z"/>
        <d v="2025-04-19T00:00:00Z"/>
        <d v="2025-04-20T00:00:00Z"/>
        <d v="2025-07-21T00:00:00Z"/>
        <d v="2025-04-22T00:00:00Z"/>
        <d v="2025-04-23T00:00:00Z"/>
        <d v="2025-04-24T00:00:00Z"/>
        <d v="2025-10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7-04T00:00:00Z"/>
        <d v="2025-05-05T00:00:00Z"/>
        <d v="2020-05-06T00:00:00Z"/>
        <d v="2025-05-07T00:00:00Z"/>
        <d v="2025-10-08T00:00:00Z"/>
        <d v="2025-05-09T00:00:00Z"/>
        <d v="2025-08-10T00:00:00Z"/>
        <d v="2025-05-11T00:00:00Z"/>
        <d v="2025-05-12T00:00:00Z"/>
        <d v="2025-07-13T00:00:00Z"/>
        <d v="2025-05-14T00:00:00Z"/>
        <d v="2025-05-15T00:00:00Z"/>
        <d v="2025-05-16T00:00:00Z"/>
        <d v="2025-09-17T00:00:00Z"/>
        <d v="2025-05-18T00:00:00Z"/>
        <d v="2025-05-20T00:00:00Z"/>
        <d v="2025-12-22T00:00:00Z"/>
        <d v="2025-05-23T00:00:00Z"/>
        <d v="2025-05-24T00:00:00Z"/>
        <d v="2025-05-25T00:00:00Z"/>
        <d v="2025-08-26T00:00:00Z"/>
        <d v="2025-05-27T00:00:00Z"/>
        <d v="2025-06-28T00:00:00Z"/>
        <d v="2025-05-29T00:00:00Z"/>
        <d v="2025-05-30T00:00:00Z"/>
        <d v="2025-08-31T00:00:00Z"/>
        <d v="2025-06-01T00:00:00Z"/>
        <d v="2025-08-02T00:00:00Z"/>
        <d v="2025-06-03T00:00:00Z"/>
        <d v="2025-06-26T00:00:00Z"/>
        <d v="2025-06-27T00:00:00Z"/>
        <d v="2025-06-29T00:00:00Z"/>
        <d v="2025-06-30T00:00:00Z"/>
        <d v="2025-10-01T00:00:00Z"/>
        <d v="2025-07-02T00:00:00Z"/>
        <d v="2025-07-03T00:00:00Z"/>
        <d v="2025-07-05T00:00:00Z"/>
        <d v="2025-07-06T00:00:00Z"/>
        <d v="2025-07-07T00:00:00Z"/>
        <d v="2025-07-08T00:00:00Z"/>
        <d v="2025-07-09T00:00:00Z"/>
        <d v="2025-07-10T00:00:00Z"/>
        <d v="2025-11-12T00:00:00Z"/>
        <d v="2025-07-14T00:00:00Z"/>
        <d v="2025-07-15T00:00:00Z"/>
        <d v="2025-07-16T00:00:00Z"/>
        <d v="2025-07-17T00:00:00Z"/>
        <d v="2025-12-18T00:00:00Z"/>
        <d v="2025-07-19T00:00:00Z"/>
        <d v="2025-10-20T00:00:00Z"/>
        <d v="2025-07-22T00:00:00Z"/>
        <d v="2025-07-23T00:00:00Z"/>
        <d v="2025-07-24T00:00:00Z"/>
        <d v="2025-09-08T00:00:00Z"/>
        <d v="2025-07-12T00:00:00Z"/>
        <d v="2025-11-17T00:00:00Z"/>
        <d v="2025-07-18T00:00:00Z"/>
        <d v="2025-07-20T00:00:00Z"/>
        <d v="2025-12-25T00:00:00Z"/>
        <d v="2025-07-26T00:00:00Z"/>
        <d v="2025-07-27T00:00:00Z"/>
        <d v="2025-10-29T00:00:00Z"/>
        <d v="2025-07-30T00:00:00Z"/>
        <d v="2025-07-31T00:00:00Z"/>
        <d v="2025-08-01T00:00:00Z"/>
        <d v="2025-08-03T00:00:00Z"/>
        <d v="2025-12-04T00:00:00Z"/>
        <d v="2025-08-05T00:00:00Z"/>
        <d v="2025-08-06T00:00:00Z"/>
        <d v="2025-08-07T00:00:00Z"/>
        <d v="2025-08-08T00:00:00Z"/>
        <d v="2025-08-09T00:00:00Z"/>
        <d v="2025-10-10T00:00:00Z"/>
        <d v="2025-08-11T00:00:00Z"/>
        <d v="2025-08-12T00:00:00Z"/>
        <d v="2025-08-13T00:00:00Z"/>
        <d v="2025-11-14T00:00:00Z"/>
        <d v="2025-08-15T00:00:00Z"/>
        <d v="2025-08-16T00:00:00Z"/>
        <d v="2025-08-17T00:00:00Z"/>
        <d v="2025-08-18T00:00:00Z"/>
        <d v="2025-08-19T00:00:00Z"/>
        <d v="2025-09-22T00:00:00Z"/>
        <d v="2025-08-23T00:00:00Z"/>
        <d v="2025-08-24T00:00:00Z"/>
        <d v="2025-11-27T00:00:00Z"/>
        <d v="2025-08-28T00:00:00Z"/>
        <d v="2025-08-29T00:00:00Z"/>
        <d v="2025-08-30T00:00:00Z"/>
        <d v="2025-12-01T00:00:00Z"/>
        <d v="2025-09-02T00:00:00Z"/>
        <d v="2025-09-03T00:00:00Z"/>
        <d v="2025-09-04T00:00:00Z"/>
        <d v="2025-09-05T00:00:00Z"/>
        <d v="2025-09-06T00:00:00Z"/>
        <d v="2025-09-30T00:00:00Z"/>
        <d v="2025-12-02T00:00:00Z"/>
        <d v="2025-10-03T00:00:00Z"/>
        <d v="2025-10-04T00:00:00Z"/>
        <d v="2025-10-05T00:00:00Z"/>
        <d v="2025-10-06T00:00:00Z"/>
        <d v="2025-10-07T00:00:00Z"/>
        <d v="2025-12-08T00:00:00Z"/>
        <d v="2025-10-11T00:00:00Z"/>
        <d v="2025-10-12T00:00:00Z"/>
        <d v="2025-10-13T00:00:00Z"/>
        <d v="2025-10-14T00:00:00Z"/>
        <d v="2025-10-15T00:00:00Z"/>
        <d v="2025-12-23T00:00:00Z"/>
        <d v="2025-09-24T00:00:00Z"/>
        <d v="2025-09-25T00:00:00Z"/>
        <d v="2025-09-26T00:00:00Z"/>
        <d v="2025-12-27T00:00:00Z"/>
        <d v="2025-09-28T00:00:00Z"/>
        <d v="2025-09-29T00:00:00Z"/>
        <d v="2025-11-30T00:00:00Z"/>
        <d v="2025-10-02T00:00:00Z"/>
        <d v="2025-12-15T00:00:00Z"/>
        <d v="2025-10-16T00:00:00Z"/>
        <d v="2025-10-17T00:00:00Z"/>
        <d v="2025-10-19T00:00:00Z"/>
        <d v="2025-12-20T00:00:00Z"/>
        <d v="2025-10-21T00:00:00Z"/>
        <d v="2025-10-22T00:00:00Z"/>
        <d v="2025-10-23T00:00:00Z"/>
        <d v="2025-10-24T00:00:00Z"/>
        <d v="2026-03-25T00:00:00Z"/>
        <d v="2025-10-26T00:00:00Z"/>
        <d v="2025-10-27T00:00:00Z"/>
        <d v="2025-10-28T00:00:00Z"/>
        <d v="2026-02-20T00:00:00Z"/>
        <d v="2025-10-31T00:00:00Z"/>
        <d v="2025-11-01T00:00:00Z"/>
        <d v="2025-11-02T00:00:00Z"/>
        <d v="2025-11-03T00:00:00Z"/>
        <d v="2025-11-04T00:00:00Z"/>
        <d v="2025-11-05T00:00:00Z"/>
        <d v="2026-05-06T00:00:00Z"/>
        <d v="2025-11-07T00:00:00Z"/>
        <d v="2025-11-08T00:00:00Z"/>
        <d v="2025-11-09T00:00:00Z"/>
        <d v="2025-11-10T00:00:00Z"/>
        <d v="2025-11-11T00:00:00Z"/>
        <d v="2026-01-12T00:00:00Z"/>
        <d v="2025-11-13T00:00:00Z"/>
        <d v="2025-11-15T00:00:00Z"/>
        <d v="2025-11-16T00:00:00Z"/>
        <d v="2026-04-18T00:00:00Z"/>
        <d v="2025-11-19T00:00:00Z"/>
        <d v="2025-11-20T00:00:00Z"/>
        <d v="2025-11-21T00:00:00Z"/>
        <d v="2026-03-22T00:00:00Z"/>
        <d v="2026-03-23T00:00:00Z"/>
        <d v="2026-03-24T00:00:00Z"/>
        <d v="2026-03-26T00:00:00Z"/>
        <d v="2026-03-27T00:00:00Z"/>
        <d v="2026-03-28T00:00:00Z"/>
        <d v="2026-03-29T00:00:00Z"/>
        <d v="2026-03-30T00:00:00Z"/>
        <d v="2026-01-01T00:00:00Z"/>
        <d v="2026-01-02T00:00:00Z"/>
        <d v="2026-01-03T00:00:00Z"/>
        <d v="2026-01-04T00:00:00Z"/>
        <d v="2026-01-06T00:00:00Z"/>
        <d v="2026-01-07T00:00:00Z"/>
        <d v="2026-01-08T00:00:00Z"/>
        <d v="2026-01-09T00:00:00Z"/>
        <d v="2026-01-10T00:00:00Z"/>
        <d v="2026-01-13T00:00:00Z"/>
        <d v="2026-01-14T00:00:00Z"/>
        <d v="2026-01-16T00:00:00Z"/>
        <d v="2026-01-17T00:00:00Z"/>
        <d v="2026-01-18T00:00:00Z"/>
        <d v="2026-01-19T00:00:00Z"/>
        <d v="2026-01-20T00:00:00Z"/>
        <d v="2026-05-23T00:00:00Z"/>
        <d v="2026-05-22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3-03T00:00:00Z"/>
        <d v="2026-03-02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7-03-12T00:00:00Z"/>
        <d v="2027-03-05T00:00:00Z"/>
        <d v="2027-03-13T00:00:00Z"/>
        <d v="2027-03-14T00:00:00Z"/>
        <d v="2027-03-15T00:00:00Z"/>
        <d v="2027-03-16T00:00:00Z"/>
        <d v="2027-03-17T00:00:00Z"/>
        <d v="2027-05-18T00:00:00Z"/>
      </sharedItems>
    </cacheField>
    <cacheField name="Contract Period" numFmtId="0">
      <sharedItems containsSemiMixedTypes="0" containsString="0" containsNumber="1" containsInteger="1">
        <n v="60.0"/>
        <n v="15.0"/>
        <n v="40.0"/>
        <n v="44.0"/>
        <n v="37.0"/>
        <n v="42.0"/>
        <n v="31.0"/>
        <n v="43.0"/>
      </sharedItems>
    </cacheField>
    <cacheField name="Inclusive KM per Month" numFmtId="0">
      <sharedItems containsSemiMixedTypes="0" containsString="0" containsNumber="1" containsInteger="1">
        <n v="1500.0"/>
        <n v="2500.0"/>
        <n v="3000.0"/>
        <n v="2000.0"/>
        <n v="10000.0"/>
        <n v="3500.0"/>
        <n v="5000.0"/>
        <n v="2700.0"/>
        <n v="4000.0"/>
        <n v="4500.0"/>
        <n v="887.0"/>
        <n v="15000.0"/>
        <n v="10500.0"/>
        <n v="12500.0"/>
        <n v="7000.0"/>
        <n v="3667.0"/>
        <n v="14000.0"/>
        <n v="1750.0"/>
        <n v="2200.0"/>
        <n v="2300.0"/>
        <n v="5500.0"/>
        <n v="1400.0"/>
        <n v="197.0"/>
      </sharedItems>
    </cacheField>
    <cacheField name="Total Contract KM" numFmtId="0">
      <sharedItems containsSemiMixedTypes="0" containsString="0" containsNumber="1" containsInteger="1">
        <n v="90000.0"/>
        <n v="170148.0"/>
        <n v="151634.0"/>
        <n v="186410.0"/>
        <n v="150000.0"/>
        <n v="118430.0"/>
        <n v="127709.0"/>
        <n v="147009.0"/>
        <n v="67137.0"/>
        <n v="180000.0"/>
        <n v="155396.0"/>
        <n v="126813.0"/>
        <n v="220000.0"/>
        <n v="210000.0"/>
        <n v="169306.0"/>
        <n v="192500.0"/>
        <n v="120000.0"/>
        <n v="142725.0"/>
        <n v="72000.0"/>
        <n v="216000.0"/>
        <n v="126483.0"/>
        <n v="148988.0"/>
        <n v="176524.0"/>
        <n v="174655.0"/>
        <n v="173769.0"/>
        <n v="174140.0"/>
        <n v="150889.0"/>
        <n v="210877.0"/>
        <n v="217659.0"/>
        <n v="167602.0"/>
        <n v="215488.0"/>
        <n v="217000.0"/>
        <n v="217302.0"/>
        <n v="216569.0"/>
        <n v="122561.0"/>
        <n v="150170.0"/>
        <n v="220020.0"/>
        <n v="177693.0"/>
        <n v="209480.0"/>
        <n v="209697.0"/>
        <n v="217123.0"/>
        <n v="209164.0"/>
        <n v="99555.0"/>
        <n v="190622.0"/>
        <n v="162232.0"/>
        <n v="165313.0"/>
        <n v="176583.0"/>
        <n v="85831.0"/>
        <n v="176202.0"/>
        <n v="166951.0"/>
        <n v="84567.0"/>
        <n v="109941.0"/>
        <n v="90523.0"/>
        <n v="88266.0"/>
        <n v="85156.0"/>
        <n v="87962.0"/>
        <n v="105000.0"/>
        <n v="132000.0"/>
        <n v="138000.0"/>
        <n v="225000.0"/>
        <n v="132073.0"/>
        <n v="128448.0"/>
        <n v="40320.0"/>
        <n v="90974.0"/>
        <n v="116448.0"/>
        <n v="66260.0"/>
        <n v="47239.0"/>
        <n v="44209.0"/>
        <n v="47783.0"/>
        <n v="114669.0"/>
        <n v="35945.0"/>
        <n v="98888.0"/>
        <n v="32532.0"/>
        <n v="54829.0"/>
        <n v="114843.0"/>
        <n v="87084.0"/>
        <n v="112872.0"/>
        <n v="26631.0"/>
        <n v="117605.0"/>
        <n v="112771.0"/>
        <n v="107239.0"/>
        <n v="66639.0"/>
        <n v="74976.0"/>
        <n v="80973.0"/>
        <n v="46404.0"/>
        <n v="49731.0"/>
        <n v="96929.0"/>
        <n v="84000.0"/>
        <n v="68489.0"/>
        <n v="69689.0"/>
        <n v="78233.0"/>
        <n v="86053.0"/>
        <n v="73126.0"/>
        <n v="72819.0"/>
        <n v="71492.0"/>
        <n v="69754.0"/>
        <n v="70045.0"/>
        <n v="75343.0"/>
        <n v="67175.0"/>
        <n v="70928.0"/>
        <n v="122332.0"/>
        <n v="75836.0"/>
        <n v="71416.0"/>
        <n v="72430.0"/>
        <n v="80723.0"/>
        <n v="79374.0"/>
      </sharedItems>
    </cacheField>
    <cacheField name="Licence Expiry Date" numFmtId="14">
      <sharedItems containsSemiMixedTypes="0" containsDate="1" containsString="0">
        <d v="2026-02-28T00:00:00Z"/>
        <d v="2025-08-31T00:00:00Z"/>
        <d v="2025-09-30T00:00:00Z"/>
        <d v="2025-10-31T00:00:00Z"/>
        <d v="2026-06-30T00:00:00Z"/>
        <d v="2025-11-30T00:00:00Z"/>
        <d v="2025-12-31T00:00:00Z"/>
        <d v="2026-03-31T00:00:00Z"/>
        <d v="2026-01-31T00:00:00Z"/>
        <d v="2026-04-30T00:00:00Z"/>
        <d v="2026-05-31T00:00:00Z"/>
        <d v="2025-06-30T00:00:00Z"/>
        <d v="2026-07-31T00:00:00Z"/>
        <d v="2026-08-31T00:00:00Z"/>
        <d v="2025-07-31T00:00:00Z"/>
      </sharedItems>
    </cacheField>
    <cacheField name="Odo Start" numFmtId="0">
      <sharedItems containsSemiMixedTypes="0" containsString="0" containsNumber="1" containsInteger="1">
        <n v="32857.0"/>
        <n v="169892.0"/>
        <n v="149951.0"/>
        <n v="176763.0"/>
        <n v="102507.0"/>
        <n v="116462.0"/>
        <n v="148313.0"/>
        <n v="125911.0"/>
        <n v="145157.0"/>
        <n v="30090.0"/>
        <n v="34652.0"/>
        <n v="27414.0"/>
        <n v="31771.0"/>
        <n v="73938.0"/>
        <n v="64405.0"/>
        <n v="45843.0"/>
        <n v="86625.0"/>
        <n v="19983.0"/>
        <n v="31353.0"/>
        <n v="30867.0"/>
        <n v="80118.0"/>
        <n v="37857.0"/>
        <n v="38054.0"/>
        <n v="51715.0"/>
        <n v="76937.0"/>
        <n v="46862.0"/>
        <n v="43046.0"/>
        <n v="9501.0"/>
        <n v="29610.0"/>
        <n v="11252.0"/>
        <n v="39839.0"/>
        <n v="38544.0"/>
        <n v="28835.0"/>
        <n v="15238.0"/>
        <n v="14667.0"/>
        <n v="76515.0"/>
        <n v="16686.0"/>
        <n v="20204.0"/>
        <n v="35369.0"/>
        <n v="35290.0"/>
        <n v="38476.0"/>
        <n v="36026.0"/>
        <n v="32786.0"/>
        <n v="43314.0"/>
        <n v="44532.0"/>
        <n v="25619.0"/>
        <n v="30365.0"/>
        <n v="72486.0"/>
        <n v="40212.0"/>
        <n v="36578.0"/>
        <n v="10616.0"/>
        <n v="91600.0"/>
        <n v="148850.0"/>
        <n v="9402.0"/>
        <n v="4509.0"/>
        <n v="46614.0"/>
        <n v="37225.0"/>
        <n v="38289.0"/>
        <n v="37287.0"/>
        <n v="35436.0"/>
        <n v="37515.0"/>
        <n v="34386.0"/>
        <n v="36243.0"/>
        <n v="38683.0"/>
        <n v="31084.0"/>
        <n v="7368.0"/>
        <n v="16273.0"/>
        <n v="124640.0"/>
        <n v="56920.0"/>
        <n v="39290.0"/>
        <n v="27607.0"/>
        <n v="26185.0"/>
        <n v="90916.0"/>
        <n v="34567.0"/>
        <n v="54310.0"/>
        <n v="116275.0"/>
        <n v="117627.0"/>
        <n v="109846.0"/>
        <n v="138232.0"/>
        <n v="30385.0"/>
        <n v="33666.0"/>
        <n v="43820.0"/>
        <n v="136889.0"/>
        <n v="32574.0"/>
        <n v="28400.0"/>
        <n v="134760.0"/>
        <n v="16998.0"/>
        <n v="28432.0"/>
        <n v="21992.0"/>
        <n v="28600.0"/>
        <n v="16380.0"/>
        <n v="64047.0"/>
        <n v="32553.0"/>
        <n v="40987.0"/>
        <n v="37119.0"/>
        <n v="37098.0"/>
        <n v="32245.0"/>
        <n v="7661.0"/>
        <n v="19195.0"/>
        <n v="16560.0"/>
        <n v="27101.0"/>
        <n v="28171.0"/>
        <n v="10007.0"/>
        <n v="16654.0"/>
        <n v="38804.0"/>
        <n v="39509.0"/>
        <n v="23118.0"/>
        <n v="27137.0"/>
        <n v="23921.0"/>
        <n v="63362.0"/>
        <n v="26392.0"/>
        <n v="30995.0"/>
        <n v="26563.0"/>
        <n v="34829.0"/>
        <n v="21185.0"/>
        <n v="15943.0"/>
        <n v="41653.0"/>
        <n v="30230.0"/>
        <n v="17691.0"/>
        <n v="24674.0"/>
        <n v="22409.0"/>
        <n v="28953.0"/>
        <n v="25734.0"/>
        <n v="22661.0"/>
        <n v="24504.0"/>
        <n v="23855.0"/>
        <n v="28888.0"/>
        <n v="25795.0"/>
        <n v="21952.0"/>
        <n v="29824.0"/>
        <n v="27487.0"/>
        <n v="17931.0"/>
        <n v="29291.0"/>
        <n v="21281.0"/>
        <n v="27625.0"/>
        <n v="30689.0"/>
        <n v="30981.0"/>
        <n v="22356.0"/>
        <n v="14845.0"/>
        <n v="26052.0"/>
        <n v="29431.0"/>
        <n v="28089.0"/>
        <n v="30376.0"/>
        <n v="25940.0"/>
        <n v="27081.0"/>
        <n v="33332.0"/>
        <n v="29347.0"/>
        <n v="21579.0"/>
        <n v="29053.0"/>
        <n v="18602.0"/>
        <n v="20212.0"/>
        <n v="22301.0"/>
        <n v="32334.0"/>
        <n v="21735.0"/>
        <n v="27500.0"/>
        <n v="27765.0"/>
        <n v="28230.0"/>
        <n v="15098.0"/>
        <n v="37895.0"/>
        <n v="28020.0"/>
        <n v="30517.0"/>
        <n v="13991.0"/>
        <n v="18496.0"/>
        <n v="127295.0"/>
        <n v="28395.0"/>
        <n v="104776.0"/>
        <n v="10714.0"/>
        <n v="67586.0"/>
        <n v="120113.0"/>
        <n v="102052.0"/>
        <n v="106274.0"/>
        <n v="107021.0"/>
        <n v="19771.0"/>
        <n v="72299.0"/>
        <n v="54221.0"/>
        <n v="128417.0"/>
        <n v="113060.0"/>
        <n v="22227.0"/>
        <n v="69642.0"/>
        <n v="16361.0"/>
        <n v="11101.0"/>
        <n v="7210.0"/>
        <n v="69215.0"/>
        <n v="45937.0"/>
        <n v="43277.0"/>
        <n v="55370.0"/>
        <n v="46907.0"/>
        <n v="22050.0"/>
        <n v="81510.0"/>
        <n v="24375.0"/>
        <n v="117790.0"/>
        <n v="35372.0"/>
        <n v="69965.0"/>
        <n v="20823.0"/>
        <n v="37273.0"/>
        <n v="139264.0"/>
        <n v="179232.0"/>
        <n v="26182.0"/>
        <n v="36245.0"/>
        <n v="28793.0"/>
        <n v="31938.0"/>
        <n v="33657.0"/>
        <n v="37144.0"/>
        <n v="9721.0"/>
        <n v="31972.0"/>
        <n v="32380.0"/>
        <n v="24670.0"/>
        <n v="25865.0"/>
        <n v="23452.0"/>
        <n v="22760.0"/>
        <n v="17689.0"/>
        <n v="11752.0"/>
        <n v="24429.0"/>
        <n v="42811.0"/>
        <n v="68295.0"/>
        <n v="79160.0"/>
        <n v="112021.0"/>
        <n v="94987.0"/>
        <n v="105431.0"/>
        <n v="90218.0"/>
        <n v="11345.0"/>
        <n v="12654.0"/>
        <n v="16868.0"/>
        <n v="13663.0"/>
        <n v="16195.0"/>
        <n v="19050.0"/>
        <n v="16679.0"/>
        <n v="13573.0"/>
        <n v="21512.0"/>
        <n v="18401.0"/>
        <n v="13195.0"/>
        <n v="12041.0"/>
        <n v="20971.0"/>
        <n v="9049.0"/>
        <n v="19947.0"/>
        <n v="7738.0"/>
        <n v="23047.0"/>
        <n v="21860.0"/>
        <n v="24636.0"/>
        <n v="11599.0"/>
        <n v="13936.0"/>
        <n v="21504.0"/>
        <n v="20870.0"/>
        <n v="13035.0"/>
        <n v="13455.0"/>
        <n v="18969.0"/>
        <n v="15288.0"/>
        <n v="16911.0"/>
        <n v="21532.0"/>
        <n v="15924.0"/>
        <n v="28574.0"/>
        <n v="4902.0"/>
        <n v="5685.0"/>
        <n v="23849.0"/>
        <n v="32314.0"/>
        <n v="18566.0"/>
        <n v="18290.0"/>
        <n v="21208.0"/>
        <n v="9381.0"/>
        <n v="19678.0"/>
        <n v="30419.0"/>
        <n v="45369.0"/>
        <n v="30542.0"/>
        <n v="96464.0"/>
        <n v="119081.0"/>
        <n v="36153.0"/>
        <n v="99418.0"/>
        <n v="109911.0"/>
        <n v="60069.0"/>
        <n v="61694.0"/>
        <n v="43062.0"/>
        <n v="39701.0"/>
        <n v="43217.0"/>
        <n v="108084.0"/>
        <n v="31789.0"/>
        <n v="94315.0"/>
        <n v="27905.0"/>
        <n v="19883.0"/>
        <n v="28372.0"/>
        <n v="50668.0"/>
        <n v="101154.0"/>
        <n v="97127.0"/>
        <n v="108260.0"/>
        <n v="82904.0"/>
        <n v="106286.0"/>
        <n v="21064.0"/>
        <n v="111016.0"/>
        <n v="106217.0"/>
        <n v="100653.0"/>
        <n v="62074.0"/>
        <n v="70445.0"/>
        <n v="46767.0"/>
        <n v="76396.0"/>
        <n v="56382.0"/>
        <n v="38146.0"/>
        <n v="47845.0"/>
        <n v="45560.0"/>
        <n v="51365.0"/>
        <n v="89954.0"/>
        <n v="60867.0"/>
        <n v="51822.0"/>
        <n v="71986.0"/>
        <n v="89005.0"/>
        <n v="26729.0"/>
        <n v="11536.0"/>
        <n v="109029.0"/>
        <n v="117032.0"/>
        <n v="132468.0"/>
        <n v="87562.0"/>
        <n v="65250.0"/>
        <n v="84492.0"/>
        <n v="60910.0"/>
        <n v="101960.0"/>
        <n v="42524.0"/>
        <n v="53309.0"/>
        <n v="47928.0"/>
        <n v="62959.0"/>
        <n v="49179.0"/>
        <n v="62269.0"/>
        <n v="56511.0"/>
        <n v="46435.0"/>
        <n v="24922.0"/>
        <n v="57150.0"/>
        <n v="61049.0"/>
        <n v="58518.0"/>
        <n v="32234.0"/>
        <n v="91807.0"/>
        <n v="46730.0"/>
        <n v="122921.0"/>
        <n v="19538.0"/>
        <n v="43436.0"/>
        <n v="15265.0"/>
        <n v="20085.0"/>
        <n v="20242.0"/>
        <n v="66334.0"/>
        <n v="34665.0"/>
        <n v="51623.0"/>
        <n v="110981.0"/>
        <n v="60995.0"/>
        <n v="52951.0"/>
        <n v="122181.0"/>
        <n v="77558.0"/>
        <n v="72810.0"/>
        <n v="30237.0"/>
        <n v="46437.0"/>
        <n v="26540.0"/>
        <n v="83472.0"/>
        <n v="96329.0"/>
        <n v="107623.0"/>
        <n v="35300.0"/>
        <n v="163774.0"/>
        <n v="118632.0"/>
        <n v="43817.0"/>
        <n v="18152.0"/>
        <n v="68469.0"/>
        <n v="47638.0"/>
        <n v="75859.0"/>
      </sharedItems>
    </cacheField>
    <cacheField name="Odo End" numFmtId="0">
      <sharedItems containsSemiMixedTypes="0" containsString="0" containsNumber="1" containsInteger="1">
        <n v="33259.0"/>
        <n v="170185.0"/>
        <n v="151945.0"/>
        <n v="186447.0"/>
        <n v="102509.0"/>
        <n v="118471.0"/>
        <n v="149193.0"/>
        <n v="127816.0"/>
        <n v="147233.0"/>
        <n v="30478.0"/>
        <n v="37767.0"/>
        <n v="29399.0"/>
        <n v="32013.0"/>
        <n v="77624.0"/>
        <n v="73858.0"/>
        <n v="47715.0"/>
        <n v="87826.0"/>
        <n v="21248.0"/>
        <n v="35603.0"/>
        <n v="33199.0"/>
        <n v="85107.0"/>
        <n v="40158.0"/>
        <n v="42219.0"/>
        <n v="56246.0"/>
        <n v="85727.0"/>
        <n v="50214.0"/>
        <n v="43654.0"/>
        <n v="9516.0"/>
        <n v="31524.0"/>
        <n v="12188.0"/>
        <n v="41132.0"/>
        <n v="40742.0"/>
        <n v="32286.0"/>
        <n v="15360.0"/>
        <n v="17658.0"/>
        <n v="81977.0"/>
        <n v="20306.0"/>
        <n v="25962.0"/>
        <n v="38544.0"/>
        <n v="37650.0"/>
        <n v="40433.0"/>
        <n v="38454.0"/>
        <n v="33024.0"/>
        <n v="44591.0"/>
        <n v="46881.0"/>
        <n v="27788.0"/>
        <n v="33508.0"/>
        <n v="78788.0"/>
        <n v="46038.0"/>
        <n v="39676.0"/>
        <n v="11555.0"/>
        <n v="92757.0"/>
        <n v="149451.0"/>
        <n v="9551.0"/>
        <n v="4672.0"/>
        <n v="50721.0"/>
        <n v="39196.0"/>
        <n v="39451.0"/>
        <n v="39896.0"/>
        <n v="38115.0"/>
        <n v="39767.0"/>
        <n v="36725.0"/>
        <n v="38289.0"/>
        <n v="38683.0"/>
        <n v="30512.0"/>
        <n v="7819.0"/>
        <n v="18069.0"/>
        <n v="136930.0"/>
        <n v="63025.0"/>
        <n v="42114.0"/>
        <n v="28500.0"/>
        <n v="28080.0"/>
        <n v="96084.0"/>
        <n v="40502.0"/>
        <n v="54310.0"/>
        <n v="124152.0"/>
        <n v="128990.0"/>
        <n v="120874.0"/>
        <n v="141416.0"/>
        <n v="37697.0"/>
        <n v="46305.0"/>
        <n v="137115.0"/>
        <n v="35507.0"/>
        <n v="31217.0"/>
        <n v="143799.0"/>
        <n v="18769.0"/>
        <n v="33263.0"/>
        <n v="26285.0"/>
        <n v="29548.0"/>
        <n v="18280.0"/>
        <n v="70176.0"/>
        <n v="36806.0"/>
        <n v="44622.0"/>
        <n v="38551.0"/>
        <n v="40376.0"/>
        <n v="32883.0"/>
        <n v="8340.0"/>
        <n v="21237.0"/>
        <n v="19463.0"/>
        <n v="30377.0"/>
        <n v="31579.0"/>
        <n v="10668.0"/>
        <n v="20249.0"/>
        <n v="40191.0"/>
        <n v="43116.0"/>
        <n v="23482.0"/>
        <n v="30118.0"/>
        <n v="26642.0"/>
        <n v="70713.0"/>
        <n v="30389.0"/>
        <n v="32934.0"/>
        <n v="30045.0"/>
        <n v="37606.0"/>
        <n v="24129.0"/>
        <n v="17638.0"/>
        <n v="47204.0"/>
        <n v="30565.0"/>
        <n v="23085.0"/>
        <n v="29124.0"/>
        <n v="25784.0"/>
        <n v="28953.0"/>
        <n v="28412.0"/>
        <n v="25726.0"/>
        <n v="28645.0"/>
        <n v="32136.0"/>
        <n v="26482.0"/>
        <n v="29942.0"/>
        <n v="28576.0"/>
        <n v="24267.0"/>
        <n v="31016.0"/>
        <n v="31543.0"/>
        <n v="22188.0"/>
        <n v="32345.0"/>
        <n v="23475.0"/>
        <n v="31323.0"/>
        <n v="34426.0"/>
        <n v="32403.0"/>
        <n v="24633.0"/>
        <n v="18346.0"/>
        <n v="29130.0"/>
        <n v="31112.0"/>
        <n v="30832.0"/>
        <n v="33193.0"/>
        <n v="28314.0"/>
        <n v="29785.0"/>
        <n v="34744.0"/>
        <n v="32543.0"/>
        <n v="24675.0"/>
        <n v="33497.0"/>
        <n v="22872.0"/>
        <n v="22651.0"/>
        <n v="23711.0"/>
        <n v="37083.0"/>
        <n v="25979.0"/>
        <n v="31127.0"/>
        <n v="30676.0"/>
        <n v="30876.0"/>
        <n v="17176.0"/>
        <n v="42669.0"/>
        <n v="33332.0"/>
        <n v="16218.0"/>
        <n v="21909.0"/>
        <n v="140284.0"/>
        <n v="30705.0"/>
        <n v="115403.0"/>
        <n v="11450.0"/>
        <n v="70953.0"/>
        <n v="121020.0"/>
        <n v="103805.0"/>
        <n v="107595.0"/>
        <n v="107808.0"/>
        <n v="20547.0"/>
        <n v="73532.0"/>
        <n v="56009.0"/>
        <n v="132370.0"/>
        <n v="116231.0"/>
        <n v="23427.0"/>
        <n v="73184.0"/>
        <n v="20647.0"/>
        <n v="13054.0"/>
        <n v="9717.0"/>
        <n v="71297.0"/>
        <n v="48403.0"/>
        <n v="43791.0"/>
        <n v="56834.0"/>
        <n v="47115.0"/>
        <n v="22985.0"/>
        <n v="83081.0"/>
        <n v="25482.0"/>
        <n v="120892.0"/>
        <n v="36690.0"/>
        <n v="72026.0"/>
        <n v="21052.0"/>
        <n v="38211.0"/>
        <n v="139966.0"/>
        <n v="184838.0"/>
        <n v="29142.0"/>
        <n v="40155.0"/>
        <n v="31788.0"/>
        <n v="35436.0"/>
        <n v="39570.0"/>
        <n v="42095.0"/>
        <n v="10905.0"/>
        <n v="36525.0"/>
        <n v="35377.0"/>
        <n v="28452.0"/>
        <n v="26839.0"/>
        <n v="25899.0"/>
        <n v="26099.0"/>
        <n v="18829.0"/>
        <n v="13733.0"/>
        <n v="25701.0"/>
        <n v="45480.0"/>
        <n v="74876.0"/>
        <n v="89619.0"/>
        <n v="122579.0"/>
        <n v="104715.0"/>
        <n v="109522.0"/>
        <n v="95450.0"/>
        <n v="12701.0"/>
        <n v="14759.0"/>
        <n v="19268.0"/>
        <n v="16123.0"/>
        <n v="18134.0"/>
        <n v="21978.0"/>
        <n v="18772.0"/>
        <n v="16919.0"/>
        <n v="24138.0"/>
        <n v="21117.0"/>
        <n v="15900.0"/>
        <n v="13512.0"/>
        <n v="22355.0"/>
        <n v="12443.0"/>
        <n v="21888.0"/>
        <n v="8031.0"/>
        <n v="28726.0"/>
        <n v="22789.0"/>
        <n v="27183.0"/>
        <n v="12627.0"/>
        <n v="14473.0"/>
        <n v="27967.0"/>
        <n v="24467.0"/>
        <n v="16583.0"/>
        <n v="15215.0"/>
        <n v="23832.0"/>
        <n v="17018.0"/>
        <n v="16911.0"/>
        <n v="24327.0"/>
        <n v="18611.0"/>
        <n v="34844.0"/>
        <n v="5895.0"/>
        <n v="6896.0"/>
        <n v="32115.0"/>
        <n v="36498.0"/>
        <n v="21415.0"/>
        <n v="23103.0"/>
        <n v="27770.0"/>
        <n v="10788.0"/>
        <n v="21851.0"/>
        <n v="32167.0"/>
        <n v="47254.0"/>
        <n v="30580.0"/>
        <n v="97672.0"/>
        <n v="121517.0"/>
        <n v="36866.0"/>
        <n v="99670.0"/>
        <n v="111974.0"/>
        <n v="61110.0"/>
        <n v="62713.0"/>
        <n v="44116.0"/>
        <n v="40633.0"/>
        <n v="44266.0"/>
        <n v="110023.0"/>
        <n v="32362.0"/>
        <n v="96607.0"/>
        <n v="28365.0"/>
        <n v="20341.0"/>
        <n v="29950.0"/>
        <n v="51206.0"/>
        <n v="102993.0"/>
        <n v="101868.0"/>
        <n v="108260.0"/>
        <n v="87500.0"/>
        <n v="107785.0"/>
        <n v="21493.0"/>
        <n v="111749.0"/>
        <n v="107933.0"/>
        <n v="103747.0"/>
        <n v="62074.0"/>
        <n v="71800.0"/>
        <n v="47502.0"/>
        <n v="76396.0"/>
        <n v="56875.0"/>
        <n v="38332.0"/>
        <n v="47853.0"/>
        <n v="46178.0"/>
        <n v="52818.0"/>
        <n v="89954.0"/>
        <n v="61365.0"/>
        <n v="52757.0"/>
        <n v="72586.0"/>
        <n v="90002.0"/>
        <n v="27051.0"/>
        <n v="11994.0"/>
        <n v="111653.0"/>
        <n v="121357.0"/>
        <n v="137765.0"/>
        <n v="88004.0"/>
        <n v="66098.0"/>
        <n v="87516.0"/>
        <n v="62151.0"/>
        <n v="105781.0"/>
        <n v="43001.0"/>
        <n v="54403.0"/>
        <n v="48304.0"/>
        <n v="64188.0"/>
        <n v="50801.0"/>
        <n v="62926.0"/>
        <n v="58586.0"/>
        <n v="49148.0"/>
        <n v="26807.0"/>
        <n v="59435.0"/>
        <n v="62330.0"/>
        <n v="58656.0"/>
        <n v="32516.0"/>
        <n v="93080.0"/>
        <n v="47063.0"/>
        <n v="124632.0"/>
        <n v="21004.0"/>
        <n v="43835.0"/>
        <n v="16838.0"/>
        <n v="21808.0"/>
        <n v="20754.0"/>
        <n v="67920.0"/>
        <n v="35347.0"/>
        <n v="54740.0"/>
        <n v="114047.0"/>
        <n v="62415.0"/>
        <n v="54842.0"/>
        <n v="124414.0"/>
        <n v="78766.0"/>
        <n v="76765.0"/>
        <n v="31063.0"/>
        <n v="51749.0"/>
        <n v="34554.0"/>
        <n v="85407.0"/>
        <n v="99655.0"/>
        <n v="109674.0"/>
        <n v="35968.0"/>
        <n v="167161.0"/>
        <n v="121160.0"/>
        <n v="45345.0"/>
        <n v="18979.0"/>
        <n v="69896.0"/>
        <n v="48460.0"/>
        <n v="77786.0"/>
      </sharedItems>
    </cacheField>
    <cacheField name="KM Travelled" numFmtId="0">
      <sharedItems containsSemiMixedTypes="0" containsString="0" containsNumber="1" containsInteger="1">
        <n v="402.0"/>
        <n v="293.0"/>
        <n v="1994.0"/>
        <n v="9684.0"/>
        <n v="2.0"/>
        <n v="2009.0"/>
        <n v="880.0"/>
        <n v="1905.0"/>
        <n v="2076.0"/>
        <n v="388.0"/>
        <n v="3115.0"/>
        <n v="1985.0"/>
        <n v="242.0"/>
        <n v="3686.0"/>
        <n v="9453.0"/>
        <n v="1872.0"/>
        <n v="1201.0"/>
        <n v="1265.0"/>
        <n v="4250.0"/>
        <n v="2332.0"/>
        <n v="4989.0"/>
        <n v="2301.0"/>
        <n v="4165.0"/>
        <n v="4531.0"/>
        <n v="8790.0"/>
        <n v="3352.0"/>
        <n v="608.0"/>
        <n v="15.0"/>
        <n v="1914.0"/>
        <n v="936.0"/>
        <n v="1293.0"/>
        <n v="2198.0"/>
        <n v="3451.0"/>
        <n v="122.0"/>
        <n v="2991.0"/>
        <n v="5462.0"/>
        <n v="3620.0"/>
        <n v="5758.0"/>
        <n v="3175.0"/>
        <n v="2360.0"/>
        <n v="1957.0"/>
        <n v="2428.0"/>
        <n v="238.0"/>
        <n v="1277.0"/>
        <n v="2349.0"/>
        <n v="2169.0"/>
        <n v="3143.0"/>
        <n v="6302.0"/>
        <n v="5826.0"/>
        <n v="3098.0"/>
        <n v="939.0"/>
        <n v="1157.0"/>
        <n v="601.0"/>
        <n v="149.0"/>
        <n v="163.0"/>
        <n v="4107.0"/>
        <n v="1971.0"/>
        <n v="1162.0"/>
        <n v="2609.0"/>
        <n v="2679.0"/>
        <n v="2252.0"/>
        <n v="2339.0"/>
        <n v="2046.0"/>
        <n v="1.0"/>
        <n v="-572.0"/>
        <n v="451.0"/>
        <n v="1796.0"/>
        <n v="12290.0"/>
        <n v="6105.0"/>
        <n v="2824.0"/>
        <n v="893.0"/>
        <n v="1895.0"/>
        <n v="5168.0"/>
        <n v="5935.0"/>
        <n v="7877.0"/>
        <n v="11363.0"/>
        <n v="11028.0"/>
        <n v="3184.0"/>
        <n v="2814.0"/>
        <n v="4031.0"/>
        <n v="2485.0"/>
        <n v="226.0"/>
        <n v="2933.0"/>
        <n v="2817.0"/>
        <n v="9039.0"/>
        <n v="1771.0"/>
        <n v="4831.0"/>
        <n v="4293.0"/>
        <n v="948.0"/>
        <n v="1900.0"/>
        <n v="6129.0"/>
        <n v="4253.0"/>
        <n v="3635.0"/>
        <n v="1432.0"/>
        <n v="3278.0"/>
        <n v="638.0"/>
        <n v="679.0"/>
        <n v="2042.0"/>
        <n v="2903.0"/>
        <n v="3276.0"/>
        <n v="3408.0"/>
        <n v="661.0"/>
        <n v="3595.0"/>
        <n v="1387.0"/>
        <n v="3607.0"/>
        <n v="364.0"/>
        <n v="2981.0"/>
        <n v="2721.0"/>
        <n v="7351.0"/>
        <n v="3997.0"/>
        <n v="1939.0"/>
        <n v="3482.0"/>
        <n v="2777.0"/>
        <n v="2944.0"/>
        <n v="1695.0"/>
        <n v="5551.0"/>
        <n v="335.0"/>
        <n v="5394.0"/>
        <n v="4450.0"/>
        <n v="3375.0"/>
        <n v="2678.0"/>
        <n v="3065.0"/>
        <n v="4141.0"/>
        <n v="3704.0"/>
        <n v="2627.0"/>
        <n v="1054.0"/>
        <n v="2781.0"/>
        <n v="2315.0"/>
        <n v="1192.0"/>
        <n v="4056.0"/>
        <n v="4257.0"/>
        <n v="3054.0"/>
        <n v="2194.0"/>
        <n v="3698.0"/>
        <n v="3737.0"/>
        <n v="1422.0"/>
        <n v="2277.0"/>
        <n v="3501.0"/>
        <n v="3078.0"/>
        <n v="1681.0"/>
        <n v="2743.0"/>
        <n v="2374.0"/>
        <n v="2704.0"/>
        <n v="1412.0"/>
        <n v="3196.0"/>
        <n v="3096.0"/>
        <n v="4444.0"/>
        <n v="4270.0"/>
        <n v="2439.0"/>
        <n v="1410.0"/>
        <n v="4749.0"/>
        <n v="4244.0"/>
        <n v="3627.0"/>
        <n v="2911.0"/>
        <n v="2646.0"/>
        <n v="2078.0"/>
        <n v="4774.0"/>
        <n v="14649.0"/>
        <n v="2815.0"/>
        <n v="2227.0"/>
        <n v="3413.0"/>
        <n v="12989.0"/>
        <n v="2310.0"/>
        <n v="10627.0"/>
        <n v="736.0"/>
        <n v="3367.0"/>
        <n v="907.0"/>
        <n v="1753.0"/>
        <n v="1321.0"/>
        <n v="787.0"/>
        <n v="776.0"/>
        <n v="1233.0"/>
        <n v="1788.0"/>
        <n v="3953.0"/>
        <n v="3171.0"/>
        <n v="1200.0"/>
        <n v="3542.0"/>
        <n v="4286.0"/>
        <n v="1953.0"/>
        <n v="2507.0"/>
        <n v="2082.0"/>
        <n v="2466.0"/>
        <n v="514.0"/>
        <n v="1464.0"/>
        <n v="208.0"/>
        <n v="935.0"/>
        <n v="1571.0"/>
        <n v="1107.0"/>
        <n v="3102.0"/>
        <n v="1318.0"/>
        <n v="2061.0"/>
        <n v="229.0"/>
        <n v="938.0"/>
        <n v="702.0"/>
        <n v="5606.0"/>
        <n v="2960.0"/>
        <n v="3910.0"/>
        <n v="2995.0"/>
        <n v="3498.0"/>
        <n v="5913.0"/>
        <n v="4951.0"/>
        <n v="1184.0"/>
        <n v="4553.0"/>
        <n v="2997.0"/>
        <n v="3782.0"/>
        <n v="974.0"/>
        <n v="2447.0"/>
        <n v="3339.0"/>
        <n v="1140.0"/>
        <n v="1981.0"/>
        <n v="1272.0"/>
        <n v="2669.0"/>
        <n v="6581.0"/>
        <n v="10459.0"/>
        <n v="10558.0"/>
        <n v="9728.0"/>
        <n v="4091.0"/>
        <n v="5232.0"/>
        <n v="1356.0"/>
        <n v="2105.0"/>
        <n v="2400.0"/>
        <n v="2460.0"/>
        <n v="2928.0"/>
        <n v="2093.0"/>
        <n v="3346.0"/>
        <n v="2626.0"/>
        <n v="2716.0"/>
        <n v="2705.0"/>
        <n v="1471.0"/>
        <n v="1384.0"/>
        <n v="3394.0"/>
        <n v="1941.0"/>
        <n v="5679.0"/>
        <n v="929.0"/>
        <n v="2547.0"/>
        <n v="1028.0"/>
        <n v="537.0"/>
        <n v="6463.0"/>
        <n v="3597.0"/>
        <n v="3548.0"/>
        <n v="1760.0"/>
        <n v="4863.0"/>
        <n v="1730.0"/>
        <n v="2795.0"/>
        <n v="2687.0"/>
        <n v="6270.0"/>
        <n v="993.0"/>
        <n v="1211.0"/>
        <n v="8266.0"/>
        <n v="4184.0"/>
        <n v="2849.0"/>
        <n v="4813.0"/>
        <n v="6562.0"/>
        <n v="1407.0"/>
        <n v="2173.0"/>
        <n v="1748.0"/>
        <n v="1885.0"/>
        <n v="38.0"/>
        <n v="1208.0"/>
        <n v="2436.0"/>
        <n v="713.0"/>
        <n v="252.0"/>
        <n v="2063.0"/>
        <n v="1041.0"/>
        <n v="1019.0"/>
        <n v="932.0"/>
        <n v="1049.0"/>
        <n v="573.0"/>
        <n v="2292.0"/>
        <n v="460.0"/>
        <n v="458.0"/>
        <n v="1578.0"/>
        <n v="538.0"/>
        <n v="1839.0"/>
        <n v="4741.0"/>
        <n v="4596.0"/>
        <n v="1499.0"/>
        <n v="429.0"/>
        <n v="733.0"/>
        <n v="1716.0"/>
        <n v="3094.0"/>
        <n v="1355.0"/>
        <n v="735.0"/>
        <n v="493.0"/>
        <n v="186.0"/>
        <n v="8.0"/>
        <n v="618.0"/>
        <n v="1453.0"/>
        <n v="498.0"/>
        <n v="600.0"/>
        <n v="997.0"/>
        <n v="322.0"/>
        <n v="2624.0"/>
        <n v="4325.0"/>
        <n v="5297.0"/>
        <n v="442.0"/>
        <n v="848.0"/>
        <n v="3024.0"/>
        <n v="1241.0"/>
        <n v="3821.0"/>
        <n v="477.0"/>
        <n v="1094.0"/>
        <n v="376.0"/>
        <n v="1229.0"/>
        <n v="1622.0"/>
        <n v="657.0"/>
        <n v="2075.0"/>
        <n v="2713.0"/>
        <n v="2285.0"/>
        <n v="1281.0"/>
        <n v="138.0"/>
        <n v="282.0"/>
        <n v="1273.0"/>
        <n v="333.0"/>
        <n v="1711.0"/>
        <n v="1466.0"/>
        <n v="399.0"/>
        <n v="1573.0"/>
        <n v="1723.0"/>
        <n v="512.0"/>
        <n v="1586.0"/>
        <n v="682.0"/>
        <n v="3117.0"/>
        <n v="3066.0"/>
        <n v="1420.0"/>
        <n v="1891.0"/>
        <n v="2233.0"/>
        <n v="3955.0"/>
        <n v="826.0"/>
        <n v="5312.0"/>
        <n v="8014.0"/>
        <n v="1935.0"/>
        <n v="3326.0"/>
        <n v="2051.0"/>
        <n v="668.0"/>
        <n v="3387.0"/>
        <n v="2528.0"/>
        <n v="1528.0"/>
        <n v="827.0"/>
        <n v="1427.0"/>
        <n v="822.0"/>
        <n v="1927.0"/>
      </sharedItems>
    </cacheField>
    <cacheField name="KM Travelled LTD" numFmtId="0">
      <sharedItems containsSemiMixedTypes="0" containsString="0" containsNumber="1" containsInteger="1">
        <n v="31765.0"/>
        <n v="170148.0"/>
        <n v="151857.0"/>
        <n v="186410.0"/>
        <n v="102473.0"/>
        <n v="118430.0"/>
        <n v="149059.0"/>
        <n v="127683.0"/>
        <n v="147009.0"/>
        <n v="30448.0"/>
        <n v="37154.0"/>
        <n v="28740.0"/>
        <n v="31413.0"/>
        <n v="77020.0"/>
        <n v="73261.0"/>
        <n v="47116.0"/>
        <n v="87181.0"/>
        <n v="20829.0"/>
        <n v="35179.0"/>
        <n v="32773.0"/>
        <n v="84680.0"/>
        <n v="39542.0"/>
        <n v="41618.0"/>
        <n v="55643.0"/>
        <n v="85677.0"/>
        <n v="49596.0"/>
        <n v="43037.0"/>
        <n v="8896.0"/>
        <n v="31474.0"/>
        <n v="11577.0"/>
        <n v="40716.0"/>
        <n v="40118.0"/>
        <n v="31670.0"/>
        <n v="14718.0"/>
        <n v="17032.0"/>
        <n v="81331.0"/>
        <n v="19660.0"/>
        <n v="25360.0"/>
        <n v="38156.0"/>
        <n v="37262.0"/>
        <n v="40045.0"/>
        <n v="38067.0"/>
        <n v="32634.0"/>
        <n v="44203.0"/>
        <n v="46279.0"/>
        <n v="27181.0"/>
        <n v="32907.0"/>
        <n v="78187.0"/>
        <n v="45436.0"/>
        <n v="39074.0"/>
        <n v="10888.0"/>
        <n v="92168.0"/>
        <n v="148988.0"/>
        <n v="8943.0"/>
        <n v="4059.0"/>
        <n v="50113.0"/>
        <n v="38801.0"/>
        <n v="39055.0"/>
        <n v="39503.0"/>
        <n v="37722.0"/>
        <n v="39370.0"/>
        <n v="36332.0"/>
        <n v="37892.0"/>
        <n v="38291.0"/>
        <n v="30117.0"/>
        <n v="7203.0"/>
        <n v="17457.0"/>
        <n v="136314.0"/>
        <n v="62384.0"/>
        <n v="41508.0"/>
        <n v="27867.0"/>
        <n v="27477.0"/>
        <n v="95488.0"/>
        <n v="40097.0"/>
        <n v="53708.0"/>
        <n v="123554.0"/>
        <n v="128352.0"/>
        <n v="120229.0"/>
        <n v="140779.0"/>
        <n v="32516.0"/>
        <n v="37292.0"/>
        <n v="45866.0"/>
        <n v="136495.0"/>
        <n v="34856.0"/>
        <n v="30405.0"/>
        <n v="143179.0"/>
        <n v="18174.0"/>
        <n v="32666.0"/>
        <n v="25685.0"/>
        <n v="28738.0"/>
        <n v="17684.0"/>
        <n v="69770.0"/>
        <n v="36402.0"/>
        <n v="44219.0"/>
        <n v="37707.0"/>
        <n v="39548.0"/>
        <n v="32261.0"/>
        <n v="7694.0"/>
        <n v="20827.0"/>
        <n v="19080.0"/>
        <n v="29702.0"/>
        <n v="31195.0"/>
        <n v="10047.0"/>
        <n v="19638.0"/>
        <n v="39575.0"/>
        <n v="42501.0"/>
        <n v="22758.0"/>
        <n v="29716.0"/>
        <n v="26247.0"/>
        <n v="70318.0"/>
        <n v="29890.0"/>
        <n v="32535.0"/>
        <n v="29618.0"/>
        <n v="37207.0"/>
        <n v="23730.0"/>
        <n v="17239.0"/>
        <n v="46808.0"/>
        <n v="29950.0"/>
        <n v="22713.0"/>
        <n v="28753.0"/>
        <n v="25416.0"/>
        <n v="28580.0"/>
        <n v="28044.0"/>
        <n v="25357.0"/>
        <n v="28274.0"/>
        <n v="31767.0"/>
        <n v="26113.0"/>
        <n v="29572.0"/>
        <n v="28206.0"/>
        <n v="23680.0"/>
        <n v="30429.0"/>
        <n v="31170.0"/>
        <n v="21816.0"/>
        <n v="31972.0"/>
        <n v="23104.0"/>
        <n v="30765.0"/>
        <n v="34055.0"/>
        <n v="32029.0"/>
        <n v="24134.0"/>
        <n v="17951.0"/>
        <n v="28635.0"/>
        <n v="30696.0"/>
        <n v="32695.0"/>
        <n v="27845.0"/>
        <n v="29290.0"/>
        <n v="34289.0"/>
        <n v="32498.0"/>
        <n v="24069.0"/>
        <n v="33013.0"/>
        <n v="22831.0"/>
        <n v="22609.0"/>
        <n v="23093.0"/>
        <n v="36455.0"/>
        <n v="25937.0"/>
        <n v="31107.0"/>
        <n v="30608.0"/>
        <n v="30259.0"/>
        <n v="16565.0"/>
        <n v="42057.0"/>
        <n v="42055.0"/>
        <n v="32732.0"/>
        <n v="15599.0"/>
        <n v="21294.0"/>
        <n v="139683.0"/>
        <n v="30085.0"/>
        <n v="114791.0"/>
        <n v="11360.0"/>
        <n v="70910.0"/>
        <n v="120947.0"/>
        <n v="103760.0"/>
        <n v="107522.0"/>
        <n v="107238.0"/>
        <n v="20477.0"/>
        <n v="73125.0"/>
        <n v="55912.0"/>
        <n v="132155.0"/>
        <n v="116190.0"/>
        <n v="23358.0"/>
        <n v="73141.0"/>
        <n v="20318.0"/>
        <n v="12451.0"/>
        <n v="8948.0"/>
        <n v="70887.0"/>
        <n v="47733.0"/>
        <n v="43147.0"/>
        <n v="56212.0"/>
        <n v="46515.0"/>
        <n v="22370.0"/>
        <n v="82699.0"/>
        <n v="24894.0"/>
        <n v="120154.0"/>
        <n v="36031.0"/>
        <n v="71421.0"/>
        <n v="20457.0"/>
        <n v="37230.0"/>
        <n v="139541.0"/>
        <n v="184387.0"/>
        <n v="28519.0"/>
        <n v="39390.0"/>
        <n v="31181.0"/>
        <n v="34800.0"/>
        <n v="38927.0"/>
        <n v="41452.0"/>
        <n v="10301.0"/>
        <n v="35881.0"/>
        <n v="34771.0"/>
        <n v="26061.0"/>
        <n v="25403.0"/>
        <n v="25859.0"/>
        <n v="18136.0"/>
        <n v="13357.0"/>
        <n v="24899.0"/>
        <n v="45019.0"/>
        <n v="74420.0"/>
        <n v="89170.0"/>
        <n v="122124.0"/>
        <n v="104261.0"/>
        <n v="109098.0"/>
        <n v="95003.0"/>
        <n v="12226.0"/>
        <n v="14283.0"/>
        <n v="18798.0"/>
        <n v="15648.0"/>
        <n v="17663.0"/>
        <n v="21510.0"/>
        <n v="18298.0"/>
        <n v="16441.0"/>
        <n v="23767.0"/>
        <n v="20740.0"/>
        <n v="15527.0"/>
        <n v="13135.0"/>
        <n v="21979.0"/>
        <n v="12427.0"/>
        <n v="21511.0"/>
        <n v="7415.0"/>
        <n v="28645.0"/>
        <n v="22321.0"/>
        <n v="26806.0"/>
        <n v="12025.0"/>
        <n v="13879.0"/>
        <n v="27337.0"/>
        <n v="16256.0"/>
        <n v="14502.0"/>
        <n v="23127.0"/>
        <n v="16363.0"/>
        <n v="16123.0"/>
        <n v="23943.0"/>
        <n v="17831.0"/>
        <n v="34205.0"/>
        <n v="5276.0"/>
        <n v="6280.0"/>
        <n v="31520.0"/>
        <n v="35858.0"/>
        <n v="21010.0"/>
        <n v="22677.0"/>
        <n v="27077.0"/>
        <n v="10155.0"/>
        <n v="21449.0"/>
        <n v="30698.0"/>
        <n v="45796.0"/>
        <n v="29134.0"/>
        <n v="96233.0"/>
        <n v="120089.0"/>
        <n v="35433.0"/>
        <n v="85226.0"/>
        <n v="110511.0"/>
        <n v="59650.0"/>
        <n v="61279.0"/>
        <n v="42693.0"/>
        <n v="39141.0"/>
        <n v="42832.0"/>
        <n v="108608.0"/>
        <n v="30918.0"/>
        <n v="95180.0"/>
        <n v="26913.0"/>
        <n v="18893.0"/>
        <n v="28510.0"/>
        <n v="49767.0"/>
        <n v="101543.0"/>
        <n v="100450.0"/>
        <n v="106843.0"/>
        <n v="86080.0"/>
        <n v="106371.0"/>
        <n v="21060.0"/>
        <n v="110338.0"/>
        <n v="106487.0"/>
        <n v="102333.0"/>
        <n v="60639.0"/>
        <n v="70331.0"/>
        <n v="46027.0"/>
        <n v="74973.0"/>
        <n v="55432.0"/>
        <n v="36873.0"/>
        <n v="46404.0"/>
        <n v="44749.0"/>
        <n v="51380.0"/>
        <n v="88514.0"/>
        <n v="59925.0"/>
        <n v="51339.0"/>
        <n v="71112.0"/>
        <n v="88558.0"/>
        <n v="25635.0"/>
        <n v="10536.0"/>
        <n v="110207.0"/>
        <n v="119897.0"/>
        <n v="136207.0"/>
        <n v="86551.0"/>
        <n v="64646.0"/>
        <n v="86092.0"/>
        <n v="60697.0"/>
        <n v="104323.0"/>
        <n v="41562.0"/>
        <n v="52966.0"/>
        <n v="46868.0"/>
        <n v="62751.0"/>
        <n v="49362.0"/>
        <n v="61490.0"/>
        <n v="57148.0"/>
        <n v="47709.0"/>
        <n v="25343.0"/>
        <n v="57992.0"/>
        <n v="60888.0"/>
        <n v="57181.0"/>
        <n v="31012.0"/>
        <n v="91639.0"/>
        <n v="45663.0"/>
        <n v="123190.0"/>
        <n v="19547.0"/>
        <n v="42322.0"/>
        <n v="15376.0"/>
        <n v="20344.0"/>
        <n v="19280.0"/>
        <n v="66442.0"/>
        <n v="33921.0"/>
        <n v="53288.0"/>
        <n v="112552.0"/>
        <n v="60972.0"/>
        <n v="53405.0"/>
        <n v="122991.0"/>
        <n v="77337.0"/>
        <n v="75304.0"/>
        <n v="29598.0"/>
        <n v="50153.0"/>
        <n v="33005.0"/>
        <n v="84099.0"/>
        <n v="98065.0"/>
        <n v="108252.0"/>
        <n v="35963.0"/>
        <n v="166103.0"/>
        <n v="119737.0"/>
        <n v="45340.0"/>
        <n v="17544.0"/>
        <n v="68411.0"/>
        <n v="47019.0"/>
        <n v="76301.0"/>
      </sharedItems>
    </cacheField>
    <cacheField name="Average LTD Km" numFmtId="0">
      <sharedItems containsSemiMixedTypes="0" containsString="0" containsNumber="1" containsInteger="1">
        <n v="521.0"/>
        <n v="2540.0"/>
        <n v="2267.0"/>
        <n v="2913.0"/>
        <n v="1529.0"/>
        <n v="1794.0"/>
        <n v="2293.0"/>
        <n v="1995.0"/>
        <n v="2450.0"/>
        <n v="507.0"/>
        <n v="2064.0"/>
        <n v="1597.0"/>
        <n v="1745.0"/>
        <n v="4531.0"/>
        <n v="4309.0"/>
        <n v="2772.0"/>
        <n v="1585.0"/>
        <n v="1225.0"/>
        <n v="2069.0"/>
        <n v="1928.0"/>
        <n v="4981.0"/>
        <n v="2326.0"/>
        <n v="2601.0"/>
        <n v="3273.0"/>
        <n v="5355.0"/>
        <n v="3100.0"/>
        <n v="2690.0"/>
        <n v="556.0"/>
        <n v="7869.0"/>
        <n v="772.0"/>
        <n v="2714.0"/>
        <n v="2675.0"/>
        <n v="2111.0"/>
        <n v="981.0"/>
        <n v="1135.0"/>
        <n v="5422.0"/>
        <n v="1404.0"/>
        <n v="1691.0"/>
        <n v="2725.0"/>
        <n v="2662.0"/>
        <n v="2860.0"/>
        <n v="2719.0"/>
        <n v="2331.0"/>
        <n v="3157.0"/>
        <n v="3306.0"/>
        <n v="1942.0"/>
        <n v="2351.0"/>
        <n v="5585.0"/>
        <n v="3245.0"/>
        <n v="2791.0"/>
        <n v="778.0"/>
        <n v="1772.0"/>
        <n v="12416.0"/>
        <n v="639.0"/>
        <n v="290.0"/>
        <n v="3855.0"/>
        <n v="2985.0"/>
        <n v="3004.0"/>
        <n v="3039.0"/>
        <n v="2902.0"/>
        <n v="3028.0"/>
        <n v="2795.0"/>
        <n v="2915.0"/>
        <n v="2945.0"/>
        <n v="2317.0"/>
        <n v="554.0"/>
        <n v="1343.0"/>
        <n v="10486.0"/>
        <n v="4799.0"/>
        <n v="3193.0"/>
        <n v="2144.0"/>
        <n v="2114.0"/>
        <n v="7957.0"/>
        <n v="3084.0"/>
        <n v="4476.0"/>
        <n v="10296.0"/>
        <n v="10696.0"/>
        <n v="10019.0"/>
        <n v="11732.0"/>
        <n v="2501.0"/>
        <n v="2869.0"/>
        <n v="3822.0"/>
        <n v="11375.0"/>
        <n v="2905.0"/>
        <n v="2534.0"/>
        <n v="11932.0"/>
        <n v="1515.0"/>
        <n v="2722.0"/>
        <n v="2140.0"/>
        <n v="2395.0"/>
        <n v="1474.0"/>
        <n v="5814.0"/>
        <n v="3034.0"/>
        <n v="3685.0"/>
        <n v="3142.0"/>
        <n v="3296.0"/>
        <n v="2688.0"/>
        <n v="641.0"/>
        <n v="1736.0"/>
        <n v="1590.0"/>
        <n v="2475.0"/>
        <n v="2600.0"/>
        <n v="913.0"/>
        <n v="1964.0"/>
        <n v="3958.0"/>
        <n v="4250.0"/>
        <n v="2276.0"/>
        <n v="2701.0"/>
        <n v="2386.0"/>
        <n v="6393.0"/>
        <n v="2989.0"/>
        <n v="2958.0"/>
        <n v="2962.0"/>
        <n v="3721.0"/>
        <n v="2373.0"/>
        <n v="1724.0"/>
        <n v="4681.0"/>
        <n v="2995.0"/>
        <n v="2271.0"/>
        <n v="2614.0"/>
        <n v="2311.0"/>
        <n v="2598.0"/>
        <n v="2549.0"/>
        <n v="2305.0"/>
        <n v="2570.0"/>
        <n v="2888.0"/>
        <n v="2374.0"/>
        <n v="2564.0"/>
        <n v="2153.0"/>
        <n v="2766.0"/>
        <n v="3117.0"/>
        <n v="2182.0"/>
        <n v="2907.0"/>
        <n v="2310.0"/>
        <n v="2797.0"/>
        <n v="3406.0"/>
        <n v="3203.0"/>
        <n v="2413.0"/>
        <n v="1795.0"/>
        <n v="2864.0"/>
        <n v="3070.0"/>
        <n v="3043.0"/>
        <n v="3270.0"/>
        <n v="2785.0"/>
        <n v="2929.0"/>
        <n v="3429.0"/>
        <n v="3611.0"/>
        <n v="2407.0"/>
        <n v="3668.0"/>
        <n v="2537.0"/>
        <n v="2512.0"/>
        <n v="2309.0"/>
        <n v="3646.0"/>
        <n v="2882.0"/>
        <n v="3456.0"/>
        <n v="3401.0"/>
        <n v="3026.0"/>
        <n v="1657.0"/>
        <n v="4206.0"/>
        <n v="1560.0"/>
        <n v="2129.0"/>
        <n v="13968.0"/>
        <n v="3009.0"/>
        <n v="11479.0"/>
        <n v="541.0"/>
        <n v="1576.0"/>
        <n v="2749.0"/>
        <n v="2358.0"/>
        <n v="2444.0"/>
        <n v="2383.0"/>
        <n v="975.0"/>
        <n v="1662.0"/>
        <n v="1242.0"/>
        <n v="2937.0"/>
        <n v="2641.0"/>
        <n v="1112.0"/>
        <n v="1625.0"/>
        <n v="2032.0"/>
        <n v="1245.0"/>
        <n v="895.0"/>
        <n v="1611.0"/>
        <n v="994.0"/>
        <n v="959.0"/>
        <n v="1249.0"/>
        <n v="2215.0"/>
        <n v="1119.0"/>
        <n v="1880.0"/>
        <n v="1185.0"/>
        <n v="2670.0"/>
        <n v="1716.0"/>
        <n v="1587.0"/>
        <n v="620.0"/>
        <n v="827.0"/>
        <n v="3101.0"/>
        <n v="4097.0"/>
        <n v="2852.0"/>
        <n v="3939.0"/>
        <n v="3465.0"/>
        <n v="3480.0"/>
        <n v="3893.0"/>
        <n v="4145.0"/>
        <n v="1030.0"/>
        <n v="3588.0"/>
        <n v="3477.0"/>
        <n v="2896.0"/>
        <n v="2873.0"/>
        <n v="2015.0"/>
        <n v="1484.0"/>
        <n v="2767.0"/>
        <n v="5002.0"/>
        <n v="8269.0"/>
        <n v="9908.0"/>
        <n v="13569.0"/>
        <n v="11585.0"/>
        <n v="12122.0"/>
        <n v="10556.0"/>
        <n v="1358.0"/>
        <n v="2089.0"/>
        <n v="1739.0"/>
        <n v="1963.0"/>
        <n v="2390.0"/>
        <n v="2033.0"/>
        <n v="1827.0"/>
        <n v="2304.0"/>
        <n v="1725.0"/>
        <n v="1459.0"/>
        <n v="2442.0"/>
        <n v="1381.0"/>
        <n v="927.0"/>
        <n v="3581.0"/>
        <n v="2790.0"/>
        <n v="3351.0"/>
        <n v="1503.0"/>
        <n v="1735.0"/>
        <n v="3417.0"/>
        <n v="1813.0"/>
        <n v="2891.0"/>
        <n v="2045.0"/>
        <n v="2993.0"/>
        <n v="2547.0"/>
        <n v="4886.0"/>
        <n v="754.0"/>
        <n v="897.0"/>
        <n v="4503.0"/>
        <n v="5123.0"/>
        <n v="3001.0"/>
        <n v="3780.0"/>
        <n v="4513.0"/>
        <n v="1693.0"/>
        <n v="3575.0"/>
        <n v="990.0"/>
        <n v="1388.0"/>
        <n v="486.0"/>
        <n v="1604.0"/>
        <n v="2001.0"/>
        <n v="591.0"/>
        <n v="1420.0"/>
        <n v="1842.0"/>
        <n v="1021.0"/>
        <n v="712.0"/>
        <n v="652.0"/>
        <n v="714.0"/>
        <n v="1810.0"/>
        <n v="515.0"/>
        <n v="1586.0"/>
        <n v="449.0"/>
        <n v="315.0"/>
        <n v="475.0"/>
        <n v="829.0"/>
        <n v="1692.0"/>
        <n v="1674.0"/>
        <n v="1781.0"/>
        <n v="1435.0"/>
        <n v="1773.0"/>
        <n v="351.0"/>
        <n v="1839.0"/>
        <n v="1775.0"/>
        <n v="1706.0"/>
        <n v="1011.0"/>
        <n v="1172.0"/>
        <n v="767.0"/>
        <n v="1250.0"/>
        <n v="924.0"/>
        <n v="615.0"/>
        <n v="787.0"/>
        <n v="746.0"/>
        <n v="871.0"/>
        <n v="1500.0"/>
        <n v="1016.0"/>
        <n v="870.0"/>
        <n v="1205.0"/>
        <n v="1501.0"/>
        <n v="434.0"/>
        <n v="179.0"/>
        <n v="1868.0"/>
        <n v="1492.0"/>
        <n v="1115.0"/>
        <n v="1047.0"/>
        <n v="1768.0"/>
        <n v="717.0"/>
        <n v="808.0"/>
        <n v="1082.0"/>
        <n v="851.0"/>
        <n v="1060.0"/>
        <n v="985.0"/>
        <n v="823.0"/>
        <n v="1000.0"/>
        <n v="1050.0"/>
        <n v="986.0"/>
        <n v="535.0"/>
        <n v="1580.0"/>
        <n v="2124.0"/>
        <n v="1396.0"/>
        <n v="756.0"/>
        <n v="1098.0"/>
        <n v="1453.0"/>
        <n v="1377.0"/>
        <n v="1208.0"/>
        <n v="606.0"/>
        <n v="3553.0"/>
        <n v="2046.0"/>
        <n v="1109.0"/>
        <n v="971.0"/>
        <n v="2236.0"/>
        <n v="1432.0"/>
        <n v="1369.0"/>
        <n v="1057.0"/>
        <n v="5573.0"/>
        <n v="6601.0"/>
        <n v="1850.0"/>
        <n v="2042.0"/>
        <n v="1635.0"/>
        <n v="3194.0"/>
        <n v="2303.0"/>
        <n v="2061.0"/>
        <n v="344.0"/>
        <n v="1341.0"/>
        <n v="922.0"/>
        <n v="1496.0"/>
      </sharedItems>
    </cacheField>
    <cacheField name="Fixed Rental" numFmtId="165">
      <sharedItems containsSemiMixedTypes="0" containsString="0" containsNumber="1">
        <n v="2588.24"/>
        <n v="3706.98"/>
        <n v="3203.39"/>
        <n v="2529.37"/>
        <n v="3813.34"/>
        <n v="3787.04"/>
        <n v="3873.49"/>
        <n v="3276.21"/>
        <n v="3728.95"/>
        <n v="4221.91"/>
        <n v="6035.98"/>
        <n v="6834.46"/>
        <n v="6195.35"/>
        <n v="6992.54"/>
        <n v="7237.43"/>
        <n v="7152.61"/>
        <n v="3169.29"/>
        <n v="3064.49"/>
        <n v="5743.81"/>
        <n v="5744.31"/>
        <n v="21889.88"/>
        <n v="10515.69"/>
        <n v="5826.19"/>
        <n v="5657.65"/>
        <n v="10184.67"/>
        <n v="8505.65"/>
        <n v="8324.99"/>
        <n v="8306.34"/>
        <n v="5103.91"/>
        <n v="4767.51"/>
        <n v="5572.74"/>
        <n v="8136.71"/>
        <n v="8493.29"/>
        <n v="7623.68"/>
        <n v="8314.36"/>
        <n v="12182.34"/>
        <n v="8506.46"/>
        <n v="6947.39"/>
        <n v="6934.66"/>
        <n v="7737.91"/>
        <n v="6892.2"/>
        <n v="7745.58"/>
        <n v="7746.77"/>
        <n v="7746.2"/>
        <n v="5558.2"/>
        <n v="5676.2"/>
        <n v="5819.37"/>
        <n v="8349.36"/>
        <n v="7161.78"/>
        <n v="8698.29"/>
        <n v="11628.52"/>
        <n v="4893.34"/>
        <n v="4769.44"/>
        <n v="3716.73"/>
        <n v="3741.11"/>
        <n v="17371.7"/>
        <n v="6928.84"/>
        <n v="6944.25"/>
        <n v="6944.16"/>
        <n v="6944.9"/>
        <n v="6889.73"/>
        <n v="6915.48"/>
        <n v="6927.65"/>
        <n v="6945.11"/>
        <n v="6926.92"/>
        <n v="3394.3"/>
        <n v="3390.12"/>
        <n v="2859.46"/>
        <n v="25007.12"/>
        <n v="7844.53"/>
        <n v="5354.74"/>
        <n v="6766.02"/>
        <n v="18757.91"/>
        <n v="7071.23"/>
        <n v="18740.33"/>
        <n v="18735.08"/>
        <n v="18821.62"/>
        <n v="18747.21"/>
        <n v="18746.8"/>
        <n v="11925.41"/>
        <n v="7046.3"/>
        <n v="7032.77"/>
        <n v="5729.11"/>
        <n v="10944.82"/>
        <n v="8713.51"/>
        <n v="4893.2"/>
        <n v="8710.85"/>
        <n v="8761.48"/>
        <n v="8716.65"/>
        <n v="6962.22"/>
        <n v="8712.24"/>
        <n v="7462.28"/>
        <n v="7460.07"/>
        <n v="7385.51"/>
        <n v="7594.79"/>
        <n v="7281.18"/>
        <n v="4446.56"/>
        <n v="2626.71"/>
        <n v="6439.52"/>
        <n v="6441.71"/>
        <n v="6437.71"/>
        <n v="6441.55"/>
        <n v="2964.24"/>
        <n v="9107.72"/>
        <n v="8668.69"/>
        <n v="8654.46"/>
        <n v="7093.45"/>
        <n v="7439.03"/>
        <n v="7437.97"/>
        <n v="14707.21"/>
        <n v="7421.36"/>
        <n v="7430.11"/>
        <n v="7420.34"/>
        <n v="7490.97"/>
        <n v="7419.52"/>
        <n v="7411.13"/>
        <n v="10675.28"/>
        <n v="7052.48"/>
        <n v="7276.08"/>
        <n v="7141.57"/>
        <n v="7122.01"/>
        <n v="7141.04"/>
        <n v="7142.21"/>
        <n v="7143.24"/>
        <n v="7156.77"/>
        <n v="7140.6"/>
        <n v="7161.59"/>
        <n v="7156.18"/>
        <n v="7144.73"/>
        <n v="7145.07"/>
        <n v="7124.3"/>
        <n v="7284.47"/>
        <n v="7266.9"/>
        <n v="7141.12"/>
        <n v="7425.53"/>
        <n v="7136.47"/>
        <n v="7291.38"/>
        <n v="7289.88"/>
        <n v="7412.53"/>
        <n v="7389.26"/>
        <n v="7892.78"/>
        <n v="7901.81"/>
        <n v="7909.85"/>
        <n v="7892.36"/>
        <n v="7130.01"/>
        <n v="7878.55"/>
        <n v="7897.37"/>
        <n v="9955.37"/>
        <n v="7200.85"/>
        <n v="9958.72"/>
        <n v="9613.23"/>
        <n v="9597.07"/>
        <n v="8234.88"/>
        <n v="6868.25"/>
        <n v="9612.71"/>
        <n v="9595.94"/>
        <n v="9613.0"/>
        <n v="8694.07"/>
        <n v="7012.55"/>
        <n v="7078.23"/>
        <n v="6987.88"/>
        <n v="6775.39"/>
        <n v="4060.32"/>
        <n v="8217.09"/>
        <n v="17923.09"/>
        <n v="8235.58"/>
        <n v="18656.75"/>
        <n v="4284.06"/>
        <n v="5262.48"/>
        <n v="6002.59"/>
        <n v="5728.35"/>
        <n v="5957.21"/>
        <n v="2774.34"/>
        <n v="6295.08"/>
        <n v="6696.08"/>
        <n v="5750.95"/>
        <n v="5079.82"/>
        <n v="5498.76"/>
        <n v="4400.16"/>
        <n v="6012.32"/>
        <n v="10271.96"/>
        <n v="10331.58"/>
        <n v="10335.16"/>
        <n v="6482.42"/>
        <n v="5711.04"/>
        <n v="3288.52"/>
        <n v="6872.13"/>
        <n v="7398.0"/>
        <n v="4812.01"/>
        <n v="6312.89"/>
        <n v="9174.75"/>
        <n v="5927.39"/>
        <n v="7027.5"/>
        <n v="6216.12"/>
        <n v="4935.18"/>
        <n v="5587.47"/>
        <n v="7365.63"/>
        <n v="7354.25"/>
        <n v="8071.0"/>
        <n v="7828.54"/>
        <n v="7304.7"/>
        <n v="8154.65"/>
        <n v="7654.09"/>
        <n v="7673.28"/>
        <n v="4639.22"/>
        <n v="7656.29"/>
        <n v="7674.88"/>
        <n v="7266.17"/>
        <n v="10747.79"/>
        <n v="7502.6"/>
        <n v="7485.03"/>
        <n v="4103.4"/>
        <n v="5262.99"/>
        <n v="10778.86"/>
        <n v="31724.29"/>
        <n v="31718.87"/>
        <n v="31724.67"/>
        <n v="31754.11"/>
        <n v="31722.36"/>
        <n v="31725.64"/>
        <n v="31738.2"/>
        <n v="5242.0"/>
        <n v="5258.67"/>
        <n v="5238.38"/>
        <n v="5260.2"/>
        <n v="5239.43"/>
        <n v="5257.46"/>
        <n v="5260.91"/>
        <n v="5261.4"/>
        <n v="6029.3"/>
        <n v="6017.19"/>
        <n v="6020.83"/>
        <n v="6018.66"/>
        <n v="6021.39"/>
        <n v="5044.95"/>
        <n v="6019.32"/>
        <n v="11225.86"/>
        <n v="11098.68"/>
        <n v="7220.1"/>
        <n v="6016.07"/>
        <n v="7581.81"/>
        <n v="7607.9"/>
        <n v="7675.57"/>
        <n v="6000.28"/>
        <n v="6337.05"/>
        <n v="11507.37"/>
        <n v="16962.37"/>
        <n v="7005.61"/>
        <n v="7002.02"/>
        <n v="7540.69"/>
        <n v="9552.64"/>
        <n v="10110.29"/>
        <n v="3096.4"/>
        <n v="3096.77"/>
        <n v="7600.05"/>
        <n v="10102.98"/>
        <n v="7797.36"/>
        <n v="7682.56"/>
        <n v="8808.84"/>
        <n v="8790.01"/>
        <n v="7855.62"/>
        <n v="3261.14"/>
        <n v="6972.48"/>
        <n v="4421.91"/>
        <n v="5242.7"/>
        <n v="5552.88"/>
        <n v="1749.46"/>
        <n v="4012.34"/>
        <n v="3746.57"/>
        <n v="3004.51"/>
        <n v="1730.22"/>
        <n v="2740.24"/>
        <n v="1750.6"/>
        <n v="1750.86"/>
        <n v="1677.9"/>
        <n v="1754.19"/>
        <n v="1347.28"/>
        <n v="3007.67"/>
        <n v="2882.88"/>
        <n v="2370.68"/>
        <n v="2425.46"/>
        <n v="8329.39"/>
        <n v="3024.56"/>
        <n v="1710.69"/>
        <n v="1468.48"/>
        <n v="1611.38"/>
        <n v="1773.32"/>
        <n v="1325.78"/>
        <n v="1363.12"/>
        <n v="1496.28"/>
        <n v="1757.13"/>
        <n v="2771.11"/>
        <n v="4485.73"/>
        <n v="2769.03"/>
        <n v="5428.3"/>
        <n v="8404.41"/>
        <n v="666.34"/>
        <n v="1771.15"/>
        <n v="4218.38"/>
        <n v="4060.76"/>
        <n v="4005.47"/>
        <n v="3129.99"/>
        <n v="6359.95"/>
        <n v="6156.53"/>
        <n v="3122.51"/>
        <n v="7729.71"/>
        <n v="6673.16"/>
        <n v="7482.46"/>
        <n v="4203.86"/>
        <n v="8425.85"/>
        <n v="8524.71"/>
        <n v="2997.95"/>
        <n v="8569.69"/>
        <n v="8097.27"/>
        <n v="4415.19"/>
        <n v="4317.13"/>
        <n v="4313.05"/>
        <n v="4415.02"/>
        <n v="4414.23"/>
        <n v="4419.28"/>
        <n v="4415.48"/>
        <n v="4416.83"/>
        <n v="8020.67"/>
        <n v="4325.96"/>
        <n v="4421.08"/>
        <n v="4430.11"/>
        <n v="4428.75"/>
        <n v="4299.55"/>
        <n v="2966.58"/>
        <n v="5657.93"/>
        <n v="8023.74"/>
        <n v="8967.52"/>
        <n v="8017.93"/>
        <n v="8024.06"/>
        <n v="8015.0"/>
        <n v="9305.15"/>
        <n v="2896.16"/>
        <n v="13474.39"/>
        <n v="8480.49"/>
        <n v="5289.5"/>
        <n v="5291.29"/>
        <n v="4263.03"/>
        <n v="4470.96"/>
        <n v="3469.82"/>
        <n v="4887.65"/>
        <n v="10955.42"/>
        <n v="10306.16"/>
        <n v="6073.51"/>
        <n v="9797.15"/>
        <n v="5960.0"/>
        <n v="6465.81"/>
        <n v="5635.39"/>
        <n v="5993.93"/>
        <n v="6465.34"/>
        <n v="4504.09"/>
        <n v="7587.32"/>
        <n v="4736.47"/>
        <n v="4506.66"/>
      </sharedItems>
    </cacheField>
    <cacheField name="Repairs and Maintenance" numFmtId="165">
      <sharedItems containsSemiMixedTypes="0" containsString="0" containsNumber="1">
        <n v="566.41"/>
        <n v="1730.7"/>
        <n v="2068.0"/>
        <n v="1951.0"/>
        <n v="2077.0"/>
        <n v="2076.81"/>
        <n v="1170.45"/>
        <n v="1320.0"/>
        <n v="570.0"/>
        <n v="1140.0"/>
        <n v="1200.0"/>
        <n v="855.0"/>
        <n v="1710.0"/>
        <n v="857.6"/>
        <n v="1650.0"/>
        <n v="4500.0"/>
        <n v="1575.0"/>
        <n v="2100.0"/>
        <n v="1900.0"/>
        <n v="1863.0"/>
        <n v="1960.0"/>
        <n v="800.0"/>
        <n v="2000.0"/>
        <n v="1626.92"/>
        <n v="2520.0"/>
        <n v="1600.0"/>
        <n v="1845.0"/>
        <n v="4000.0"/>
        <n v="1800.0"/>
        <n v="1493.4"/>
        <n v="665.75"/>
        <n v="9300.0"/>
        <n v="1590.0"/>
        <n v="850.0"/>
        <n v="4200.0"/>
        <n v="4800.0"/>
        <n v="2800.0"/>
        <n v="3450.0"/>
        <n v="8400.0"/>
        <n v="4125.0"/>
        <n v="1350.0"/>
        <n v="1580.0"/>
        <n v="3300.0"/>
        <n v="1925.0"/>
        <n v="2310.0"/>
        <n v="1935.0"/>
        <n v="945.0"/>
        <n v="1790.0"/>
        <n v="615.0"/>
        <n v="3750.0"/>
        <n v="1775.0"/>
        <n v="2790.0"/>
        <n v="2170.0"/>
        <n v="1830.0"/>
        <n v="5700.0"/>
        <n v="1995.0"/>
        <n v="4340.0"/>
        <n v="2010.0"/>
        <n v="1540.0"/>
        <n v="1380.0"/>
        <n v="2440.0"/>
        <n v="1680.0"/>
        <n v="1850.0"/>
        <n v="2236.87"/>
        <n v="2040.0"/>
        <n v="1440.0"/>
        <n v="2940.0"/>
        <n v="1120.0"/>
        <n v="5740.0"/>
        <n v="6000.0"/>
        <n v="981.89"/>
        <n v="2277.0"/>
        <n v="2154.0"/>
        <n v="1810.0"/>
        <n v="2069.8"/>
        <n v="1080.0"/>
        <n v="1525.94"/>
        <n v="1135.6"/>
        <n v="975.0"/>
        <n v="1920.0"/>
        <n v="1545.0"/>
        <n v="1560.0"/>
        <n v="1596.93"/>
        <n v="1029.13"/>
        <n v="1242.06"/>
        <n v="1886.4"/>
        <n v="1430.52"/>
        <n v="1508.21"/>
        <n v="1242.05"/>
        <n v="1076.46"/>
        <n v="1031.8"/>
        <n v="1845.33"/>
        <n v="1562.0"/>
        <n v="1426.0"/>
        <n v="9450.0"/>
        <n v="1530.0"/>
        <n v="3080.0"/>
        <n v="2850.0"/>
        <n v="3000.0"/>
        <n v="1750.0"/>
        <n v="3290.0"/>
        <n v="1220.0"/>
        <n v="740.0"/>
        <n v="896.48"/>
        <n v="1336.26"/>
        <n v="1642.52"/>
        <n v="1300.18"/>
        <n v="1792.96"/>
        <n v="1247.0"/>
        <n v="2750.0"/>
        <n v="3250.0"/>
        <n v="570.74"/>
        <n v="1283.0"/>
        <n v="1978.0"/>
        <n v="1739.0"/>
        <n v="1443.0"/>
        <n v="1492.0"/>
        <n v="741.99"/>
        <n v="1783.0"/>
        <n v="1826.43"/>
        <n v="1236.64"/>
        <n v="1870.0"/>
        <n v="1950.0"/>
        <n v="2430.0"/>
        <n v="570.77"/>
        <n v="2030.0"/>
        <n v="1560.06"/>
        <n v="646.85"/>
        <n v="85.07"/>
        <n v="761.0"/>
        <n v="571.0"/>
        <n v="497.19"/>
        <n v="1388.97"/>
        <n v="852.87"/>
        <n v="603.74"/>
        <n v="828.51"/>
        <n v="1078.1"/>
        <n v="1096.54"/>
        <n v="2010.35"/>
        <n v="1340.24"/>
        <n v="682.3"/>
        <n v="1297.58"/>
        <n v="1492.54"/>
        <n v="1226.89"/>
        <n v="1212.23"/>
        <n v="1116.38"/>
        <n v="1045.33"/>
        <n v="1170.51"/>
        <n v="1175.01"/>
        <n v="1189.67"/>
        <n v="1211.09"/>
        <n v="1185.0"/>
        <n v="1207.72"/>
        <n v="1146.82"/>
        <n v="1243.8"/>
        <n v="1196.44"/>
        <n v="1110.73"/>
        <n v="474.74"/>
        <n v="1553.44"/>
        <n v="997.97"/>
        <n v="1212.47"/>
        <n v="879.56"/>
        <n v="3710.0"/>
        <n v="1092.69"/>
        <n v="1105.1"/>
        <n v="709.75"/>
        <n v="1231.4"/>
        <n v="1230.0"/>
        <n v="1400.0"/>
        <n v="993.65"/>
        <n v="1395.83"/>
        <n v="1135.58"/>
        <n v="1021.8"/>
        <n v="1738.87"/>
        <n v="1490.45"/>
      </sharedItems>
    </cacheField>
    <cacheField name="Licence Fee" numFmtId="165">
      <sharedItems containsSemiMixedTypes="0" containsString="0" containsNumber="1">
        <n v="51.41"/>
        <n v="80.85"/>
        <n v="106.88"/>
        <n v="97.35"/>
        <n v="89.1"/>
        <n v="102.85"/>
        <n v="125.0"/>
        <n v="115.0"/>
        <n v="190.0"/>
        <n v="112.44"/>
        <n v="65.45"/>
        <n v="45.1"/>
        <n v="38.5"/>
        <n v="73.7"/>
        <n v="75.0"/>
        <n v="98.45"/>
        <n v="16.3"/>
        <n v="175.0"/>
        <n v="183.13"/>
        <n v="126.87"/>
      </sharedItems>
    </cacheField>
    <cacheField name="Tracking Cost and Services" numFmtId="165">
      <sharedItems containsSemiMixedTypes="0" containsString="0" containsNumber="1">
        <n v="300.83"/>
        <n v="581.1"/>
        <n v="290.99"/>
        <n v="291.0"/>
        <n v="290.98"/>
        <n v="172.21"/>
        <n v="387.99"/>
        <n v="277.66"/>
        <n v="291.99"/>
        <n v="28.7"/>
      </sharedItems>
    </cacheField>
    <cacheField name="Admin Fee" numFmtId="165">
      <sharedItems containsSemiMixedTypes="0" containsString="0" containsNumber="1">
        <n v="1149.95"/>
        <n v="533.83"/>
        <n v="922.75"/>
        <n v="922.77"/>
        <n v="1083.24"/>
        <n v="1453.23"/>
        <n v="1033.63"/>
        <n v="1106.3"/>
        <n v="1066.91"/>
        <n v="1405.42"/>
        <n v="1350.59"/>
        <n v="1039.28"/>
        <n v="1522.99"/>
        <n v="1089.17"/>
        <n v="1438.02"/>
        <n v="1114.0"/>
        <n v="1185.5"/>
        <n v="937.87"/>
        <n v="1584.82"/>
        <n v="1522.9"/>
        <n v="1114.22"/>
        <n v="1119.45"/>
        <n v="1062.98"/>
        <n v="1538.21"/>
        <n v="1095.07"/>
        <n v="1118.13"/>
        <n v="1569.13"/>
        <n v="1199.93"/>
        <n v="1507.61"/>
        <n v="1553.61"/>
        <n v="1136.48"/>
        <n v="1219.65"/>
        <n v="1254.3"/>
        <n v="985.68"/>
        <n v="1012.23"/>
        <n v="1234.22"/>
        <n v="1269.65"/>
        <n v="1026.1"/>
        <n v="1139.2"/>
        <n v="1884.33"/>
        <n v="1884.96"/>
        <n v="1158.77"/>
        <n v="1154.67"/>
        <n v="1295.21"/>
        <n v="1163.26"/>
        <n v="1234.38"/>
        <n v="1295.2"/>
        <n v="1535.48"/>
        <n v="1441.63"/>
        <n v="142.93"/>
        <n v="1444.7"/>
        <n v="1426.43"/>
        <n v="1392.1"/>
        <n v="1185.78"/>
        <n v="1414.11"/>
        <n v="1109.19"/>
        <n v="1384.85"/>
        <n v="1382.17"/>
        <n v="1327.82"/>
        <n v="1105.84"/>
        <n v="1482.45"/>
        <n v="1219.61"/>
        <n v="1224.48"/>
        <n v="1258.42"/>
      </sharedItems>
    </cacheField>
    <cacheField name="Total Fixed Rental (Excl. VAT)" numFmtId="165">
      <sharedItems containsSemiMixedTypes="0" containsString="0" containsNumber="1">
        <n v="4656.84"/>
        <n v="6633.46"/>
        <n v="6493.2"/>
        <n v="6081.57"/>
        <n v="6765.85"/>
        <n v="6713.52"/>
        <n v="6799.97"/>
        <n v="6548.99"/>
        <n v="7009.79"/>
        <n v="6999.08"/>
        <n v="8855.21"/>
        <n v="9273.68"/>
        <n v="8784.97"/>
        <n v="10061.76"/>
        <n v="9961.65"/>
        <n v="10731.83"/>
        <n v="5539.19"/>
        <n v="5107.38"/>
        <n v="8843.43"/>
        <n v="8843.93"/>
        <n v="28276.29"/>
        <n v="13922.26"/>
        <n v="9795.4"/>
        <n v="9012.93"/>
        <n v="13986.65"/>
        <n v="12014.88"/>
        <n v="11909.22"/>
        <n v="11960.33"/>
        <n v="8563.14"/>
        <n v="7066.74"/>
        <n v="9077.9"/>
        <n v="11645.93"/>
        <n v="12002.51"/>
        <n v="11169.61"/>
        <n v="11823.58"/>
        <n v="16706.33"/>
        <n v="12015.68"/>
        <n v="10046.63"/>
        <n v="10453.88"/>
        <n v="11257.14"/>
        <n v="10411.43"/>
        <n v="11264.81"/>
        <n v="11266.0"/>
        <n v="11265.43"/>
        <n v="8908.37"/>
        <n v="9181.37"/>
        <n v="9324.54"/>
        <n v="13879.36"/>
        <n v="10831.01"/>
        <n v="14228.29"/>
        <n v="14327.75"/>
        <n v="7988.24"/>
        <n v="6657.71"/>
        <n v="6021.35"/>
        <n v="6045.73"/>
        <n v="28672.52"/>
        <n v="10517.72"/>
        <n v="10533.22"/>
        <n v="10533.13"/>
        <n v="10533.87"/>
        <n v="10348.94"/>
        <n v="10374.69"/>
        <n v="10516.62"/>
        <n v="10534.08"/>
        <n v="10515.89"/>
        <n v="5764.5"/>
        <n v="5760.34"/>
        <n v="8584.91"/>
        <n v="31351.1"/>
        <n v="12598.74"/>
        <n v="10758.95"/>
        <n v="10505.01"/>
        <n v="29158.72"/>
        <n v="10576.4"/>
        <n v="29141.14"/>
        <n v="29135.9"/>
        <n v="29222.43"/>
        <n v="29148.02"/>
        <n v="29147.61"/>
        <n v="16029.4"/>
        <n v="10551.47"/>
        <n v="10537.94"/>
        <n v="11379.56"/>
        <n v="13794.05"/>
        <n v="11792.74"/>
        <n v="9718.64"/>
        <n v="11790.08"/>
        <n v="11840.71"/>
        <n v="11795.88"/>
        <n v="10392.39"/>
        <n v="11791.47"/>
        <n v="10967.45"/>
        <n v="10965.24"/>
        <n v="10890.68"/>
        <n v="11099.96"/>
        <n v="11530.16"/>
        <n v="7892.62"/>
        <n v="5070.94"/>
        <n v="10178.51"/>
        <n v="10180.7"/>
        <n v="10166.7"/>
        <n v="10180.54"/>
        <n v="5210.36"/>
        <n v="14842.85"/>
        <n v="12382.68"/>
        <n v="13383.45"/>
        <n v="11202.44"/>
        <n v="11208.02"/>
        <n v="11206.96"/>
        <n v="22392.34"/>
        <n v="11355.35"/>
        <n v="11199.1"/>
        <n v="11354.33"/>
        <n v="11229.96"/>
        <n v="11353.51"/>
        <n v="11345.12"/>
        <n v="16631.21"/>
        <n v="10986.09"/>
        <n v="10785.69"/>
        <n v="10790.56"/>
        <n v="10771.0"/>
        <n v="10790.03"/>
        <n v="10491.82"/>
        <n v="10492.85"/>
        <n v="10506.38"/>
        <n v="10490.21"/>
        <n v="10511.2"/>
        <n v="10505.79"/>
        <n v="10494.34"/>
        <n v="10494.68"/>
        <n v="10473.91"/>
        <n v="10794.08"/>
        <n v="10776.51"/>
        <n v="10650.73"/>
        <n v="10775.14"/>
        <n v="10486.08"/>
        <n v="10800.99"/>
        <n v="10799.49"/>
        <n v="11346.52"/>
        <n v="11323.25"/>
        <n v="12001.77"/>
        <n v="11835.8"/>
        <n v="11843.84"/>
        <n v="12001.35"/>
        <n v="10479.62"/>
        <n v="11812.54"/>
        <n v="12006.36"/>
        <n v="14349.56"/>
        <n v="11149.83"/>
        <n v="14352.91"/>
        <n v="13247.42"/>
        <n v="13401.26"/>
        <n v="12410.74"/>
        <n v="10817.24"/>
        <n v="13606.9"/>
        <n v="13720.13"/>
        <n v="13737.19"/>
        <n v="13448.28"/>
        <n v="10391.54"/>
        <n v="11957.22"/>
        <n v="10726.87"/>
        <n v="10080.55"/>
        <n v="6679.55"/>
        <n v="12392.95"/>
        <n v="25215.56"/>
        <n v="12411.44"/>
        <n v="26186.74"/>
        <n v="6755.18"/>
        <n v="8781.47"/>
        <n v="9778.83"/>
        <n v="9381.59"/>
        <n v="9266.45"/>
        <n v="6773.13"/>
        <n v="8874.31"/>
        <n v="9721.26"/>
        <n v="8522.2"/>
        <n v="8595.12"/>
        <n v="9152.0"/>
        <n v="6864.39"/>
        <n v="9334.0"/>
        <n v="13755.95"/>
        <n v="13830.57"/>
        <n v="13849.15"/>
        <n v="9481.03"/>
        <n v="8239.41"/>
        <n v="6029.82"/>
        <n v="9897.31"/>
        <n v="10712.62"/>
        <n v="7741.76"/>
        <n v="9320.34"/>
        <n v="12313.73"/>
        <n v="8668.68"/>
        <n v="10020.13"/>
        <n v="8791.82"/>
        <n v="7466.22"/>
        <n v="8115.84"/>
        <n v="11214.95"/>
        <n v="11203.57"/>
        <n v="12449.99"/>
        <n v="12207.52"/>
        <n v="11238.69"/>
        <n v="12898.86"/>
        <n v="12033.08"/>
        <n v="12052.27"/>
        <n v="7419.87"/>
        <n v="12035.28"/>
        <n v="12053.87"/>
        <n v="11005.16"/>
        <n v="14313.78"/>
        <n v="11451.59"/>
        <n v="11434.02"/>
        <n v="6722.63"/>
        <n v="8188.23"/>
        <n v="14279.85"/>
        <n v="43175.1"/>
        <n v="43169.68"/>
        <n v="43175.48"/>
        <n v="43204.92"/>
        <n v="43173.17"/>
        <n v="43176.45"/>
        <n v="43189.01"/>
        <n v="8167.24"/>
        <n v="8317.91"/>
        <n v="8267.62"/>
        <n v="8319.44"/>
        <n v="8164.67"/>
        <n v="8316.7"/>
        <n v="8186.15"/>
        <n v="8320.64"/>
        <n v="8848.53"/>
        <n v="8837.42"/>
        <n v="8840.06"/>
        <n v="8837.89"/>
        <n v="8840.62"/>
        <n v="8104.19"/>
        <n v="8838.55"/>
        <n v="16260.05"/>
        <n v="16132.87"/>
        <n v="10569.71"/>
        <n v="8835.3"/>
        <n v="11086.98"/>
        <n v="11113.07"/>
        <n v="12479.78"/>
        <n v="8819.51"/>
        <n v="9156.28"/>
        <n v="15296.36"/>
        <n v="21981.58"/>
        <n v="10774.59"/>
        <n v="11279.68"/>
        <n v="13241.62"/>
        <n v="14905.46"/>
        <n v="5815.63"/>
        <n v="5336.0"/>
        <n v="11205.22"/>
        <n v="14898.15"/>
        <n v="11536.35"/>
        <n v="11421.55"/>
        <n v="13613.05"/>
        <n v="13594.22"/>
        <n v="11594.61"/>
        <n v="5656.86"/>
        <n v="10312.73"/>
        <n v="7655.1"/>
        <n v="8228.53"/>
        <n v="8787.94"/>
        <n v="4541.66"/>
        <n v="9127.67"/>
        <n v="9362.53"/>
        <n v="5070.12"/>
        <n v="4558.42"/>
        <n v="6403.89"/>
        <n v="4578.8"/>
        <n v="4579.06"/>
        <n v="4977.57"/>
        <n v="4898.4"/>
        <n v="4399.95"/>
        <n v="5073.28"/>
        <n v="5117.63"/>
        <n v="5804.06"/>
        <n v="5858.84"/>
        <n v="11659.72"/>
        <n v="5781.87"/>
        <n v="5141.36"/>
        <n v="4612.68"/>
        <n v="5122.05"/>
        <n v="4601.52"/>
        <n v="4836.45"/>
        <n v="4773.79"/>
        <n v="4795.95"/>
        <n v="4585.33"/>
        <n v="7152.59"/>
        <n v="6706.88"/>
        <n v="6484.68"/>
        <n v="8622.71"/>
        <n v="10882.34"/>
        <n v="939.34"/>
        <n v="4774.82"/>
        <n v="6629.76"/>
        <n v="6282.14"/>
        <n v="6436.94"/>
        <n v="5147.85"/>
        <n v="9419.22"/>
        <n v="8679.7"/>
        <n v="5140.37"/>
        <n v="10225.88"/>
        <n v="9359.77"/>
        <n v="10452.99"/>
        <n v="6902.18"/>
        <n v="12266.31"/>
        <n v="11695.06"/>
        <n v="5155.44"/>
        <n v="11697.38"/>
        <n v="11440.66"/>
        <n v="7243.86"/>
        <n v="7131.14"/>
        <n v="7031.21"/>
        <n v="7062.13"/>
        <n v="7186.52"/>
        <n v="7196.07"/>
        <n v="7206.93"/>
        <n v="7229.7"/>
        <n v="11209.65"/>
        <n v="7135.46"/>
        <n v="7169.68"/>
        <n v="7275.69"/>
        <n v="7226.97"/>
        <n v="7012.06"/>
        <n v="5229.49"/>
        <n v="8847.02"/>
        <n v="11212.72"/>
        <n v="11774.31"/>
        <n v="11206.91"/>
        <n v="11213.04"/>
        <n v="11203.98"/>
        <n v="12319.57"/>
        <n v="5287.56"/>
        <n v="19082.84"/>
        <n v="11531.36"/>
        <n v="8017.8"/>
        <n v="8032.04"/>
        <n v="7106.86"/>
        <n v="7316.66"/>
        <n v="5967.74"/>
        <n v="7618.28"/>
        <n v="13749.65"/>
        <n v="13207.45"/>
        <n v="8707.64"/>
        <n v="13001.8"/>
        <n v="8497.26"/>
        <n v="8986.84"/>
        <n v="9048.68"/>
        <n v="8637.66"/>
        <n v="8986.37"/>
        <n v="7134.72"/>
        <n v="10642.01"/>
        <n v="7367.1"/>
        <n v="7137.29"/>
      </sharedItems>
    </cacheField>
    <cacheField name="VAT" numFmtId="165">
      <sharedItems containsSemiMixedTypes="0" containsString="0" containsNumber="1">
        <n v="698.53"/>
        <n v="995.02"/>
        <n v="973.98"/>
        <n v="912.24"/>
        <n v="1014.88"/>
        <n v="1007.03"/>
        <n v="1020.0"/>
        <n v="982.35"/>
        <n v="1051.47"/>
        <n v="1049.86"/>
        <n v="1328.28"/>
        <n v="1391.05"/>
        <n v="1317.75"/>
        <n v="1509.26"/>
        <n v="1494.25"/>
        <n v="1609.77"/>
        <n v="830.88"/>
        <n v="766.11"/>
        <n v="1326.51"/>
        <n v="1326.59"/>
        <n v="4241.44"/>
        <n v="2088.34"/>
        <n v="1469.31"/>
        <n v="1351.94"/>
        <n v="2098.0"/>
        <n v="1802.23"/>
        <n v="1786.38"/>
        <n v="1794.05"/>
        <n v="1284.47"/>
        <n v="1060.01"/>
        <n v="1361.69"/>
        <n v="1746.89"/>
        <n v="1800.38"/>
        <n v="1675.44"/>
        <n v="1773.54"/>
        <n v="2505.95"/>
        <n v="1802.35"/>
        <n v="1506.99"/>
        <n v="1568.08"/>
        <n v="1688.57"/>
        <n v="1561.71"/>
        <n v="1689.72"/>
        <n v="1689.9"/>
        <n v="1689.81"/>
        <n v="1336.26"/>
        <n v="1377.21"/>
        <n v="1398.68"/>
        <n v="2081.9"/>
        <n v="1624.65"/>
        <n v="2134.24"/>
        <n v="2149.16"/>
        <n v="1198.24"/>
        <n v="998.66"/>
        <n v="903.2"/>
        <n v="906.86"/>
        <n v="4300.88"/>
        <n v="1577.66"/>
        <n v="1579.98"/>
        <n v="1579.97"/>
        <n v="1580.08"/>
        <n v="1552.34"/>
        <n v="1556.2"/>
        <n v="1577.49"/>
        <n v="1580.11"/>
        <n v="1577.38"/>
        <n v="864.68"/>
        <n v="864.05"/>
        <n v="1287.74"/>
        <n v="4702.67"/>
        <n v="1889.81"/>
        <n v="1613.84"/>
        <n v="1575.75"/>
        <n v="4373.81"/>
        <n v="1586.46"/>
        <n v="4371.17"/>
        <n v="4370.39"/>
        <n v="4383.36"/>
        <n v="4372.2"/>
        <n v="4372.14"/>
        <n v="2404.41"/>
        <n v="1582.72"/>
        <n v="1580.69"/>
        <n v="1706.93"/>
        <n v="2069.11"/>
        <n v="1768.91"/>
        <n v="1457.8"/>
        <n v="1768.51"/>
        <n v="1776.11"/>
        <n v="1769.38"/>
        <n v="1558.86"/>
        <n v="1768.72"/>
        <n v="1645.12"/>
        <n v="1644.79"/>
        <n v="1633.6"/>
        <n v="1664.99"/>
        <n v="1729.52"/>
        <n v="1183.89"/>
        <n v="760.64"/>
        <n v="1526.78"/>
        <n v="1527.11"/>
        <n v="1525.01"/>
        <n v="1527.08"/>
        <n v="781.55"/>
        <n v="2226.43"/>
        <n v="1857.4"/>
        <n v="2007.52"/>
        <n v="1680.37"/>
        <n v="1681.2"/>
        <n v="1681.04"/>
        <n v="3358.85"/>
        <n v="1703.3"/>
        <n v="1679.87"/>
        <n v="1703.15"/>
        <n v="1684.49"/>
        <n v="1703.03"/>
        <n v="1701.77"/>
        <n v="2494.68"/>
        <n v="1647.91"/>
        <n v="1617.85"/>
        <n v="1618.58"/>
        <n v="1615.65"/>
        <n v="1618.5"/>
        <n v="1573.77"/>
        <n v="1573.93"/>
        <n v="1575.96"/>
        <n v="1573.53"/>
        <n v="1576.68"/>
        <n v="1575.87"/>
        <n v="1574.15"/>
        <n v="1574.2"/>
        <n v="1571.09"/>
        <n v="1619.11"/>
        <n v="1616.48"/>
        <n v="1597.61"/>
        <n v="1616.27"/>
        <n v="1572.91"/>
        <n v="1620.15"/>
        <n v="1619.92"/>
        <n v="1701.98"/>
        <n v="1698.49"/>
        <n v="1800.27"/>
        <n v="1775.37"/>
        <n v="1776.58"/>
        <n v="1800.2"/>
        <n v="1571.94"/>
        <n v="1771.88"/>
        <n v="1800.95"/>
        <n v="2152.43"/>
        <n v="1672.47"/>
        <n v="2152.94"/>
        <n v="1987.11"/>
        <n v="2010.19"/>
        <n v="1861.61"/>
        <n v="1622.59"/>
        <n v="2041.04"/>
        <n v="2058.02"/>
        <n v="2060.58"/>
        <n v="2017.24"/>
        <n v="1558.73"/>
        <n v="1793.58"/>
        <n v="1609.03"/>
        <n v="1512.08"/>
        <n v="1001.93"/>
        <n v="1858.94"/>
        <n v="3782.33"/>
        <n v="1861.72"/>
        <n v="3928.01"/>
        <n v="1013.28"/>
        <n v="1317.22"/>
        <n v="1466.82"/>
        <n v="1407.24"/>
        <n v="1389.97"/>
        <n v="1015.97"/>
        <n v="1331.15"/>
        <n v="1458.19"/>
        <n v="1278.33"/>
        <n v="1289.27"/>
        <n v="1372.8"/>
        <n v="1029.66"/>
        <n v="1400.1"/>
        <n v="2063.39"/>
        <n v="2074.59"/>
        <n v="2077.37"/>
        <n v="1422.15"/>
        <n v="1235.91"/>
        <n v="904.47"/>
        <n v="1484.6"/>
        <n v="1606.89"/>
        <n v="1161.26"/>
        <n v="1398.05"/>
        <n v="1847.06"/>
        <n v="1300.3"/>
        <n v="1503.02"/>
        <n v="1318.77"/>
        <n v="1119.93"/>
        <n v="1217.38"/>
        <n v="1682.24"/>
        <n v="1680.54"/>
        <n v="1867.5"/>
        <n v="1831.13"/>
        <n v="1685.8"/>
        <n v="1934.83"/>
        <n v="1804.96"/>
        <n v="1807.84"/>
        <n v="1112.98"/>
        <n v="1805.29"/>
        <n v="1808.08"/>
        <n v="1650.77"/>
        <n v="2147.07"/>
        <n v="1717.74"/>
        <n v="1715.1"/>
        <n v="1008.39"/>
        <n v="1228.23"/>
        <n v="2141.98"/>
        <n v="6476.27"/>
        <n v="6475.45"/>
        <n v="6476.32"/>
        <n v="6480.74"/>
        <n v="6475.98"/>
        <n v="6476.47"/>
        <n v="6478.35"/>
        <n v="1225.09"/>
        <n v="1247.69"/>
        <n v="1240.14"/>
        <n v="1247.92"/>
        <n v="1224.7"/>
        <n v="1247.51"/>
        <n v="1227.92"/>
        <n v="1248.1"/>
        <n v="1327.28"/>
        <n v="1325.61"/>
        <n v="1326.01"/>
        <n v="1325.68"/>
        <n v="1326.09"/>
        <n v="1215.63"/>
        <n v="1325.78"/>
        <n v="2439.01"/>
        <n v="2419.93"/>
        <n v="1585.46"/>
        <n v="1325.3"/>
        <n v="1663.05"/>
        <n v="1666.96"/>
        <n v="1871.97"/>
        <n v="1322.93"/>
        <n v="1373.44"/>
        <n v="2294.45"/>
        <n v="3297.24"/>
        <n v="1616.19"/>
        <n v="1691.95"/>
        <n v="1986.24"/>
        <n v="2235.82"/>
        <n v="872.34"/>
        <n v="800.4"/>
        <n v="1680.78"/>
        <n v="2234.72"/>
        <n v="1730.45"/>
        <n v="1713.23"/>
        <n v="2041.96"/>
        <n v="2039.13"/>
        <n v="1739.19"/>
        <n v="848.53"/>
        <n v="1546.91"/>
        <n v="1148.27"/>
        <n v="1234.28"/>
        <n v="1318.19"/>
        <n v="681.25"/>
        <n v="1369.15"/>
        <n v="1404.38"/>
        <n v="760.52"/>
        <n v="683.76"/>
        <n v="960.58"/>
        <n v="686.82"/>
        <n v="686.86"/>
        <n v="746.64"/>
        <n v="734.76"/>
        <n v="659.99"/>
        <n v="760.99"/>
        <n v="767.64"/>
        <n v="870.61"/>
        <n v="878.83"/>
        <n v="1748.96"/>
        <n v="867.28"/>
        <n v="771.2"/>
        <n v="691.9"/>
        <n v="768.31"/>
        <n v="690.23"/>
        <n v="725.47"/>
        <n v="716.07"/>
        <n v="719.39"/>
        <n v="687.8"/>
        <n v="1072.89"/>
        <n v="1006.03"/>
        <n v="972.7"/>
        <n v="1293.41"/>
        <n v="1632.35"/>
        <n v="140.9"/>
        <n v="716.22"/>
        <n v="994.46"/>
        <n v="942.32"/>
        <n v="965.54"/>
        <n v="772.18"/>
        <n v="1412.88"/>
        <n v="1301.96"/>
        <n v="771.06"/>
        <n v="1533.88"/>
        <n v="1403.97"/>
        <n v="1567.95"/>
        <n v="1035.33"/>
        <n v="1839.95"/>
        <n v="1754.26"/>
        <n v="773.32"/>
        <n v="1754.61"/>
        <n v="1716.1"/>
        <n v="1086.58"/>
        <n v="1069.67"/>
        <n v="1054.68"/>
        <n v="1059.32"/>
        <n v="1077.98"/>
        <n v="1079.41"/>
        <n v="1081.04"/>
        <n v="1084.46"/>
        <n v="1681.45"/>
        <n v="1070.32"/>
        <n v="1075.45"/>
        <n v="1091.35"/>
        <n v="1084.05"/>
        <n v="1051.81"/>
        <n v="784.42"/>
        <n v="1327.05"/>
        <n v="1681.91"/>
        <n v="1766.15"/>
        <n v="1681.96"/>
        <n v="1680.6"/>
        <n v="1847.94"/>
        <n v="793.13"/>
        <n v="2862.43"/>
        <n v="1729.7"/>
        <n v="1202.67"/>
        <n v="1204.81"/>
        <n v="1066.03"/>
        <n v="1097.5"/>
        <n v="895.16"/>
        <n v="1142.74"/>
        <n v="2062.45"/>
        <n v="1981.12"/>
        <n v="1306.15"/>
        <n v="1950.27"/>
        <n v="1274.59"/>
        <n v="1348.03"/>
        <n v="1357.3"/>
        <n v="1295.65"/>
        <n v="1347.96"/>
        <n v="1070.21"/>
        <n v="1596.3"/>
        <n v="1105.07"/>
        <n v="1070.59"/>
      </sharedItems>
    </cacheField>
    <cacheField name="Total Fixed Rental (Incl. VAT)" numFmtId="165">
      <sharedItems containsSemiMixedTypes="0" containsString="0" containsNumber="1">
        <n v="5355.37"/>
        <n v="7628.48"/>
        <n v="7467.18"/>
        <n v="6993.81"/>
        <n v="7780.73"/>
        <n v="7720.55"/>
        <n v="7819.97"/>
        <n v="7531.34"/>
        <n v="8061.26"/>
        <n v="8048.94"/>
        <n v="10183.49"/>
        <n v="10664.73"/>
        <n v="10102.72"/>
        <n v="11571.02"/>
        <n v="11455.9"/>
        <n v="12341.6"/>
        <n v="6370.07"/>
        <n v="5873.49"/>
        <n v="10169.94"/>
        <n v="10170.52"/>
        <n v="32517.73"/>
        <n v="16010.6"/>
        <n v="11264.71"/>
        <n v="10364.87"/>
        <n v="16084.65"/>
        <n v="13817.11"/>
        <n v="13695.6"/>
        <n v="13754.38"/>
        <n v="9847.61"/>
        <n v="8126.75"/>
        <n v="10439.59"/>
        <n v="13392.82"/>
        <n v="13802.89"/>
        <n v="12845.05"/>
        <n v="13597.12"/>
        <n v="19212.28"/>
        <n v="13818.03"/>
        <n v="11553.62"/>
        <n v="12021.96"/>
        <n v="12945.71"/>
        <n v="11973.14"/>
        <n v="12954.53"/>
        <n v="12955.9"/>
        <n v="12955.24"/>
        <n v="10244.63"/>
        <n v="10558.58"/>
        <n v="10723.22"/>
        <n v="15961.26"/>
        <n v="12455.66"/>
        <n v="16362.53"/>
        <n v="16476.91"/>
        <n v="9186.48"/>
        <n v="7656.37"/>
        <n v="6924.55"/>
        <n v="6952.59"/>
        <n v="32973.4"/>
        <n v="12095.38"/>
        <n v="12113.2"/>
        <n v="12113.1"/>
        <n v="12113.95"/>
        <n v="11901.28"/>
        <n v="11930.89"/>
        <n v="12094.11"/>
        <n v="12114.19"/>
        <n v="12093.27"/>
        <n v="6629.18"/>
        <n v="6624.39"/>
        <n v="9872.65"/>
        <n v="36053.77"/>
        <n v="14488.55"/>
        <n v="12372.79"/>
        <n v="12080.76"/>
        <n v="33532.53"/>
        <n v="12162.86"/>
        <n v="33512.31"/>
        <n v="33506.29"/>
        <n v="33605.79"/>
        <n v="33520.22"/>
        <n v="33519.75"/>
        <n v="18433.81"/>
        <n v="12134.19"/>
        <n v="12118.63"/>
        <n v="13086.49"/>
        <n v="15863.16"/>
        <n v="13561.65"/>
        <n v="11176.44"/>
        <n v="13558.59"/>
        <n v="13616.82"/>
        <n v="13565.26"/>
        <n v="11951.25"/>
        <n v="13560.19"/>
        <n v="12612.57"/>
        <n v="12610.03"/>
        <n v="12524.28"/>
        <n v="12764.95"/>
        <n v="13259.68"/>
        <n v="9076.51"/>
        <n v="5831.58"/>
        <n v="11705.29"/>
        <n v="11707.81"/>
        <n v="11691.71"/>
        <n v="11707.62"/>
        <n v="5991.91"/>
        <n v="17069.28"/>
        <n v="14240.08"/>
        <n v="15390.97"/>
        <n v="12882.81"/>
        <n v="12889.22"/>
        <n v="12888.0"/>
        <n v="25751.19"/>
        <n v="13058.65"/>
        <n v="12878.97"/>
        <n v="13057.48"/>
        <n v="12914.45"/>
        <n v="13056.54"/>
        <n v="13046.89"/>
        <n v="19125.89"/>
        <n v="12634.0"/>
        <n v="12403.54"/>
        <n v="12409.14"/>
        <n v="12386.65"/>
        <n v="12408.53"/>
        <n v="12065.59"/>
        <n v="12066.78"/>
        <n v="12082.34"/>
        <n v="12063.74"/>
        <n v="12087.88"/>
        <n v="12081.66"/>
        <n v="12068.49"/>
        <n v="12068.88"/>
        <n v="12045.0"/>
        <n v="12413.19"/>
        <n v="12392.99"/>
        <n v="12248.34"/>
        <n v="12391.41"/>
        <n v="12058.99"/>
        <n v="12421.14"/>
        <n v="12419.41"/>
        <n v="13048.5"/>
        <n v="13021.74"/>
        <n v="13802.04"/>
        <n v="13611.17"/>
        <n v="13620.42"/>
        <n v="13801.55"/>
        <n v="12051.56"/>
        <n v="13584.42"/>
        <n v="13807.31"/>
        <n v="16501.99"/>
        <n v="12822.3"/>
        <n v="16505.85"/>
        <n v="15234.53"/>
        <n v="15411.45"/>
        <n v="14272.35"/>
        <n v="12439.83"/>
        <n v="15647.94"/>
        <n v="15778.15"/>
        <n v="15797.77"/>
        <n v="15465.52"/>
        <n v="11950.27"/>
        <n v="13750.8"/>
        <n v="12335.9"/>
        <n v="11592.63"/>
        <n v="7681.48"/>
        <n v="14251.89"/>
        <n v="28997.89"/>
        <n v="14273.16"/>
        <n v="30114.75"/>
        <n v="7768.46"/>
        <n v="10098.69"/>
        <n v="11245.65"/>
        <n v="10788.83"/>
        <n v="10656.42"/>
        <n v="7789.1"/>
        <n v="10205.46"/>
        <n v="11179.45"/>
        <n v="9800.53"/>
        <n v="9884.39"/>
        <n v="10524.8"/>
        <n v="7894.05"/>
        <n v="10734.1"/>
        <n v="15819.34"/>
        <n v="15905.16"/>
        <n v="15926.52"/>
        <n v="10903.18"/>
        <n v="9475.32"/>
        <n v="6934.29"/>
        <n v="11381.91"/>
        <n v="12319.51"/>
        <n v="8903.02"/>
        <n v="10718.39"/>
        <n v="14160.79"/>
        <n v="9968.98"/>
        <n v="11523.15"/>
        <n v="10110.59"/>
        <n v="8586.15"/>
        <n v="9333.22"/>
        <n v="12897.19"/>
        <n v="12884.11"/>
        <n v="14317.49"/>
        <n v="14038.65"/>
        <n v="12924.49"/>
        <n v="14833.69"/>
        <n v="13838.04"/>
        <n v="13860.11"/>
        <n v="8532.85"/>
        <n v="13840.57"/>
        <n v="13861.95"/>
        <n v="12655.93"/>
        <n v="16460.85"/>
        <n v="13169.33"/>
        <n v="13149.12"/>
        <n v="7731.02"/>
        <n v="9416.46"/>
        <n v="16421.83"/>
        <n v="49651.37"/>
        <n v="49645.13"/>
        <n v="49651.8"/>
        <n v="49685.66"/>
        <n v="49649.15"/>
        <n v="49652.92"/>
        <n v="49667.36"/>
        <n v="9392.33"/>
        <n v="9565.6"/>
        <n v="9507.76"/>
        <n v="9567.36"/>
        <n v="9389.37"/>
        <n v="9564.21"/>
        <n v="9414.07"/>
        <n v="9568.74"/>
        <n v="10175.81"/>
        <n v="10163.03"/>
        <n v="10166.07"/>
        <n v="10163.57"/>
        <n v="10166.71"/>
        <n v="9319.82"/>
        <n v="10164.33"/>
        <n v="18699.06"/>
        <n v="18552.8"/>
        <n v="12155.17"/>
        <n v="10160.6"/>
        <n v="12750.03"/>
        <n v="12780.03"/>
        <n v="14351.75"/>
        <n v="10142.44"/>
        <n v="10529.72"/>
        <n v="17590.81"/>
        <n v="25278.82"/>
        <n v="12390.78"/>
        <n v="12971.63"/>
        <n v="15227.86"/>
        <n v="17141.28"/>
        <n v="6687.97"/>
        <n v="6136.4"/>
        <n v="12886.0"/>
        <n v="17132.87"/>
        <n v="13266.8"/>
        <n v="13134.78"/>
        <n v="15655.01"/>
        <n v="15633.35"/>
        <n v="13333.8"/>
        <n v="6505.39"/>
        <n v="11859.64"/>
        <n v="8803.37"/>
        <n v="9462.81"/>
        <n v="10106.13"/>
        <n v="5222.91"/>
        <n v="10496.82"/>
        <n v="10766.91"/>
        <n v="5830.64"/>
        <n v="5242.18"/>
        <n v="7364.47"/>
        <n v="5265.62"/>
        <n v="5265.92"/>
        <n v="5724.21"/>
        <n v="5633.16"/>
        <n v="5059.94"/>
        <n v="5834.27"/>
        <n v="5885.27"/>
        <n v="6674.67"/>
        <n v="6737.67"/>
        <n v="13408.68"/>
        <n v="6649.15"/>
        <n v="5912.56"/>
        <n v="5304.58"/>
        <n v="5890.36"/>
        <n v="5291.75"/>
        <n v="5561.92"/>
        <n v="5489.86"/>
        <n v="5515.34"/>
        <n v="5273.13"/>
        <n v="8225.48"/>
        <n v="7712.91"/>
        <n v="7457.38"/>
        <n v="9916.12"/>
        <n v="12514.69"/>
        <n v="1080.24"/>
        <n v="5491.04"/>
        <n v="7624.22"/>
        <n v="7224.46"/>
        <n v="7402.48"/>
        <n v="5920.03"/>
        <n v="10832.1"/>
        <n v="9981.66"/>
        <n v="5911.43"/>
        <n v="11759.76"/>
        <n v="10763.74"/>
        <n v="12020.94"/>
        <n v="7937.51"/>
        <n v="14106.26"/>
        <n v="13449.32"/>
        <n v="5928.76"/>
        <n v="13451.99"/>
        <n v="13156.76"/>
        <n v="8330.44"/>
        <n v="8200.81"/>
        <n v="8085.89"/>
        <n v="8121.45"/>
        <n v="8264.5"/>
        <n v="8275.48"/>
        <n v="8287.97"/>
        <n v="8314.16"/>
        <n v="12891.1"/>
        <n v="8205.78"/>
        <n v="8245.13"/>
        <n v="8367.04"/>
        <n v="8311.02"/>
        <n v="8063.87"/>
        <n v="6013.91"/>
        <n v="10174.07"/>
        <n v="12894.63"/>
        <n v="13540.46"/>
        <n v="12887.95"/>
        <n v="12895.0"/>
        <n v="12884.58"/>
        <n v="14167.51"/>
        <n v="6080.69"/>
        <n v="21945.27"/>
        <n v="13261.06"/>
        <n v="9220.47"/>
        <n v="9236.85"/>
        <n v="8172.89"/>
        <n v="8414.16"/>
        <n v="6862.9"/>
        <n v="8761.02"/>
        <n v="15812.1"/>
        <n v="15188.57"/>
        <n v="10013.79"/>
        <n v="14952.07"/>
        <n v="9771.85"/>
        <n v="10334.87"/>
        <n v="10405.98"/>
        <n v="9933.31"/>
        <n v="10334.33"/>
        <n v="8204.93"/>
        <n v="12238.31"/>
        <n v="8472.17"/>
        <n v="8207.88"/>
      </sharedItems>
    </cacheField>
    <cacheField name="Start Date of Excess Billing" numFmtId="14">
      <sharedItems containsSemiMixedTypes="0" containsDate="1" containsString="0">
        <d v="2025-04-01T00:00:00Z"/>
        <d v="2025-04-22T00:00:00Z"/>
      </sharedItems>
    </cacheField>
    <cacheField name="End Date of Excess Billing" numFmtId="14">
      <sharedItems containsSemiMixedTypes="0" containsDate="1" containsString="0">
        <d v="2025-06-30T00:00:00Z"/>
        <d v="2025-06-24T00:00:00Z"/>
        <d v="2025-06-26T00:00:00Z"/>
        <d v="2025-06-17T00:00:00Z"/>
        <d v="2025-06-18T00:00:00Z"/>
        <d v="2025-06-03T00:00:00Z"/>
        <d v="2025-05-31T00:00:00Z"/>
      </sharedItems>
    </cacheField>
    <cacheField name="Start Odo of Excess Billing" numFmtId="0">
      <sharedItems containsSemiMixedTypes="0" containsString="0" containsNumber="1" containsInteger="1">
        <n v="30301.0"/>
        <n v="169870.0"/>
        <n v="147088.0"/>
        <n v="173188.0"/>
        <n v="102507.0"/>
        <n v="114026.0"/>
        <n v="143988.0"/>
        <n v="123673.0"/>
        <n v="144169.0"/>
        <n v="29023.0"/>
        <n v="32699.0"/>
        <n v="24289.0"/>
        <n v="30054.0"/>
        <n v="65352.0"/>
        <n v="60754.0"/>
        <n v="38748.0"/>
        <n v="83188.0"/>
        <n v="17104.0"/>
        <n v="28285.0"/>
        <n v="28656.0"/>
        <n v="71704.0"/>
        <n v="32487.0"/>
        <n v="34223.0"/>
        <n v="46288.0"/>
        <n v="66849.0"/>
        <n v="39595.0"/>
        <n v="39669.0"/>
        <n v="6813.0"/>
        <n v="24475.0"/>
        <n v="10617.0"/>
        <n v="36303.0"/>
        <n v="32576.0"/>
        <n v="19889.0"/>
        <n v="14927.0"/>
        <n v="10974.0"/>
        <n v="65171.0"/>
        <n v="14333.0"/>
        <n v="12101.0"/>
        <n v="31071.0"/>
        <n v="29159.0"/>
        <n v="31520.0"/>
        <n v="29682.0"/>
        <n v="25267.0"/>
        <n v="35954.0"/>
        <n v="39656.0"/>
        <n v="21788.0"/>
        <n v="25185.0"/>
        <n v="64215.0"/>
        <n v="39269.0"/>
        <n v="32148.0"/>
        <n v="9822.0"/>
        <n v="84664.0"/>
        <n v="137017.0"/>
        <n v="8282.0"/>
        <n v="4165.0"/>
        <n v="39424.0"/>
        <n v="30356.0"/>
        <n v="29886.0"/>
        <n v="31004.0"/>
        <n v="29226.0"/>
        <n v="30781.0"/>
        <n v="28536.0"/>
        <n v="30484.0"/>
        <n v="29890.0"/>
        <n v="30512.0"/>
        <n v="5770.0"/>
        <n v="13809.0"/>
        <n v="97066.0"/>
        <n v="46908.0"/>
        <n v="32190.0"/>
        <n v="24812.0"/>
        <n v="22327.0"/>
        <n v="78373.0"/>
        <n v="30238.0"/>
        <n v="53991.0"/>
        <n v="90047.0"/>
        <n v="101452.0"/>
        <n v="90337.0"/>
        <n v="117505.0"/>
        <n v="24949.0"/>
        <n v="29636.0"/>
        <n v="37674.0"/>
        <n v="120793.0"/>
        <n v="28283.0"/>
        <n v="20201.0"/>
        <n v="111456.0"/>
        <n v="14981.0"/>
        <n v="16366.0"/>
        <n v="14552.0"/>
        <n v="23966.0"/>
        <n v="14784.0"/>
        <n v="49589.0"/>
        <n v="27364.0"/>
        <n v="31494.0"/>
        <n v="31383.0"/>
        <n v="32564.0"/>
        <n v="24010.0"/>
        <n v="6474.0"/>
        <n v="16177.0"/>
        <n v="14296.0"/>
        <n v="22745.0"/>
        <n v="23074.0"/>
        <n v="8419.0"/>
        <n v="13554.0"/>
        <n v="34978.0"/>
        <n v="30791.0"/>
        <n v="20549.0"/>
        <n v="22127.0"/>
        <n v="21599.0"/>
        <n v="45512.0"/>
        <n v="20396.0"/>
        <n v="17756.0"/>
        <n v="20900.0"/>
        <n v="27874.0"/>
        <n v="17671.0"/>
        <n v="12293.0"/>
        <n v="32300.0"/>
        <n v="20171.0"/>
        <n v="13969.0"/>
        <n v="18706.0"/>
        <n v="15142.0"/>
        <n v="25681.0"/>
        <n v="19421.0"/>
        <n v="17837.0"/>
        <n v="19662.0"/>
        <n v="23149.0"/>
        <n v="19226.0"/>
        <n v="21290.0"/>
        <n v="20101.0"/>
        <n v="18058.0"/>
        <n v="22036.0"/>
        <n v="21056.0"/>
        <n v="14464.0"/>
        <n v="21861.0"/>
        <n v="17568.0"/>
        <n v="23090.0"/>
        <n v="25001.0"/>
        <n v="26071.0"/>
        <n v="17307.0"/>
        <n v="10031.0"/>
        <n v="19303.0"/>
        <n v="21248.0"/>
        <n v="20378.0"/>
        <n v="23785.0"/>
        <n v="19425.0"/>
        <n v="19295.0"/>
        <n v="24476.0"/>
        <n v="20461.0"/>
        <n v="17730.0"/>
        <n v="20852.0"/>
        <n v="13706.0"/>
        <n v="16041.0"/>
        <n v="15550.0"/>
        <n v="25652.0"/>
        <n v="15101.0"/>
        <n v="21202.0"/>
        <n v="19899.0"/>
        <n v="20705.0"/>
        <n v="12152.0"/>
        <n v="31061.0"/>
        <n v="21231.0"/>
        <n v="23327.0"/>
        <n v="10431.0"/>
        <n v="12643.0"/>
        <n v="99465.0"/>
        <n v="23679.0"/>
        <n v="79971.0"/>
        <n v="8551.0"/>
        <n v="61309.0"/>
        <n v="117038.0"/>
        <n v="98737.0"/>
        <n v="100828.0"/>
        <n v="105732.0"/>
        <n v="18183.0"/>
        <n v="70489.0"/>
        <n v="50871.0"/>
        <n v="122119.0"/>
        <n v="108063.0"/>
        <n v="20012.0"/>
        <n v="67412.0"/>
        <n v="11996.0"/>
        <n v="8723.0"/>
        <n v="5149.0"/>
        <n v="66119.0"/>
        <n v="42529.0"/>
        <n v="41933.0"/>
        <n v="52939.0"/>
        <n v="43128.0"/>
        <n v="17598.0"/>
        <n v="77564.0"/>
        <n v="21583.0"/>
        <n v="111511.0"/>
        <n v="32254.0"/>
        <n v="65441.0"/>
        <n v="20655.0"/>
        <n v="35634.0"/>
        <n v="134437.0"/>
        <n v="170271.0"/>
        <n v="19965.0"/>
        <n v="26568.0"/>
        <n v="22740.0"/>
        <n v="24494.0"/>
        <n v="24445.0"/>
        <n v="29686.0"/>
        <n v="7073.0"/>
        <n v="26902.0"/>
        <n v="26036.0"/>
        <n v="18405.0"/>
        <n v="20929.0"/>
        <n v="18598.0"/>
        <n v="19044.0"/>
        <n v="13917.0"/>
        <n v="9381.0"/>
        <n v="18163.0"/>
        <n v="27100.0"/>
        <n v="49410.0"/>
        <n v="61500.0"/>
        <n v="87412.0"/>
        <n v="82237.0"/>
        <n v="83002.0"/>
        <n v="74932.0"/>
        <n v="8561.0"/>
        <n v="9299.0"/>
        <n v="14090.0"/>
        <n v="11392.0"/>
        <n v="13296.0"/>
        <n v="14335.0"/>
        <n v="12359.0"/>
        <n v="12176.0"/>
        <n v="16449.0"/>
        <n v="13976.0"/>
        <n v="9773.0"/>
        <n v="7850.0"/>
        <n v="16610.0"/>
        <n v="6063.0"/>
        <n v="16774.0"/>
        <n v="5978.0"/>
        <n v="18953.0"/>
        <n v="14964.0"/>
        <n v="18657.0"/>
        <n v="7864.0"/>
        <n v="9969.0"/>
        <n v="17123.0"/>
        <n v="16311.0"/>
        <n v="9796.0"/>
        <n v="9580.0"/>
        <n v="13638.0"/>
        <n v="12282.0"/>
        <n v="14862.0"/>
        <n v="15598.0"/>
        <n v="12117.0"/>
        <n v="19536.0"/>
        <n v="3159.0"/>
        <n v="4300.0"/>
        <n v="16575.0"/>
        <n v="17959.0"/>
        <n v="12008.0"/>
        <n v="14703.0"/>
        <n v="7098.0"/>
        <n v="11373.0"/>
        <n v="30060.0"/>
        <n v="43352.0"/>
        <n v="29876.0"/>
        <n v="94617.0"/>
        <n v="109524.0"/>
        <n v="34949.0"/>
        <n v="99215.0"/>
        <n v="104062.0"/>
        <n v="57741.0"/>
        <n v="59662.0"/>
        <n v="39961.0"/>
        <n v="37277.0"/>
        <n v="41474.0"/>
        <n v="102022.0"/>
        <n v="31106.0"/>
        <n v="89629.0"/>
        <n v="26250.0"/>
        <n v="18357.0"/>
        <n v="24129.0"/>
        <n v="49153.0"/>
        <n v="100099.0"/>
        <n v="91163.0"/>
        <n v="108260.0"/>
        <n v="81925.0"/>
        <n v="103620.0"/>
        <n v="20128.0"/>
        <n v="105878.0"/>
        <n v="100412.0"/>
        <n v="96213.0"/>
        <n v="60492.0"/>
        <n v="68514.0"/>
        <n v="45376.0"/>
        <n v="76396.0"/>
        <n v="55654.0"/>
        <n v="35705.0"/>
        <n v="42028.0"/>
        <n v="43375.0"/>
        <n v="48300.0"/>
        <n v="88538.0"/>
        <n v="58459.0"/>
        <n v="50555.0"/>
        <n v="70665.0"/>
        <n v="86046.0"/>
        <n v="25986.0"/>
        <n v="11110.0"/>
        <n v="101652.0"/>
        <n v="108451.0"/>
        <n v="126822.0"/>
        <n v="84652.0"/>
        <n v="63269.0"/>
        <n v="77732.0"/>
        <n v="59216.0"/>
        <n v="99841.0"/>
        <n v="41044.0"/>
        <n v="51022.0"/>
        <n v="47369.0"/>
        <n v="61152.0"/>
        <n v="46667.0"/>
        <n v="59865.0"/>
        <n v="52418.0"/>
        <n v="43804.0"/>
        <n v="21150.0"/>
        <n v="53457.0"/>
        <n v="58708.0"/>
        <n v="57407.0"/>
        <n v="31949.0"/>
        <n v="89582.0"/>
        <n v="46589.0"/>
        <n v="118929.0"/>
        <n v="15484.0"/>
        <n v="41782.0"/>
        <n v="12232.0"/>
        <n v="16866.0"/>
        <n v="16990.0"/>
        <n v="63595.0"/>
        <n v="33714.0"/>
        <n v="46370.0"/>
        <n v="106207.0"/>
        <n v="58508.0"/>
        <n v="50732.0"/>
        <n v="118846.0"/>
        <n v="73804.0"/>
        <n v="69056.0"/>
        <n v="29312.0"/>
        <n v="35140.0"/>
        <n v="11668.0"/>
        <n v="80314.0"/>
        <n v="93904.0"/>
        <n v="101657.0"/>
        <n v="33570.0"/>
        <n v="156909.0"/>
        <n v="114905.0"/>
        <n v="40477.0"/>
        <n v="17106.0"/>
        <n v="64312.0"/>
        <n v="45133.0"/>
        <n v="72136.0"/>
      </sharedItems>
    </cacheField>
    <cacheField name="End Odo of Excess Billing" numFmtId="0">
      <sharedItems containsSemiMixedTypes="0" containsString="0" containsNumber="1" containsInteger="1">
        <n v="33259.0"/>
        <n v="170185.0"/>
        <n v="151945.0"/>
        <n v="186447.0"/>
        <n v="102509.0"/>
        <n v="118471.0"/>
        <n v="149193.0"/>
        <n v="127816.0"/>
        <n v="147233.0"/>
        <n v="30478.0"/>
        <n v="37767.0"/>
        <n v="29399.0"/>
        <n v="32013.0"/>
        <n v="77624.0"/>
        <n v="73858.0"/>
        <n v="47715.0"/>
        <n v="87826.0"/>
        <n v="21248.0"/>
        <n v="35603.0"/>
        <n v="33199.0"/>
        <n v="85107.0"/>
        <n v="40158.0"/>
        <n v="42219.0"/>
        <n v="56246.0"/>
        <n v="85727.0"/>
        <n v="50214.0"/>
        <n v="43654.0"/>
        <n v="9516.0"/>
        <n v="31524.0"/>
        <n v="12188.0"/>
        <n v="41132.0"/>
        <n v="40742.0"/>
        <n v="32286.0"/>
        <n v="15360.0"/>
        <n v="17658.0"/>
        <n v="81977.0"/>
        <n v="20306.0"/>
        <n v="25962.0"/>
        <n v="38544.0"/>
        <n v="37650.0"/>
        <n v="40433.0"/>
        <n v="38454.0"/>
        <n v="33024.0"/>
        <n v="44591.0"/>
        <n v="46881.0"/>
        <n v="27788.0"/>
        <n v="33508.0"/>
        <n v="78788.0"/>
        <n v="46038.0"/>
        <n v="39676.0"/>
        <n v="11555.0"/>
        <n v="92757.0"/>
        <n v="149451.0"/>
        <n v="9551.0"/>
        <n v="4672.0"/>
        <n v="50721.0"/>
        <n v="39196.0"/>
        <n v="39451.0"/>
        <n v="39896.0"/>
        <n v="38115.0"/>
        <n v="39767.0"/>
        <n v="36725.0"/>
        <n v="38289.0"/>
        <n v="38683.0"/>
        <n v="30512.0"/>
        <n v="7819.0"/>
        <n v="18069.0"/>
        <n v="136930.0"/>
        <n v="63025.0"/>
        <n v="42114.0"/>
        <n v="28500.0"/>
        <n v="28080.0"/>
        <n v="96084.0"/>
        <n v="40502.0"/>
        <n v="54310.0"/>
        <n v="124152.0"/>
        <n v="128990.0"/>
        <n v="120874.0"/>
        <n v="141416.0"/>
        <n v="37697.0"/>
        <n v="46305.0"/>
        <n v="137115.0"/>
        <n v="35507.0"/>
        <n v="31217.0"/>
        <n v="143799.0"/>
        <n v="18769.0"/>
        <n v="33263.0"/>
        <n v="26285.0"/>
        <n v="29548.0"/>
        <n v="18280.0"/>
        <n v="70176.0"/>
        <n v="36806.0"/>
        <n v="44622.0"/>
        <n v="38551.0"/>
        <n v="40376.0"/>
        <n v="32883.0"/>
        <n v="8340.0"/>
        <n v="21237.0"/>
        <n v="19463.0"/>
        <n v="30377.0"/>
        <n v="31579.0"/>
        <n v="10668.0"/>
        <n v="20249.0"/>
        <n v="40191.0"/>
        <n v="43116.0"/>
        <n v="23482.0"/>
        <n v="30118.0"/>
        <n v="26642.0"/>
        <n v="70713.0"/>
        <n v="30389.0"/>
        <n v="32934.0"/>
        <n v="30045.0"/>
        <n v="37606.0"/>
        <n v="24129.0"/>
        <n v="17638.0"/>
        <n v="47204.0"/>
        <n v="30565.0"/>
        <n v="23085.0"/>
        <n v="29124.0"/>
        <n v="25784.0"/>
        <n v="28953.0"/>
        <n v="28412.0"/>
        <n v="25726.0"/>
        <n v="28645.0"/>
        <n v="32136.0"/>
        <n v="26482.0"/>
        <n v="29942.0"/>
        <n v="28576.0"/>
        <n v="24267.0"/>
        <n v="31016.0"/>
        <n v="31543.0"/>
        <n v="22188.0"/>
        <n v="32345.0"/>
        <n v="23475.0"/>
        <n v="31323.0"/>
        <n v="34426.0"/>
        <n v="32403.0"/>
        <n v="24633.0"/>
        <n v="18346.0"/>
        <n v="29130.0"/>
        <n v="31112.0"/>
        <n v="30832.0"/>
        <n v="33193.0"/>
        <n v="28314.0"/>
        <n v="29785.0"/>
        <n v="34744.0"/>
        <n v="32543.0"/>
        <n v="24675.0"/>
        <n v="33497.0"/>
        <n v="22872.0"/>
        <n v="22651.0"/>
        <n v="23711.0"/>
        <n v="37083.0"/>
        <n v="25979.0"/>
        <n v="31127.0"/>
        <n v="30676.0"/>
        <n v="30876.0"/>
        <n v="17176.0"/>
        <n v="42669.0"/>
        <n v="33332.0"/>
        <n v="16218.0"/>
        <n v="21909.0"/>
        <n v="140284.0"/>
        <n v="30705.0"/>
        <n v="115403.0"/>
        <n v="11450.0"/>
        <n v="70953.0"/>
        <n v="121020.0"/>
        <n v="103805.0"/>
        <n v="107595.0"/>
        <n v="107808.0"/>
        <n v="20547.0"/>
        <n v="73532.0"/>
        <n v="56009.0"/>
        <n v="132370.0"/>
        <n v="116231.0"/>
        <n v="23427.0"/>
        <n v="73184.0"/>
        <n v="20647.0"/>
        <n v="13054.0"/>
        <n v="9717.0"/>
        <n v="71297.0"/>
        <n v="48403.0"/>
        <n v="43791.0"/>
        <n v="56834.0"/>
        <n v="47115.0"/>
        <n v="22985.0"/>
        <n v="83081.0"/>
        <n v="25482.0"/>
        <n v="120892.0"/>
        <n v="36690.0"/>
        <n v="72026.0"/>
        <n v="21052.0"/>
        <n v="38211.0"/>
        <n v="139966.0"/>
        <n v="184838.0"/>
        <n v="29142.0"/>
        <n v="40155.0"/>
        <n v="31788.0"/>
        <n v="35436.0"/>
        <n v="39570.0"/>
        <n v="42095.0"/>
        <n v="10905.0"/>
        <n v="36525.0"/>
        <n v="35377.0"/>
        <n v="28452.0"/>
        <n v="26839.0"/>
        <n v="25899.0"/>
        <n v="26099.0"/>
        <n v="18829.0"/>
        <n v="13733.0"/>
        <n v="25701.0"/>
        <n v="45480.0"/>
        <n v="74876.0"/>
        <n v="89619.0"/>
        <n v="122579.0"/>
        <n v="104715.0"/>
        <n v="109522.0"/>
        <n v="95450.0"/>
        <n v="12701.0"/>
        <n v="14759.0"/>
        <n v="19268.0"/>
        <n v="16123.0"/>
        <n v="18134.0"/>
        <n v="21978.0"/>
        <n v="18772.0"/>
        <n v="16919.0"/>
        <n v="24138.0"/>
        <n v="21117.0"/>
        <n v="15900.0"/>
        <n v="13512.0"/>
        <n v="22355.0"/>
        <n v="12443.0"/>
        <n v="21888.0"/>
        <n v="8031.0"/>
        <n v="28726.0"/>
        <n v="22789.0"/>
        <n v="27183.0"/>
        <n v="12627.0"/>
        <n v="14473.0"/>
        <n v="27967.0"/>
        <n v="24467.0"/>
        <n v="16583.0"/>
        <n v="15215.0"/>
        <n v="23832.0"/>
        <n v="17018.0"/>
        <n v="16911.0"/>
        <n v="24327.0"/>
        <n v="18611.0"/>
        <n v="34844.0"/>
        <n v="5895.0"/>
        <n v="6896.0"/>
        <n v="32115.0"/>
        <n v="36498.0"/>
        <n v="21415.0"/>
        <n v="23103.0"/>
        <n v="27770.0"/>
        <n v="10788.0"/>
        <n v="21851.0"/>
        <n v="32167.0"/>
        <n v="47254.0"/>
        <n v="30580.0"/>
        <n v="97672.0"/>
        <n v="121517.0"/>
        <n v="36866.0"/>
        <n v="99670.0"/>
        <n v="111974.0"/>
        <n v="61110.0"/>
        <n v="62713.0"/>
        <n v="44116.0"/>
        <n v="40633.0"/>
        <n v="44266.0"/>
        <n v="110023.0"/>
        <n v="32362.0"/>
        <n v="96607.0"/>
        <n v="28365.0"/>
        <n v="20341.0"/>
        <n v="29950.0"/>
        <n v="51206.0"/>
        <n v="102993.0"/>
        <n v="101868.0"/>
        <n v="108260.0"/>
        <n v="87500.0"/>
        <n v="107785.0"/>
        <n v="21493.0"/>
        <n v="111749.0"/>
        <n v="107933.0"/>
        <n v="103747.0"/>
        <n v="62074.0"/>
        <n v="71800.0"/>
        <n v="47502.0"/>
        <n v="76396.0"/>
        <n v="56875.0"/>
        <n v="38332.0"/>
        <n v="47853.0"/>
        <n v="46178.0"/>
        <n v="52818.0"/>
        <n v="89954.0"/>
        <n v="61365.0"/>
        <n v="52757.0"/>
        <n v="72586.0"/>
        <n v="90002.0"/>
        <n v="27051.0"/>
        <n v="11994.0"/>
        <n v="111653.0"/>
        <n v="121357.0"/>
        <n v="137765.0"/>
        <n v="88004.0"/>
        <n v="66098.0"/>
        <n v="87516.0"/>
        <n v="62151.0"/>
        <n v="105781.0"/>
        <n v="43001.0"/>
        <n v="54403.0"/>
        <n v="48304.0"/>
        <n v="64188.0"/>
        <n v="50801.0"/>
        <n v="62926.0"/>
        <n v="58586.0"/>
        <n v="49148.0"/>
        <n v="26807.0"/>
        <n v="59435.0"/>
        <n v="62330.0"/>
        <n v="58656.0"/>
        <n v="32516.0"/>
        <n v="93080.0"/>
        <n v="47063.0"/>
        <n v="124632.0"/>
        <n v="21004.0"/>
        <n v="43835.0"/>
        <n v="16838.0"/>
        <n v="21808.0"/>
        <n v="20754.0"/>
        <n v="67920.0"/>
        <n v="35347.0"/>
        <n v="54740.0"/>
        <n v="114047.0"/>
        <n v="62415.0"/>
        <n v="54842.0"/>
        <n v="124414.0"/>
        <n v="78766.0"/>
        <n v="76765.0"/>
        <n v="31063.0"/>
        <n v="51749.0"/>
        <n v="34554.0"/>
        <n v="85407.0"/>
        <n v="99655.0"/>
        <n v="109674.0"/>
        <n v="35968.0"/>
        <n v="167161.0"/>
        <n v="121160.0"/>
        <n v="43817.0"/>
        <n v="18979.0"/>
        <n v="69896.0"/>
        <n v="48460.0"/>
        <n v="77786.0"/>
      </sharedItems>
    </cacheField>
    <cacheField name="Total KM Travelled" numFmtId="0">
      <sharedItems containsSemiMixedTypes="0" containsString="0" containsNumber="1" containsInteger="1">
        <n v="2958.0"/>
        <n v="315.0"/>
        <n v="4857.0"/>
        <n v="13259.0"/>
        <n v="2.0"/>
        <n v="4445.0"/>
        <n v="5205.0"/>
        <n v="4143.0"/>
        <n v="3064.0"/>
        <n v="1455.0"/>
        <n v="5068.0"/>
        <n v="5110.0"/>
        <n v="1959.0"/>
        <n v="12272.0"/>
        <n v="13104.0"/>
        <n v="8967.0"/>
        <n v="4638.0"/>
        <n v="4144.0"/>
        <n v="7318.0"/>
        <n v="4543.0"/>
        <n v="13403.0"/>
        <n v="7671.0"/>
        <n v="7996.0"/>
        <n v="9958.0"/>
        <n v="18878.0"/>
        <n v="10619.0"/>
        <n v="3985.0"/>
        <n v="2703.0"/>
        <n v="7049.0"/>
        <n v="1571.0"/>
        <n v="4829.0"/>
        <n v="8166.0"/>
        <n v="12397.0"/>
        <n v="433.0"/>
        <n v="6684.0"/>
        <n v="16806.0"/>
        <n v="5973.0"/>
        <n v="13861.0"/>
        <n v="7473.0"/>
        <n v="8491.0"/>
        <n v="8913.0"/>
        <n v="8772.0"/>
        <n v="7757.0"/>
        <n v="8637.0"/>
        <n v="7225.0"/>
        <n v="6000.0"/>
        <n v="8323.0"/>
        <n v="14573.0"/>
        <n v="6769.0"/>
        <n v="7528.0"/>
        <n v="1733.0"/>
        <n v="8093.0"/>
        <n v="12434.0"/>
        <n v="1269.0"/>
        <n v="507.0"/>
        <n v="11297.0"/>
        <n v="8840.0"/>
        <n v="9565.0"/>
        <n v="8892.0"/>
        <n v="8889.0"/>
        <n v="8986.0"/>
        <n v="8189.0"/>
        <n v="7805.0"/>
        <n v="8793.0"/>
        <n v="0.0"/>
        <n v="2049.0"/>
        <n v="4260.0"/>
        <n v="39864.0"/>
        <n v="16117.0"/>
        <n v="9924.0"/>
        <n v="3688.0"/>
        <n v="5753.0"/>
        <n v="17711.0"/>
        <n v="10264.0"/>
        <n v="319.0"/>
        <n v="34105.0"/>
        <n v="27538.0"/>
        <n v="30537.0"/>
        <n v="23911.0"/>
        <n v="8250.0"/>
        <n v="8061.0"/>
        <n v="8631.0"/>
        <n v="16322.0"/>
        <n v="7224.0"/>
        <n v="11016.0"/>
        <n v="32343.0"/>
        <n v="3788.0"/>
        <n v="16897.0"/>
        <n v="11733.0"/>
        <n v="5582.0"/>
        <n v="3496.0"/>
        <n v="20587.0"/>
        <n v="9442.0"/>
        <n v="13128.0"/>
        <n v="7168.0"/>
        <n v="7812.0"/>
        <n v="8873.0"/>
        <n v="1866.0"/>
        <n v="5060.0"/>
        <n v="5167.0"/>
        <n v="7632.0"/>
        <n v="8505.0"/>
        <n v="2249.0"/>
        <n v="6695.0"/>
        <n v="5213.0"/>
        <n v="12325.0"/>
        <n v="2933.0"/>
        <n v="7991.0"/>
        <n v="5043.0"/>
        <n v="25201.0"/>
        <n v="9993.0"/>
        <n v="15178.0"/>
        <n v="9145.0"/>
        <n v="9732.0"/>
        <n v="6458.0"/>
        <n v="5345.0"/>
        <n v="14904.0"/>
        <n v="10394.0"/>
        <n v="9116.0"/>
        <n v="10418.0"/>
        <n v="10642.0"/>
        <n v="3272.0"/>
        <n v="8991.0"/>
        <n v="7889.0"/>
        <n v="8983.0"/>
        <n v="8987.0"/>
        <n v="7256.0"/>
        <n v="8652.0"/>
        <n v="8475.0"/>
        <n v="6209.0"/>
        <n v="8980.0"/>
        <n v="10487.0"/>
        <n v="7724.0"/>
        <n v="10484.0"/>
        <n v="5907.0"/>
        <n v="8233.0"/>
        <n v="9425.0"/>
        <n v="6332.0"/>
        <n v="7326.0"/>
        <n v="8315.0"/>
        <n v="9827.0"/>
        <n v="9864.0"/>
        <n v="10454.0"/>
        <n v="9408.0"/>
        <n v="10490.0"/>
        <n v="10268.0"/>
        <n v="12082.0"/>
        <n v="6945.0"/>
        <n v="12645.0"/>
        <n v="9166.0"/>
        <n v="6610.0"/>
        <n v="8161.0"/>
        <n v="11431.0"/>
        <n v="10878.0"/>
        <n v="9925.0"/>
        <n v="10777.0"/>
        <n v="10171.0"/>
        <n v="5024.0"/>
        <n v="11608.0"/>
        <n v="21438.0"/>
        <n v="10005.0"/>
        <n v="5787.0"/>
        <n v="9266.0"/>
        <n v="40819.0"/>
        <n v="7026.0"/>
        <n v="35432.0"/>
        <n v="2899.0"/>
        <n v="9644.0"/>
        <n v="3982.0"/>
        <n v="6767.0"/>
        <n v="2076.0"/>
        <n v="2364.0"/>
        <n v="3043.0"/>
        <n v="5138.0"/>
        <n v="10251.0"/>
        <n v="8168.0"/>
        <n v="3415.0"/>
        <n v="5772.0"/>
        <n v="8651.0"/>
        <n v="4331.0"/>
        <n v="4568.0"/>
        <n v="5178.0"/>
        <n v="5874.0"/>
        <n v="1858.0"/>
        <n v="3895.0"/>
        <n v="3987.0"/>
        <n v="5387.0"/>
        <n v="5517.0"/>
        <n v="3899.0"/>
        <n v="9381.0"/>
        <n v="4436.0"/>
        <n v="6585.0"/>
        <n v="397.0"/>
        <n v="2577.0"/>
        <n v="5529.0"/>
        <n v="14567.0"/>
        <n v="9177.0"/>
        <n v="13587.0"/>
        <n v="9048.0"/>
        <n v="10942.0"/>
        <n v="15125.0"/>
        <n v="12409.0"/>
        <n v="3832.0"/>
        <n v="9623.0"/>
        <n v="9341.0"/>
        <n v="10047.0"/>
        <n v="5910.0"/>
        <n v="7301.0"/>
        <n v="7055.0"/>
        <n v="4912.0"/>
        <n v="4352.0"/>
        <n v="7538.0"/>
        <n v="18380.0"/>
        <n v="25466.0"/>
        <n v="28119.0"/>
        <n v="35167.0"/>
        <n v="22478.0"/>
        <n v="26520.0"/>
        <n v="20518.0"/>
        <n v="4140.0"/>
        <n v="5460.0"/>
        <n v="4731.0"/>
        <n v="4838.0"/>
        <n v="7643.0"/>
        <n v="6413.0"/>
        <n v="4743.0"/>
        <n v="7689.0"/>
        <n v="7141.0"/>
        <n v="6127.0"/>
        <n v="5662.0"/>
        <n v="5745.0"/>
        <n v="6380.0"/>
        <n v="5114.0"/>
        <n v="2053.0"/>
        <n v="9773.0"/>
        <n v="7825.0"/>
        <n v="8526.0"/>
        <n v="4763.0"/>
        <n v="4504.0"/>
        <n v="10844.0"/>
        <n v="8156.0"/>
        <n v="6787.0"/>
        <n v="5635.0"/>
        <n v="10194.0"/>
        <n v="4736.0"/>
        <n v="8729.0"/>
        <n v="6494.0"/>
        <n v="15308.0"/>
        <n v="2736.0"/>
        <n v="2596.0"/>
        <n v="15540.0"/>
        <n v="18539.0"/>
        <n v="9407.0"/>
        <n v="9134.0"/>
        <n v="13067.0"/>
        <n v="3690.0"/>
        <n v="10478.0"/>
        <n v="2107.0"/>
        <n v="3902.0"/>
        <n v="704.0"/>
        <n v="3055.0"/>
        <n v="11993.0"/>
        <n v="1917.0"/>
        <n v="455.0"/>
        <n v="7912.0"/>
        <n v="3369.0"/>
        <n v="3051.0"/>
        <n v="4155.0"/>
        <n v="3356.0"/>
        <n v="2792.0"/>
        <n v="8001.0"/>
        <n v="1256.0"/>
        <n v="6978.0"/>
        <n v="2115.0"/>
        <n v="1984.0"/>
        <n v="5821.0"/>
        <n v="2894.0"/>
        <n v="10705.0"/>
        <n v="5575.0"/>
        <n v="4165.0"/>
        <n v="1365.0"/>
        <n v="5871.0"/>
        <n v="7521.0"/>
        <n v="7534.0"/>
        <n v="1582.0"/>
        <n v="3286.0"/>
        <n v="2126.0"/>
        <n v="1221.0"/>
        <n v="2627.0"/>
        <n v="5825.0"/>
        <n v="2803.0"/>
        <n v="4518.0"/>
        <n v="1416.0"/>
        <n v="2906.0"/>
        <n v="2202.0"/>
        <n v="1921.0"/>
        <n v="3956.0"/>
        <n v="1065.0"/>
        <n v="884.0"/>
        <n v="10001.0"/>
        <n v="12906.0"/>
        <n v="10943.0"/>
        <n v="3352.0"/>
        <n v="2829.0"/>
        <n v="9784.0"/>
        <n v="2935.0"/>
        <n v="5940.0"/>
        <n v="1957.0"/>
        <n v="3381.0"/>
        <n v="935.0"/>
        <n v="3036.0"/>
        <n v="4134.0"/>
        <n v="3061.0"/>
        <n v="6168.0"/>
        <n v="5344.0"/>
        <n v="5657.0"/>
        <n v="5978.0"/>
        <n v="3622.0"/>
        <n v="1249.0"/>
        <n v="567.0"/>
        <n v="3498.0"/>
        <n v="474.0"/>
        <n v="5703.0"/>
        <n v="5520.0"/>
        <n v="4606.0"/>
        <n v="4942.0"/>
        <n v="3764.0"/>
        <n v="4325.0"/>
        <n v="1633.0"/>
        <n v="8370.0"/>
        <n v="7840.0"/>
        <n v="3907.0"/>
        <n v="4110.0"/>
        <n v="5568.0"/>
        <n v="4962.0"/>
        <n v="7709.0"/>
        <n v="1751.0"/>
        <n v="16609.0"/>
        <n v="22886.0"/>
        <n v="5093.0"/>
        <n v="5751.0"/>
        <n v="8017.0"/>
        <n v="2398.0"/>
        <n v="10252.0"/>
        <n v="6255.0"/>
        <n v="3340.0"/>
        <n v="1873.0"/>
        <n v="5584.0"/>
        <n v="3327.0"/>
        <n v="5650.0"/>
      </sharedItems>
    </cacheField>
    <cacheField name="Allowed KM" numFmtId="0">
      <sharedItems containsSemiMixedTypes="0" containsString="0" containsNumber="1" containsInteger="1">
        <n v="4500.0"/>
        <n v="7500.0"/>
        <n v="9000.0"/>
        <n v="6000.0"/>
        <n v="30000.0"/>
        <n v="10500.0"/>
        <n v="15000.0"/>
        <n v="8100.0"/>
        <n v="12000.0"/>
        <n v="13500.0"/>
        <n v="20387.0"/>
        <n v="45000.0"/>
        <n v="40500.0"/>
        <n v="42500.0"/>
        <n v="40000.0"/>
        <n v="10000.0"/>
        <n v="21000.0"/>
        <n v="13000.0"/>
        <n v="11001.0"/>
        <n v="14000.0"/>
        <n v="14500.0"/>
        <n v="42000.0"/>
        <n v="38000.0"/>
        <n v="7000.0"/>
        <n v="5250.0"/>
        <n v="6600.0"/>
        <n v="6900.0"/>
        <n v="16500.0"/>
        <n v="4200.0"/>
        <n v="6500.0"/>
        <n v="5000.0"/>
        <n v="5500.0"/>
        <n v="4197.0"/>
      </sharedItems>
    </cacheField>
    <cacheField name="Excess KM Travelled" numFmtId="0">
      <sharedItems containsSemiMixedTypes="0" containsString="0" containsNumber="1" containsInteger="1">
        <n v="-1542.0"/>
        <n v="-7185.0"/>
        <n v="-4143.0"/>
        <n v="5759.0"/>
        <n v="-7498.0"/>
        <n v="-3055.0"/>
        <n v="-2295.0"/>
        <n v="-4857.0"/>
        <n v="-5936.0"/>
        <n v="-3045.0"/>
        <n v="-3932.0"/>
        <n v="610.0"/>
        <n v="-7041.0"/>
        <n v="6272.0"/>
        <n v="8604.0"/>
        <n v="-33.0"/>
        <n v="-2862.0"/>
        <n v="-356.0"/>
        <n v="-1682.0"/>
        <n v="-4457.0"/>
        <n v="-16597.0"/>
        <n v="-2829.0"/>
        <n v="-2504.0"/>
        <n v="-5042.0"/>
        <n v="10778.0"/>
        <n v="3119.0"/>
        <n v="-3515.0"/>
        <n v="-4797.0"/>
        <n v="-3451.0"/>
        <n v="-4429.0"/>
        <n v="-10171.0"/>
        <n v="666.0"/>
        <n v="4897.0"/>
        <n v="-7067.0"/>
        <n v="-816.0"/>
        <n v="4806.0"/>
        <n v="-1527.0"/>
        <n v="7861.0"/>
        <n v="-509.0"/>
        <n v="-87.0"/>
        <n v="-228.0"/>
        <n v="-1243.0"/>
        <n v="-363.0"/>
        <n v="-6275.0"/>
        <n v="-9000.0"/>
        <n v="-6677.0"/>
        <n v="-15427.0"/>
        <n v="-2231.0"/>
        <n v="-22472.0"/>
        <n v="-5767.0"/>
        <n v="593.0"/>
        <n v="-7953.0"/>
        <n v="-3231.0"/>
        <n v="-3993.0"/>
        <n v="-33703.0"/>
        <n v="-160.0"/>
        <n v="565.0"/>
        <n v="-108.0"/>
        <n v="-111.0"/>
        <n v="-14.0"/>
        <n v="-811.0"/>
        <n v="-1195.0"/>
        <n v="-207.0"/>
        <n v="-5451.0"/>
        <n v="-3240.0"/>
        <n v="-636.0"/>
        <n v="-13883.0"/>
        <n v="-5076.0"/>
        <n v="-11312.0"/>
        <n v="-3247.0"/>
        <n v="-27289.0"/>
        <n v="-4736.0"/>
        <n v="-44681.0"/>
        <n v="-10895.0"/>
        <n v="-17462.0"/>
        <n v="-14463.0"/>
        <n v="-21089.0"/>
        <n v="-750.0"/>
        <n v="-6939.0"/>
        <n v="-6369.0"/>
        <n v="-26178.0"/>
        <n v="-1776.0"/>
        <n v="5016.0"/>
        <n v="-7657.0"/>
        <n v="-2212.0"/>
        <n v="10897.0"/>
        <n v="5733.0"/>
        <n v="-4418.0"/>
        <n v="5587.0"/>
        <n v="-5558.0"/>
        <n v="-1872.0"/>
        <n v="-7832.0"/>
        <n v="-2688.0"/>
        <n v="-4627.0"/>
        <n v="-2634.0"/>
        <n v="-3940.0"/>
        <n v="-3833.0"/>
        <n v="-1368.0"/>
        <n v="-495.0"/>
        <n v="-2251.0"/>
        <n v="-8305.0"/>
        <n v="-2287.0"/>
        <n v="-1175.0"/>
        <n v="-7567.0"/>
        <n v="-1009.0"/>
        <n v="-3957.0"/>
        <n v="-6185.0"/>
        <n v="-507.0"/>
        <n v="6178.0"/>
        <n v="-1355.0"/>
        <n v="732.0"/>
        <n v="-4042.0"/>
        <n v="-5155.0"/>
        <n v="-6096.0"/>
        <n v="1394.0"/>
        <n v="-1384.0"/>
        <n v="1418.0"/>
        <n v="1642.0"/>
        <n v="-5728.0"/>
        <n v="-9.0"/>
        <n v="-1111.0"/>
        <n v="-17.0"/>
        <n v="-13.0"/>
        <n v="-1744.0"/>
        <n v="-348.0"/>
        <n v="-525.0"/>
        <n v="-2791.0"/>
        <n v="-20.0"/>
        <n v="-2776.0"/>
        <n v="-16.0"/>
        <n v="-3093.0"/>
        <n v="-767.0"/>
        <n v="-1075.0"/>
        <n v="-4168.0"/>
        <n v="-3174.0"/>
        <n v="-2185.0"/>
        <n v="-673.0"/>
        <n v="-46.0"/>
        <n v="-1092.0"/>
        <n v="-10.0"/>
        <n v="-232.0"/>
        <n v="-2918.0"/>
        <n v="-2055.0"/>
        <n v="-2355.0"/>
        <n v="-3834.0"/>
        <n v="-6890.0"/>
        <n v="-2840.0"/>
        <n v="2431.0"/>
        <n v="-3122.0"/>
        <n v="-4575.0"/>
        <n v="-3723.0"/>
        <n v="-4829.0"/>
        <n v="524.0"/>
        <n v="1108.0"/>
        <n v="12438.0"/>
        <n v="-3495.0"/>
        <n v="-213.0"/>
        <n v="-1735.0"/>
        <n v="-1181.0"/>
        <n v="-3975.0"/>
        <n v="-2568.0"/>
        <n v="-1601.0"/>
        <n v="3644.0"/>
        <n v="-6518.0"/>
        <n v="-2233.0"/>
        <n v="-8424.0"/>
        <n v="-2136.0"/>
        <n v="-5957.0"/>
        <n v="-862.0"/>
        <n v="3251.0"/>
        <n v="-832.0"/>
        <n v="-1085.0"/>
        <n v="4151.0"/>
        <n v="-169.0"/>
        <n v="68.0"/>
        <n v="-3822.0"/>
        <n v="1374.0"/>
        <n v="-5642.0"/>
        <n v="-5105.0"/>
        <n v="-11013.0"/>
        <n v="-5113.0"/>
        <n v="-1983.0"/>
        <n v="-601.0"/>
        <n v="1881.0"/>
        <n v="-3064.0"/>
        <n v="1335.0"/>
        <n v="-4103.0"/>
        <n v="-1923.0"/>
        <n v="-3471.0"/>
        <n v="5567.0"/>
        <n v="-2823.0"/>
        <n v="1587.0"/>
        <n v="-1452.0"/>
        <n v="-2558.0"/>
        <n v="3125.0"/>
        <n v="409.0"/>
        <n v="-668.0"/>
        <n v="-2377.0"/>
        <n v="-2659.0"/>
        <n v="2547.0"/>
        <n v="-690.0"/>
        <n v="-1699.0"/>
        <n v="-1945.0"/>
        <n v="-1088.0"/>
        <n v="-2548.0"/>
        <n v="938.0"/>
        <n v="-26620.0"/>
        <n v="-19534.0"/>
        <n v="-16881.0"/>
        <n v="-9833.0"/>
        <n v="-22522.0"/>
        <n v="-18480.0"/>
        <n v="-24482.0"/>
        <n v="-2760.0"/>
        <n v="-3540.0"/>
        <n v="-4269.0"/>
        <n v="-2062.0"/>
        <n v="-1357.0"/>
        <n v="-487.0"/>
        <n v="-4257.0"/>
        <n v="-1311.0"/>
        <n v="-1859.0"/>
        <n v="-2873.0"/>
        <n v="-3338.0"/>
        <n v="-3255.0"/>
        <n v="-2620.0"/>
        <n v="-3886.0"/>
        <n v="-14447.0"/>
        <n v="-6727.0"/>
        <n v="-474.0"/>
        <n v="-10237.0"/>
        <n v="-10496.0"/>
        <n v="-4156.0"/>
        <n v="-844.0"/>
        <n v="-2213.0"/>
        <n v="-1865.0"/>
        <n v="-4806.0"/>
        <n v="-4264.0"/>
        <n v="-6951.0"/>
        <n v="-271.0"/>
        <n v="-1006.0"/>
        <n v="-5692.0"/>
        <n v="-3264.0"/>
        <n v="-3404.0"/>
        <n v="540.0"/>
        <n v="-2461.0"/>
        <n v="407.0"/>
        <n v="134.0"/>
        <n v="-1933.0"/>
        <n v="-11310.0"/>
        <n v="1478.0"/>
        <n v="-2393.0"/>
        <n v="-598.0"/>
        <n v="-9796.0"/>
        <n v="-4445.0"/>
        <n v="2993.0"/>
        <n v="-2283.0"/>
        <n v="-6045.0"/>
        <n v="912.0"/>
        <n v="-1131.0"/>
        <n v="-1449.0"/>
        <n v="-45.0"/>
        <n v="-1144.0"/>
        <n v="-1708.0"/>
        <n v="2001.0"/>
        <n v="-2944.0"/>
        <n v="2478.0"/>
        <n v="-2385.0"/>
        <n v="-2516.0"/>
        <n v="1621.0"/>
        <n v="-2147.0"/>
        <n v="-6106.0"/>
        <n v="3205.0"/>
        <n v="-6000.0"/>
        <n v="1375.0"/>
        <n v="-1835.0"/>
        <n v="-3135.0"/>
        <n v="-129.0"/>
        <n v="2521.0"/>
        <n v="2534.0"/>
        <n v="-3214.0"/>
        <n v="-2374.0"/>
        <n v="-5500.0"/>
        <n v="-7779.0"/>
        <n v="-1873.0"/>
        <n v="1628.0"/>
        <n v="-1397.0"/>
        <n v="-1482.0"/>
        <n v="-3084.0"/>
        <n v="-1594.0"/>
        <n v="-1998.0"/>
        <n v="-7079.0"/>
        <n v="-2044.0"/>
        <n v="-3316.0"/>
        <n v="4001.0"/>
        <n v="5406.0"/>
        <n v="1943.0"/>
        <n v="-5648.0"/>
        <n v="-3171.0"/>
        <n v="5584.0"/>
        <n v="-1565.0"/>
        <n v="-1560.0"/>
        <n v="-2543.0"/>
        <n v="-1119.0"/>
        <n v="-3565.0"/>
        <n v="-1464.0"/>
        <n v="-366.0"/>
        <n v="-1439.0"/>
        <n v="1668.0"/>
        <n v="844.0"/>
        <n v="1157.0"/>
        <n v="-878.0"/>
        <n v="-3251.0"/>
        <n v="-3933.0"/>
        <n v="-2502.0"/>
        <n v="-4026.0"/>
        <n v="-1797.0"/>
        <n v="1020.0"/>
        <n v="-2447.0"/>
        <n v="106.0"/>
        <n v="442.0"/>
        <n v="-736.0"/>
        <n v="-3175.0"/>
        <n v="-2867.0"/>
        <n v="-12630.0"/>
        <n v="340.0"/>
        <n v="-593.0"/>
        <n v="-390.0"/>
        <n v="-1932.0"/>
        <n v="-2538.0"/>
        <n v="209.0"/>
        <n v="-5749.0"/>
        <n v="7609.0"/>
        <n v="12386.0"/>
        <n v="-249.0"/>
        <n v="2017.0"/>
        <n v="-2102.0"/>
        <n v="1252.0"/>
        <n v="-1245.0"/>
        <n v="368.0"/>
        <n v="-2627.0"/>
        <n v="-3416.0"/>
        <n v="-1173.0"/>
        <n v="1150.0"/>
      </sharedItems>
    </cacheField>
    <cacheField name="Excess RM (CPK)" numFmtId="165">
      <sharedItems containsSemiMixedTypes="0" containsString="0" containsNumber="1">
        <n v="0.44"/>
        <n v="0.79"/>
        <n v="0.89"/>
        <n v="0.51"/>
        <n v="0.66"/>
        <n v="0.38"/>
        <n v="0.63"/>
        <n v="0.52"/>
        <n v="0.69"/>
        <n v="0.72"/>
        <n v="0.76"/>
        <n v="0.64"/>
        <n v="0.46"/>
        <n v="0.92"/>
        <n v="0.47"/>
        <n v="0.55"/>
        <n v="0.7"/>
        <n v="0.86"/>
        <n v="0.71"/>
        <n v="0.61"/>
        <n v="0.39"/>
        <n v="0.81"/>
        <n v="0.91"/>
        <n v="0.49"/>
        <n v="0.82"/>
        <n v="0.77"/>
        <n v="0.53"/>
        <n v="1.1"/>
        <n v="0.97"/>
        <n v="0.75"/>
        <n v="0.83"/>
        <n v="0.68"/>
        <n v="0.62"/>
        <n v="0.56"/>
        <n v="0.59"/>
        <n v="0.43"/>
        <n v="0.48"/>
        <n v="0.57"/>
        <n v="0.78"/>
        <n v="0.6"/>
        <n v="0.87"/>
        <n v="0.85"/>
        <n v="0.54"/>
        <n v="1.03"/>
        <n v="0.41"/>
        <n v="0.5"/>
        <n v="0.58"/>
        <n v="0.45"/>
        <n v="1.5"/>
        <n v="0.42"/>
        <n v="0.37"/>
        <n v="0.32"/>
        <n v="0.67"/>
      </sharedItems>
    </cacheField>
    <cacheField name="Excess RV (CPK)" numFmtId="165">
      <sharedItems containsSemiMixedTypes="0" containsString="0" containsNumber="1">
        <n v="1.4"/>
        <n v="1.19"/>
        <n v="1.36"/>
        <n v="1.42"/>
        <n v="2.97"/>
        <n v="1.49"/>
        <n v="1.83"/>
        <n v="1.3"/>
        <n v="1.01"/>
        <n v="1.0"/>
        <n v="1.16"/>
        <n v="1.96"/>
        <n v="2.24"/>
        <n v="1.07"/>
        <n v="0.9"/>
        <n v="2.29"/>
        <n v="2.18"/>
        <n v="0.67"/>
        <n v="1.54"/>
        <n v="2.15"/>
        <n v="2.79"/>
        <n v="0.91"/>
        <n v="0.83"/>
        <n v="3.06"/>
        <n v="1.38"/>
        <n v="2.78"/>
        <n v="1.24"/>
        <n v="0.62"/>
        <n v="2.13"/>
        <n v="0.96"/>
        <n v="0.95"/>
        <n v="1.08"/>
        <n v="1.17"/>
        <n v="2.85"/>
        <n v="0.57"/>
        <n v="2.52"/>
        <n v="3.71"/>
        <n v="1.99"/>
        <n v="0.94"/>
        <n v="1.13"/>
        <n v="0.55"/>
        <n v="1.21"/>
        <n v="1.6"/>
        <n v="1.04"/>
        <n v="1.22"/>
        <n v="0.97"/>
        <n v="1.34"/>
        <n v="1.56"/>
        <n v="1.02"/>
        <n v="1.81"/>
        <n v="1.48"/>
        <n v="1.25"/>
        <n v="1.06"/>
        <n v="2.43"/>
        <n v="1.2"/>
        <n v="1.15"/>
        <n v="1.32"/>
        <n v="1.72"/>
        <n v="2.41"/>
        <n v="1.29"/>
        <n v="1.53"/>
        <n v="0.81"/>
        <n v="2.98"/>
        <n v="1.63"/>
        <n v="2.31"/>
        <n v="1.59"/>
        <n v="1.8"/>
        <n v="2.87"/>
        <n v="2.94"/>
        <n v="3.04"/>
        <n v="1.75"/>
        <n v="1.77"/>
        <n v="1.95"/>
        <n v="3.94"/>
        <n v="2.62"/>
        <n v="1.76"/>
        <n v="0.99"/>
        <n v="0.98"/>
        <n v="1.46"/>
        <n v="3.33"/>
        <n v="2.07"/>
        <n v="1.78"/>
        <n v="1.12"/>
        <n v="1.51"/>
        <n v="3.18"/>
        <n v="2.44"/>
        <n v="1.88"/>
        <n v="0.7"/>
        <n v="1.43"/>
        <n v="2.82"/>
        <n v="1.94"/>
        <n v="2.36"/>
        <n v="3.08"/>
        <n v="4.87"/>
        <n v="2.16"/>
        <n v="2.0"/>
        <n v="0.88"/>
        <n v="2.75"/>
        <n v="2.84"/>
        <n v="0.93"/>
        <n v="1.66"/>
        <n v="1.1"/>
        <n v="1.45"/>
        <n v="2.25"/>
        <n v="1.5"/>
        <n v="2.01"/>
        <n v="1.68"/>
        <n v="1.62"/>
        <n v="1.69"/>
        <n v="2.5"/>
        <n v="5.05"/>
        <n v="2.76"/>
        <n v="2.34"/>
        <n v="3.1"/>
        <n v="2.06"/>
        <n v="2.58"/>
        <n v="2.54"/>
        <n v="2.26"/>
        <n v="2.42"/>
        <n v="2.47"/>
        <n v="2.53"/>
        <n v="2.35"/>
        <n v="2.63"/>
        <n v="2.49"/>
        <n v="5.18"/>
        <n v="2.64"/>
        <n v="3.05"/>
        <n v="3.09"/>
        <n v="1.87"/>
        <n v="3.22"/>
        <n v="4.09"/>
        <n v="1.41"/>
        <n v="2.21"/>
        <n v="2.04"/>
      </sharedItems>
    </cacheField>
    <cacheField name="Excess RM Amount" numFmtId="165">
      <sharedItems containsSemiMixedTypes="0" containsString="0" containsNumber="1">
        <n v="0.0"/>
        <n v="5125.51"/>
        <n v="268.4"/>
        <n v="4139.52"/>
        <n v="5678.64"/>
        <n v="8514.62"/>
        <n v="2245.68"/>
        <n v="479.52"/>
        <n v="3525.84"/>
        <n v="3460.32"/>
        <n v="7232.12"/>
        <n v="415.1"/>
        <n v="355.95"/>
        <n v="4564.56"/>
        <n v="9916.27"/>
        <n v="5217.03"/>
        <n v="2570.02"/>
        <n v="4324.6"/>
        <n v="505.08"/>
        <n v="1073.38"/>
        <n v="935.88"/>
        <n v="1083.72"/>
        <n v="1871.87"/>
        <n v="576.4"/>
        <n v="1074.76"/>
        <n v="8582.22"/>
        <n v="3316.04"/>
        <n v="2308.21"/>
        <n v="3362.31"/>
        <n v="1085.46"/>
        <n v="1072.17"/>
        <n v="934.5"/>
        <n v="3952.57"/>
        <n v="1110.9"/>
        <n v="2187.5"/>
        <n v="2114.01"/>
        <n v="769.16"/>
        <n v="1019.82"/>
        <n v="1436.64"/>
        <n v="456.0"/>
        <n v="1140.57"/>
        <n v="1412.46"/>
        <n v="713.24"/>
        <n v="1858.9"/>
        <n v="783.75"/>
        <n v="1436.97"/>
        <n v="1444.38"/>
        <n v="814.0"/>
        <n v="1880.47"/>
        <n v="2703.0"/>
        <n v="1612.69"/>
        <n v="3071.2"/>
        <n v="1150.92"/>
        <n v="590.8"/>
        <n v="1052.87"/>
        <n v="798.12"/>
        <n v="928.2"/>
        <n v="402.22"/>
        <n v="3576.23"/>
        <n v="5697.56"/>
        <n v="444.75"/>
        <n v="1290.88"/>
        <n v="838.84"/>
        <n v="908.5"/>
      </sharedItems>
    </cacheField>
    <cacheField name="Excess RV Amount" numFmtId="165">
      <sharedItems containsSemiMixedTypes="0" containsString="0" containsNumber="1">
        <n v="0.0"/>
        <n v="7832.24"/>
        <n v="1811.7"/>
        <n v="9345.28"/>
        <n v="15745.32"/>
        <n v="24681.62"/>
        <n v="6799.42"/>
        <n v="1451.88"/>
        <n v="10675.46"/>
        <n v="10477.08"/>
        <n v="21932.19"/>
        <n v="818.34"/>
        <n v="672.35"/>
        <n v="18609.36"/>
        <n v="40427.87"/>
        <n v="21269.43"/>
        <n v="6536.79"/>
        <n v="7537.16"/>
        <n v="885.72"/>
        <n v="1686.74"/>
        <n v="2212.08"/>
        <n v="2561.52"/>
        <n v="2941.51"/>
        <n v="1273.32"/>
        <n v="1108.0"/>
        <n v="15049.98"/>
        <n v="8782.04"/>
        <n v="5169.09"/>
        <n v="11913.37"/>
        <n v="4204.44"/>
        <n v="3442.23"/>
        <n v="3497.7"/>
        <n v="9797.92"/>
        <n v="1713.96"/>
        <n v="3093.75"/>
        <n v="3718.62"/>
        <n v="3123.54"/>
        <n v="1788.38"/>
        <n v="5806.42"/>
        <n v="2808.96"/>
        <n v="1760.88"/>
        <n v="3270.96"/>
        <n v="4603.64"/>
        <n v="2980.65"/>
        <n v="1925.0"/>
        <n v="3025.2"/>
        <n v="2787.4"/>
        <n v="4265.36"/>
        <n v="10082.52"/>
        <n v="13515.0"/>
        <n v="5362.68"/>
        <n v="8320.16"/>
        <n v="4119.96"/>
        <n v="2143.76"/>
        <n v="3297.45"/>
        <n v="3739.34"/>
        <n v="2907.0"/>
        <n v="1259.7"/>
        <n v="16207.17"/>
        <n v="23161.82"/>
        <n v="1909.46"/>
        <n v="4719.78"/>
        <n v="1765.32"/>
        <n v="2541.5"/>
      </sharedItems>
    </cacheField>
    <cacheField name="Total Excess Amount Excl VAT" numFmtId="165">
      <sharedItems containsSemiMixedTypes="0" containsString="0" containsNumber="1">
        <n v="0.0"/>
        <n v="12957.75"/>
        <n v="2080.1"/>
        <n v="13484.8"/>
        <n v="21423.96"/>
        <n v="33196.24"/>
        <n v="9045.1"/>
        <n v="1931.4"/>
        <n v="14201.3"/>
        <n v="13937.4"/>
        <n v="29164.31"/>
        <n v="1233.44"/>
        <n v="1028.3"/>
        <n v="23173.92"/>
        <n v="50344.14"/>
        <n v="26486.46"/>
        <n v="9106.81"/>
        <n v="11861.76"/>
        <n v="1390.8"/>
        <n v="2760.12"/>
        <n v="3147.96"/>
        <n v="3645.24"/>
        <n v="4813.38"/>
        <n v="1849.72"/>
        <n v="2182.76"/>
        <n v="23632.2"/>
        <n v="12098.08"/>
        <n v="7477.3"/>
        <n v="15275.68"/>
        <n v="5289.9"/>
        <n v="4514.4"/>
        <n v="4432.2"/>
        <n v="13750.49"/>
        <n v="2824.86"/>
        <n v="5281.25"/>
        <n v="5832.63"/>
        <n v="3892.7"/>
        <n v="2808.2"/>
        <n v="7243.06"/>
        <n v="3264.96"/>
        <n v="2901.45"/>
        <n v="4683.42"/>
        <n v="5316.88"/>
        <n v="4839.55"/>
        <n v="2708.75"/>
        <n v="4462.17"/>
        <n v="4231.78"/>
        <n v="5079.36"/>
        <n v="11962.99"/>
        <n v="16218.0"/>
        <n v="6975.37"/>
        <n v="11391.36"/>
        <n v="5270.88"/>
        <n v="2734.56"/>
        <n v="4350.32"/>
        <n v="4537.46"/>
        <n v="3835.2"/>
        <n v="1661.92"/>
        <n v="19783.4"/>
        <n v="28859.38"/>
        <n v="2354.21"/>
        <n v="6010.66"/>
        <n v="2604.16"/>
        <n v="3450.0"/>
      </sharedItems>
    </cacheField>
    <cacheField name="vat2" numFmtId="165">
      <sharedItems containsSemiMixedTypes="0" containsString="0" containsNumber="1">
        <n v="-87.89"/>
        <n v="-743.65"/>
        <n v="-428.8"/>
        <n v="1943.66"/>
        <n v="-776.04"/>
        <n v="-316.19"/>
        <n v="-237.53"/>
        <n v="-633.84"/>
        <n v="-614.38"/>
        <n v="-356.27"/>
        <n v="-259.51"/>
        <n v="312.02"/>
        <n v="-401.34"/>
        <n v="2022.72"/>
        <n v="3213.59"/>
        <n v="0.0"/>
        <n v="-145.96"/>
        <n v="-20.29"/>
        <n v="-138.77"/>
        <n v="-367.7"/>
        <n v="-1120.3"/>
        <n v="-190.96"/>
        <n v="-225.36"/>
        <n v="-287.39"/>
        <n v="4979.44"/>
        <n v="1356.77"/>
        <n v="-347.99"/>
        <n v="-474.9"/>
        <n v="-289.88"/>
        <n v="-265.74"/>
        <n v="-610.26"/>
        <n v="289.71"/>
        <n v="2130.2"/>
        <n v="-667.83"/>
        <n v="-77.11"/>
        <n v="2090.61"/>
        <n v="-144.3"/>
        <n v="4374.65"/>
        <n v="-125.98"/>
        <n v="-41.99"/>
        <n v="-102.55"/>
        <n v="-385.91"/>
        <n v="-540.0"/>
        <n v="-400.62"/>
        <n v="-925.62"/>
        <n v="-200.79"/>
        <n v="-1348.32"/>
        <n v="-415.22"/>
        <n v="185.02"/>
        <n v="-894.71"/>
        <n v="-276.25"/>
        <n v="-341.4"/>
        <n v="-3134.38"/>
        <n v="154.25"/>
        <n v="-64.47"/>
        <n v="-98.59"/>
        <n v="-742.5"/>
        <n v="-278.0"/>
        <n v="-165.24"/>
        <n v="-999.58"/>
        <n v="-426.38"/>
        <n v="-1170.79"/>
        <n v="-292.23"/>
        <n v="-2292.28"/>
        <n v="-284.16"/>
        <n v="-3753.2"/>
        <n v="-915.18"/>
        <n v="-1466.81"/>
        <n v="-1214.89"/>
        <n v="-1771.48"/>
        <n v="-78.75"/>
        <n v="-416.34"/>
        <n v="-382.14"/>
        <n v="-1295.81"/>
        <n v="-119.88"/>
        <n v="3476.09"/>
        <n v="-379.02"/>
        <n v="-262.12"/>
        <n v="7551.62"/>
        <n v="3972.97"/>
        <n v="-510.28"/>
        <n v="-296.72"/>
        <n v="1366.02"/>
        <n v="-333.48"/>
        <n v="-112.32"/>
        <n v="-469.92"/>
        <n v="-266.11"/>
        <n v="-298.44"/>
        <n v="-248.91"/>
        <n v="-354.6"/>
        <n v="-344.97"/>
        <n v="-123.12"/>
        <n v="-44.55"/>
        <n v="-138.44"/>
        <n v="-934.31"/>
        <n v="-243.57"/>
        <n v="-109.28"/>
        <n v="-703.73"/>
        <n v="-92.32"/>
        <n v="-362.07"/>
        <n v="-528.82"/>
        <n v="1779.26"/>
        <n v="-115.85"/>
        <n v="208.62"/>
        <n v="-345.59"/>
        <n v="-440.75"/>
        <n v="-566.93"/>
        <n v="414.02"/>
        <n v="-91.34"/>
        <n v="472.19"/>
        <n v="546.79"/>
        <n v="-489.74"/>
        <n v="-76.66"/>
        <n v="-120.34"/>
        <n v="-36.23"/>
        <n v="-192.58"/>
        <n v="-183.22"/>
        <n v="-213.42"/>
        <n v="-52.92"/>
        <n v="-70.95"/>
        <n v="-275.09"/>
        <n v="-271.38"/>
        <n v="-186.82"/>
        <n v="-62.59"/>
        <n v="-54.38"/>
        <n v="-101.56"/>
        <n v="-328.28"/>
        <n v="-206.53"/>
        <n v="-264.94"/>
        <n v="-644.11"/>
        <n v="-992.16"/>
        <n v="-259.86"/>
        <n v="722.01"/>
        <n v="-402.74"/>
        <n v="-535.28"/>
        <n v="-435.59"/>
        <n v="-405.64"/>
        <n v="277.46"/>
        <n v="327.41"/>
        <n v="3544.83"/>
        <n v="-209.7"/>
        <n v="-158.75"/>
        <n v="-363.71"/>
        <n v="-154.08"/>
        <n v="-148.89"/>
        <n v="1814.71"/>
        <n v="-635.51"/>
        <n v="-424.66"/>
        <n v="-200.97"/>
        <n v="-745.52"/>
        <n v="-230.69"/>
        <n v="-455.71"/>
        <n v="-72.41"/>
        <n v="1121.6"/>
        <n v="-89.86"/>
        <n v="-105.79"/>
        <n v="2291.35"/>
        <n v="-303.85"/>
        <n v="793.49"/>
        <n v="-423.15"/>
        <n v="-390.53"/>
        <n v="-627.74"/>
        <n v="-314.45"/>
        <n v="-178.47"/>
        <n v="-72.12"/>
        <n v="677.16"/>
        <n v="-275.76"/>
        <n v="664.83"/>
        <n v="-418.51"/>
        <n v="-196.15"/>
        <n v="-317.6"/>
        <n v="2062.57"/>
        <n v="-258.3"/>
        <n v="423.73"/>
        <n v="-124.15"/>
        <n v="-237.89"/>
        <n v="792.19"/>
        <n v="-57.11"/>
        <n v="-217.5"/>
        <n v="-243.3"/>
        <n v="874.89"/>
        <n v="-73.49"/>
        <n v="-170.75"/>
        <n v="-195.47"/>
        <n v="-91.39"/>
        <n v="-236.96"/>
        <n v="583.91"/>
        <n v="-2515.59"/>
        <n v="-1845.96"/>
        <n v="-1595.25"/>
        <n v="-929.22"/>
        <n v="-2128.33"/>
        <n v="-1746.36"/>
        <n v="-2313.55"/>
        <n v="-256.68"/>
        <n v="-276.12"/>
        <n v="-292.38"/>
        <n v="-332.98"/>
        <n v="-191.77"/>
        <n v="-105.85"/>
        <n v="-45.29"/>
        <n v="-332.05"/>
        <n v="-86.53"/>
        <n v="-122.69"/>
        <n v="-189.62"/>
        <n v="-220.31"/>
        <n v="-214.83"/>
        <n v="-204.36"/>
        <n v="-256.48"/>
        <n v="-1213.55"/>
        <n v="-565.07"/>
        <n v="-81.08"/>
        <n v="-31.28"/>
        <n v="-614.22"/>
        <n v="-629.76"/>
        <n v="-355.34"/>
        <n v="-55.7"/>
        <n v="-146.06"/>
        <n v="-207.02"/>
        <n v="-432.54"/>
        <n v="-390.16"/>
        <n v="-636.02"/>
        <n v="-105.63"/>
        <n v="-401.29"/>
        <n v="-298.66"/>
        <n v="-188.92"/>
        <n v="-173.5"/>
        <n v="-165.27"/>
        <n v="-967.01"/>
        <n v="421.23"/>
        <n v="-215.37"/>
        <n v="-79.83"/>
        <n v="-690.62"/>
        <n v="-346.71"/>
        <n v="1086.46"/>
        <n v="-123.28"/>
        <n v="-906.75"/>
        <n v="489.74"/>
        <n v="-78.25"/>
        <n v="-61.78"/>
        <n v="-92.23"/>
        <n v="435.22"/>
        <n v="-220.8"/>
        <n v="702.51"/>
        <n v="-135.95"/>
        <n v="-188.7"/>
        <n v="797.53"/>
        <n v="-122.38"/>
        <n v="-549.54"/>
        <n v="725.93"/>
        <n v="-504.0"/>
        <n v="406.31"/>
        <n v="-165.15"/>
        <n v="-169.29"/>
        <n v="669.33"/>
        <n v="634.77"/>
        <n v="-157.57"/>
        <n v="-250.69"/>
        <n v="-135.32"/>
        <n v="-429.0"/>
        <n v="-606.76"/>
        <n v="-120.81"/>
        <n v="761.9"/>
        <n v="-104.78"/>
        <n v="-84.47"/>
        <n v="-175.79"/>
        <n v="-90.86"/>
        <n v="-107.89"/>
        <n v="-488.45"/>
        <n v="-131.84"/>
        <n v="-213.88"/>
        <n v="1794.45"/>
        <n v="2432.7"/>
        <n v="1046.31"/>
        <n v="-567.62"/>
        <n v="-318.69"/>
        <n v="1708.7"/>
        <n v="-201.89"/>
        <n v="-138.06"/>
        <n v="-308.97"/>
        <n v="-135.96"/>
        <n v="-395.72"/>
        <n v="-151.52"/>
        <n v="-42.82"/>
        <n v="-168.36"/>
        <n v="790.63"/>
        <n v="410.18"/>
        <n v="652.55"/>
        <n v="680.62"/>
        <n v="-100.09"/>
        <n v="-404.75"/>
        <n v="-466.06"/>
        <n v="-206.42"/>
        <n v="-193.25"/>
        <n v="-167.12"/>
        <n v="575.28"/>
        <n v="-245.92"/>
        <n v="249.29"/>
        <n v="-87.22"/>
        <n v="-233.36"/>
        <n v="-253.73"/>
        <n v="-1004.09"/>
        <n v="-64.04"/>
        <n v="-42.71"/>
        <n v="-144.9"/>
        <n v="-186.54"/>
        <n v="-422.55"/>
        <n v="2967.51"/>
        <n v="4328.91"/>
        <n v="353.13"/>
        <n v="901.6"/>
        <n v="-214.4"/>
        <n v="390.62"/>
        <n v="-91.51"/>
        <n v="-267.95"/>
        <n v="-251.08"/>
        <n v="-119.65"/>
        <n v="517.5"/>
      </sharedItems>
    </cacheField>
    <cacheField name="Total Excess Amount Incl VAT" numFmtId="165">
      <sharedItems containsSemiMixedTypes="0" containsString="0" containsNumber="1">
        <n v="0.0"/>
        <n v="14901.41"/>
        <n v="2392.12"/>
        <n v="15507.52"/>
        <n v="24637.55"/>
        <n v="38175.68"/>
        <n v="10401.87"/>
        <n v="2221.11"/>
        <n v="16331.5"/>
        <n v="16028.01"/>
        <n v="33538.96"/>
        <n v="1418.46"/>
        <n v="1182.55"/>
        <n v="26650.01"/>
        <n v="57895.76"/>
        <n v="30459.43"/>
        <n v="10472.83"/>
        <n v="13641.02"/>
        <n v="1599.42"/>
        <n v="3174.14"/>
        <n v="3620.15"/>
        <n v="4192.03"/>
        <n v="5535.39"/>
        <n v="2127.18"/>
        <n v="2510.17"/>
        <n v="27177.03"/>
        <n v="13912.79"/>
        <n v="8598.9"/>
        <n v="17567.03"/>
        <n v="6083.39"/>
        <n v="5191.56"/>
        <n v="5097.03"/>
        <n v="15813.06"/>
        <n v="3248.59"/>
        <n v="6073.44"/>
        <n v="6707.52"/>
        <n v="4476.61"/>
        <n v="3229.43"/>
        <n v="8329.52"/>
        <n v="3754.7"/>
        <n v="3336.67"/>
        <n v="5385.93"/>
        <n v="6114.41"/>
        <n v="5565.48"/>
        <n v="3115.06"/>
        <n v="5131.5"/>
        <n v="4866.55"/>
        <n v="5841.26"/>
        <n v="13757.44"/>
        <n v="18650.7"/>
        <n v="8021.68"/>
        <n v="13100.06"/>
        <n v="6061.51"/>
        <n v="3144.74"/>
        <n v="5002.87"/>
        <n v="5218.08"/>
        <n v="4410.48"/>
        <n v="1911.21"/>
        <n v="22750.91"/>
        <n v="33188.29"/>
        <n v="2707.34"/>
        <n v="6912.26"/>
        <n v="2994.78"/>
        <n v="3967.5"/>
      </sharedItems>
    </cacheField>
    <cacheField name="Operator Default" numFmtId="165">
      <sharedItems containsSemiMixedTypes="0" containsString="0" containsNumber="1">
        <n v="0.0"/>
        <n v="30544.6"/>
        <n v="62374.91"/>
        <n v="4300.0"/>
        <n v="5150.0"/>
        <n v="4950.0"/>
        <n v="425.0"/>
        <n v="5652.17"/>
        <n v="6660.0"/>
        <n v="3488.0"/>
        <n v="18548.31"/>
        <n v="2900.0"/>
        <n v="2500.0"/>
        <n v="1465.0"/>
        <n v="3941.0"/>
        <n v="1310.0"/>
      </sharedItems>
    </cacheField>
    <cacheField name="Accident and Write Offs" numFmtId="165">
      <sharedItems containsSemiMixedTypes="0" containsString="0" containsNumber="1">
        <n v="0.0"/>
        <n v="8446.88"/>
        <n v="67704.29"/>
        <n v="1000.0"/>
      </sharedItems>
    </cacheField>
    <cacheField name="Tyres" numFmtId="165">
      <sharedItems containsSemiMixedTypes="0" containsString="0" containsNumber="1">
        <n v="0.0"/>
        <n v="80.0"/>
        <n v="6440.2"/>
        <n v="18126.7"/>
        <n v="174.0"/>
        <n v="18346.0"/>
        <n v="3045.0"/>
        <n v="150.0"/>
      </sharedItems>
    </cacheField>
    <cacheField name="Additional Costs" numFmtId="165">
      <sharedItems containsSemiMixedTypes="0" containsString="0" containsNumber="1" containsInteger="1">
        <n v="0.0"/>
      </sharedItems>
    </cacheField>
    <cacheField name="Auxiliary Amount" numFmtId="165">
      <sharedItems containsSemiMixedTypes="0" containsString="0" containsNumber="1" containsInteger="1">
        <n v="0.0"/>
      </sharedItems>
    </cacheField>
    <cacheField name="OOCP" numFmtId="165">
      <sharedItems containsSemiMixedTypes="0" containsString="0" containsNumber="1" containsInteger="1">
        <n v="0.0"/>
      </sharedItems>
    </cacheField>
    <cacheField name="Fuel Cost" numFmtId="165">
      <sharedItems containsSemiMixedTypes="0" containsString="0" containsNumber="1">
        <n v="1851.3"/>
        <n v="0.0"/>
        <n v="5962.26"/>
        <n v="8829.38"/>
        <n v="3119.06"/>
        <n v="3070.33"/>
        <n v="2972.87"/>
        <n v="4201.63"/>
        <n v="1205.49"/>
        <n v="4062.22"/>
        <n v="5151.89"/>
        <n v="1451.11"/>
        <n v="10951.15"/>
        <n v="12413.3"/>
        <n v="5861.52"/>
        <n v="1316.88"/>
        <n v="7562.44"/>
        <n v="3952.62"/>
        <n v="8976.68"/>
        <n v="6412.21"/>
        <n v="8755.54"/>
        <n v="8499.22"/>
        <n v="6102.92"/>
        <n v="9451.04"/>
        <n v="1849.15"/>
        <n v="1594.68"/>
        <n v="5347.64"/>
        <n v="10534.25"/>
        <n v="7486.92"/>
        <n v="12321.1"/>
        <n v="10523.51"/>
        <n v="10008.22"/>
        <n v="5874.44"/>
        <n v="4265.48"/>
        <n v="3032.25"/>
        <n v="5126.16"/>
        <n v="3513.43"/>
        <n v="5790.26"/>
        <n v="4864.61"/>
        <n v="7031.78"/>
        <n v="13787.84"/>
        <n v="6300.48"/>
        <n v="7490.56"/>
        <n v="1408.74"/>
        <n v="7950.45"/>
        <n v="4763.87"/>
        <n v="2638.11"/>
        <n v="3576.45"/>
        <n v="5880.18"/>
        <n v="4436.22"/>
        <n v="3080.29"/>
        <n v="1609.37"/>
        <n v="677.55"/>
        <n v="1956.0"/>
        <n v="14815.83"/>
        <n v="14718.45"/>
        <n v="4672.66"/>
        <n v="3124.91"/>
        <n v="10096.41"/>
        <n v="10330.96"/>
        <n v="16813.55"/>
        <n v="22341.01"/>
        <n v="21736.05"/>
        <n v="6442.49"/>
        <n v="6298.61"/>
        <n v="11231.66"/>
        <n v="7056.02"/>
        <n v="7452.31"/>
        <n v="6480.88"/>
        <n v="11519.03"/>
        <n v="1471.39"/>
        <n v="9855.54"/>
        <n v="5599.3"/>
        <n v="2920.11"/>
        <n v="14631.65"/>
        <n v="9288.66"/>
        <n v="7186.0"/>
        <n v="1298.99"/>
        <n v="5605.78"/>
        <n v="1970.9"/>
        <n v="682.6"/>
        <n v="2568.9"/>
        <n v="4377.55"/>
        <n v="4865.9"/>
        <n v="4300.24"/>
        <n v="5327.71"/>
        <n v="3036.33"/>
        <n v="5820.69"/>
        <n v="6134.47"/>
        <n v="5134.09"/>
        <n v="13611.74"/>
        <n v="6569.08"/>
        <n v="2929.88"/>
        <n v="6620.91"/>
        <n v="3603.01"/>
        <n v="5495.38"/>
        <n v="4561.73"/>
        <n v="9691.23"/>
        <n v="12864.78"/>
        <n v="8265.73"/>
        <n v="6822.86"/>
        <n v="6567.66"/>
        <n v="5269.69"/>
        <n v="5203.43"/>
        <n v="9281.36"/>
        <n v="6535.97"/>
        <n v="4045.09"/>
        <n v="2600.82"/>
        <n v="3894.77"/>
        <n v="5588.52"/>
        <n v="1411.23"/>
        <n v="6476.08"/>
        <n v="7501.1"/>
        <n v="6028.05"/>
        <n v="5318.07"/>
        <n v="6701.3"/>
        <n v="9940.99"/>
        <n v="3037.35"/>
        <n v="4287.04"/>
        <n v="6406.62"/>
        <n v="7916.26"/>
        <n v="1576.28"/>
        <n v="6699.02"/>
        <n v="9043.49"/>
        <n v="2695.21"/>
        <n v="6320.74"/>
        <n v="2736.98"/>
        <n v="12651.75"/>
        <n v="7026.6"/>
        <n v="10212.42"/>
        <n v="9794.35"/>
        <n v="6307.03"/>
        <n v="2876.86"/>
        <n v="6669.01"/>
        <n v="9717.64"/>
        <n v="7550.5"/>
        <n v="9885.44"/>
        <n v="6330.59"/>
        <n v="3880.08"/>
        <n v="8675.38"/>
        <n v="7541.08"/>
        <n v="8459.61"/>
        <n v="7556.92"/>
        <n v="28329.86"/>
        <n v="5784.39"/>
        <n v="20118.6"/>
        <n v="784.95"/>
        <n v="7007.93"/>
        <n v="1009.83"/>
        <n v="4526.21"/>
        <n v="2940.09"/>
        <n v="2943.31"/>
        <n v="1458.22"/>
        <n v="3131.13"/>
        <n v="2615.89"/>
        <n v="5700.98"/>
        <n v="5894.12"/>
        <n v="1652.69"/>
        <n v="5768.46"/>
        <n v="8721.16"/>
        <n v="4722.9"/>
        <n v="6199.96"/>
        <n v="5320.99"/>
        <n v="3189.3"/>
        <n v="1042.19"/>
        <n v="2250.21"/>
        <n v="4414.99"/>
        <n v="3883.57"/>
        <n v="3451.4"/>
        <n v="8153.47"/>
        <n v="2588.33"/>
        <n v="1494.22"/>
        <n v="962.04"/>
        <n v="9798.4"/>
        <n v="6016.51"/>
        <n v="7500.89"/>
        <n v="5190.02"/>
        <n v="6428.75"/>
        <n v="12306.55"/>
        <n v="8093.07"/>
        <n v="2248.57"/>
        <n v="7584.11"/>
        <n v="4081.26"/>
        <n v="5124.36"/>
        <n v="3612.44"/>
        <n v="5053.5"/>
        <n v="6019.08"/>
        <n v="2953.13"/>
        <n v="5485.46"/>
        <n v="4808.09"/>
        <n v="21503.75"/>
        <n v="25017.58"/>
        <n v="22745.59"/>
        <n v="21530.03"/>
        <n v="9663.48"/>
        <n v="9822.74"/>
        <n v="2136.32"/>
        <n v="4312.5"/>
        <n v="4167.48"/>
        <n v="3463.53"/>
        <n v="4556.19"/>
        <n v="6449.35"/>
        <n v="2581.71"/>
        <n v="5351.53"/>
        <n v="4818.38"/>
        <n v="5303.74"/>
        <n v="3978.88"/>
        <n v="3842.22"/>
        <n v="2412.04"/>
        <n v="5151.82"/>
        <n v="3382.9"/>
        <n v="12938.39"/>
        <n v="1392.4"/>
        <n v="2865.61"/>
        <n v="1416.86"/>
        <n v="1391.26"/>
        <n v="7996.56"/>
        <n v="5732.85"/>
        <n v="6438.29"/>
        <n v="5897.65"/>
        <n v="7852.02"/>
        <n v="2998.01"/>
        <n v="6714.78"/>
        <n v="5981.84"/>
        <n v="12184.93"/>
        <n v="1248.48"/>
        <n v="1678.01"/>
        <n v="15339.51"/>
        <n v="9636.4"/>
        <n v="6298.94"/>
        <n v="8807.48"/>
        <n v="10865.12"/>
        <n v="1529.24"/>
        <n v="5565.97"/>
        <n v="3397.94"/>
        <n v="7309.36"/>
        <n v="2963.76"/>
        <n v="6321.6"/>
        <n v="1847.8"/>
        <n v="8798.95"/>
        <n v="1996.5"/>
        <n v="3073.75"/>
        <n v="2871.6"/>
        <n v="4322.75"/>
        <n v="4064.8"/>
        <n v="6714.1"/>
        <n v="2102.35"/>
        <n v="7333.15"/>
        <n v="1028.35"/>
        <n v="4311.55"/>
        <n v="2836.8"/>
        <n v="5082.58"/>
        <n v="7145.68"/>
        <n v="2317.95"/>
        <n v="5691.85"/>
        <n v="1028.7"/>
        <n v="1463.45"/>
        <n v="8549.1"/>
        <n v="10963.5"/>
        <n v="3072.75"/>
        <n v="3100.15"/>
        <n v="1410.7"/>
        <n v="1069.45"/>
        <n v="2045.25"/>
        <n v="5505.25"/>
        <n v="1444.3"/>
        <n v="3058.35"/>
        <n v="1074.55"/>
        <n v="2419.34"/>
        <n v="1235.8"/>
        <n v="9641.5"/>
        <n v="15134.4"/>
        <n v="11452.05"/>
        <n v="3424.89"/>
        <n v="1270.65"/>
        <n v="10859.9"/>
        <n v="2363.02"/>
        <n v="7165.05"/>
        <n v="3512.8"/>
        <n v="1353.14"/>
        <n v="2413.76"/>
        <n v="3447.68"/>
        <n v="3158.78"/>
        <n v="3912.24"/>
        <n v="5552.46"/>
        <n v="5498.62"/>
        <n v="4512.98"/>
        <n v="4197.64"/>
        <n v="2046.6"/>
        <n v="659.72"/>
        <n v="3726.1"/>
        <n v="4716.61"/>
        <n v="1669.13"/>
        <n v="4531.69"/>
        <n v="5069.97"/>
        <n v="4960.68"/>
        <n v="3272.65"/>
        <n v="1525.37"/>
        <n v="6079.7"/>
        <n v="10615.95"/>
        <n v="5542.74"/>
        <n v="4573.34"/>
        <n v="4029.49"/>
        <n v="2611.25"/>
        <n v="5626.47"/>
        <n v="1152.45"/>
        <n v="15395.16"/>
        <n v="16124.91"/>
        <n v="3008.5"/>
        <n v="5814.2"/>
        <n v="4146.95"/>
        <n v="1103.81"/>
        <n v="6782.3"/>
        <n v="4135.81"/>
        <n v="3556.25"/>
        <n v="1329.2"/>
        <n v="2652.5"/>
        <n v="1725.25"/>
        <n v="4129.34"/>
      </sharedItems>
    </cacheField>
    <cacheField name="Fuel Litres" numFmtId="0">
      <sharedItems containsString="0" containsBlank="1" containsNumber="1" containsInteger="1">
        <n v="0.0"/>
        <m/>
      </sharedItems>
    </cacheField>
    <cacheField name="Oil Cost" numFmtId="165">
      <sharedItems containsString="0" containsBlank="1" containsNumber="1">
        <n v="0.0"/>
        <n v="71.0"/>
        <n v="70.0"/>
        <n v="114.0"/>
        <n v="98.0"/>
        <n v="3092.88"/>
        <n v="69.9"/>
        <n v="120.0"/>
        <n v="1199.61"/>
        <n v="2510.27"/>
        <n v="1468.53"/>
        <n v="2605.54"/>
        <n v="2742.59"/>
        <n v="85.0"/>
        <n v="149.8"/>
        <n v="60.0"/>
        <n v="80.0"/>
        <n v="56.5"/>
        <n v="200.0"/>
        <n v="110.0"/>
        <n v="93.0"/>
        <n v="117.0"/>
        <m/>
        <n v="186.0"/>
        <n v="79.0"/>
      </sharedItems>
    </cacheField>
    <cacheField name="Oil Litres" numFmtId="0">
      <sharedItems containsString="0" containsBlank="1" containsNumber="1" containsInteger="1">
        <n v="0.0"/>
        <m/>
      </sharedItems>
    </cacheField>
    <cacheField name="Monthly Fines Cost" numFmtId="165">
      <sharedItems containsSemiMixedTypes="0" containsString="0" containsNumber="1" containsInteger="1">
        <n v="0.0"/>
        <n v="400.0"/>
      </sharedItems>
    </cacheField>
    <cacheField name="Monthly E-Toll Cost" numFmtId="165">
      <sharedItems containsSemiMixedTypes="0" containsString="0" containsNumber="1" containsInteger="1">
        <n v="0.0"/>
      </sharedItems>
    </cacheField>
    <cacheField name="Subtotal Variable Cost" numFmtId="165">
      <sharedItems containsSemiMixedTypes="0" containsString="0" containsNumber="1">
        <n v="0.0"/>
        <n v="30544.6"/>
        <n v="62374.91"/>
        <n v="8446.88"/>
        <n v="4300.0"/>
        <n v="67704.29"/>
        <n v="5150.0"/>
        <n v="4950.0"/>
        <n v="425.0"/>
        <n v="5652.17"/>
        <n v="1000.0"/>
        <n v="6660.0"/>
        <n v="3488.0"/>
        <n v="18548.31"/>
        <n v="2900.0"/>
        <n v="80.0"/>
        <n v="6440.2"/>
        <n v="18126.7"/>
        <n v="174.0"/>
        <n v="18346.0"/>
        <n v="3045.0"/>
        <n v="1465.0"/>
        <n v="3941.0"/>
        <n v="150.0"/>
        <n v="1310.0"/>
      </sharedItems>
    </cacheField>
    <cacheField name="vat3" numFmtId="165">
      <sharedItems containsSemiMixedTypes="0" containsString="0" containsNumber="1">
        <n v="0.0"/>
        <n v="4581.69"/>
        <n v="9356.24"/>
        <n v="1267.03"/>
        <n v="645.0"/>
        <n v="10155.64"/>
        <n v="772.5"/>
        <n v="742.5"/>
        <n v="63.75"/>
        <n v="847.83"/>
        <n v="150.0"/>
        <n v="999.0"/>
        <n v="523.2"/>
        <n v="2782.25"/>
        <n v="435.0"/>
        <n v="12.0"/>
        <n v="966.03"/>
        <n v="2719.01"/>
        <n v="26.1"/>
        <n v="2751.9"/>
        <n v="456.75"/>
        <n v="375.0"/>
        <n v="219.75"/>
        <n v="591.15"/>
        <n v="22.5"/>
        <n v="196.5"/>
      </sharedItems>
    </cacheField>
    <cacheField name="Total Variable Cost" numFmtId="165">
      <sharedItems containsSemiMixedTypes="0" containsString="0" containsNumber="1">
        <n v="0.0"/>
        <n v="35126.29"/>
        <n v="71731.15"/>
        <n v="9713.91"/>
        <n v="4945.0"/>
        <n v="77859.93"/>
        <n v="5922.5"/>
        <n v="5692.5"/>
        <n v="488.75"/>
        <n v="6500.0"/>
        <n v="1150.0"/>
        <n v="7659.0"/>
        <n v="4011.2"/>
        <n v="21330.56"/>
        <n v="3335.0"/>
        <n v="92.0"/>
        <n v="7406.23"/>
        <n v="20845.71"/>
        <n v="200.1"/>
        <n v="21097.9"/>
        <n v="3501.75"/>
        <n v="3275.0"/>
        <n v="1684.75"/>
        <n v="4532.15"/>
        <n v="172.5"/>
        <n v="1506.5"/>
      </sharedItems>
    </cacheField>
    <cacheField name="Total Cost Incl VAT" numFmtId="165">
      <sharedItems containsSemiMixedTypes="0" containsString="0" containsNumber="1">
        <n v="4681.52"/>
        <n v="37053.47"/>
        <n v="4179.71"/>
        <n v="21895.22"/>
        <n v="73562.22"/>
        <n v="5296.41"/>
        <n v="5998.89"/>
        <n v="2671.91"/>
        <n v="3351.04"/>
        <n v="5317.57"/>
        <n v="8193.9"/>
        <n v="13056.85"/>
        <n v="7025.8"/>
        <n v="27078.54"/>
        <n v="36093.45"/>
        <n v="12341.6"/>
        <n v="14964.94"/>
        <n v="5717.92"/>
        <n v="9106.07"/>
        <n v="7351.47"/>
        <n v="23928.78"/>
        <n v="14546.59"/>
        <n v="9536.95"/>
        <n v="8161.52"/>
        <n v="54260.33"/>
        <n v="24218.98"/>
        <n v="11027.71"/>
        <n v="10113.46"/>
        <n v="7625.17"/>
        <n v="6089.41"/>
        <n v="10705.93"/>
        <n v="15613.93"/>
        <n v="30134.39"/>
        <n v="7725.01"/>
        <n v="13005.93"/>
        <n v="35240.29"/>
        <n v="12711.72"/>
        <n v="45092.58"/>
        <n v="11056.13"/>
        <n v="12623.77"/>
        <n v="11973.14"/>
        <n v="12954.53"/>
        <n v="12169.7"/>
        <n v="12955.24"/>
        <n v="7285.97"/>
        <n v="6418.58"/>
        <n v="7651.8"/>
        <n v="8864.84"/>
        <n v="10916.27"/>
        <n v="6025.41"/>
        <n v="13293.53"/>
        <n v="10604.94"/>
        <n v="796.91"/>
        <n v="4806.63"/>
        <n v="4335.18"/>
        <n v="8943.16"/>
        <n v="12095.38"/>
        <n v="13295.75"/>
        <n v="12113.1"/>
        <n v="12113.95"/>
        <n v="11901.28"/>
        <n v="11436.59"/>
        <n v="11338.27"/>
        <n v="12114.19"/>
        <n v="84260.7"/>
        <n v="4497.84"/>
        <n v="5357.55"/>
        <n v="9872.65"/>
        <n v="28390.35"/>
        <n v="17142.11"/>
        <n v="3396.72"/>
        <n v="9840.33"/>
        <n v="15958.41"/>
        <n v="9984.3"/>
        <n v="4737.75"/>
        <n v="26489.91"/>
        <n v="22360.26"/>
        <n v="24206.05"/>
        <n v="19938.43"/>
        <n v="17830.06"/>
        <n v="8942.25"/>
        <n v="9188.89"/>
        <n v="3151.94"/>
        <n v="14944.08"/>
        <n v="40211.66"/>
        <n v="8270.61"/>
        <n v="11548.99"/>
        <n v="71512.58"/>
        <n v="44024.69"/>
        <n v="8039.11"/>
        <n v="11285.31"/>
        <n v="23085.4"/>
        <n v="10053.35"/>
        <n v="11663.16"/>
        <n v="9162.23"/>
        <n v="11219.49"/>
        <n v="6788.46"/>
        <n v="3923.25"/>
        <n v="8986.69"/>
        <n v="9063.04"/>
        <n v="10747.79"/>
        <n v="11366.07"/>
        <n v="4930.56"/>
        <n v="9906.22"/>
        <n v="12372.74"/>
        <n v="20245.69"/>
        <n v="7487.54"/>
        <n v="12181.41"/>
        <n v="10112.16"/>
        <n v="21696.92"/>
        <n v="13058.65"/>
        <n v="26519.99"/>
        <n v="12169.28"/>
        <n v="14513.87"/>
        <n v="10407.01"/>
        <n v="10156.54"/>
        <n v="14779.44"/>
        <n v="15808.14"/>
        <n v="11703.24"/>
        <n v="16029.29"/>
        <n v="23078.68"/>
        <n v="8653.83"/>
        <n v="12065.59"/>
        <n v="11479.06"/>
        <n v="12082.34"/>
        <n v="12063.74"/>
        <n v="11165.3"/>
        <n v="12081.66"/>
        <n v="11790.76"/>
        <n v="10592.44"/>
        <n v="12045.0"/>
        <n v="12413.19"/>
        <n v="10988.33"/>
        <n v="12248.34"/>
        <n v="10755.21"/>
        <n v="11653.25"/>
        <n v="11877.19"/>
        <n v="10310.4"/>
        <n v="10967.94"/>
        <n v="11589.47"/>
        <n v="13322.19"/>
        <n v="13194.27"/>
        <n v="13620.42"/>
        <n v="13022.95"/>
        <n v="12051.56"/>
        <n v="13584.42"/>
        <n v="13807.31"/>
        <n v="13985.21"/>
        <n v="11238.92"/>
        <n v="14474.66"/>
        <n v="10296.34"/>
        <n v="7804.89"/>
        <n v="12280.09"/>
        <n v="17975.22"/>
        <n v="12560.28"/>
        <n v="11674.37"/>
        <n v="12458.24"/>
        <n v="12355.64"/>
        <n v="14077.45"/>
        <n v="16260.97"/>
        <n v="39512.93"/>
        <n v="9984.93"/>
        <n v="8831.48"/>
        <n v="13034.79"/>
        <n v="28997.89"/>
        <n v="19143.7"/>
        <n v="28933.47"/>
        <n v="6626.95"/>
        <n v="24011.48"/>
        <n v="6373.44"/>
        <n v="7533.13"/>
        <n v="9115.65"/>
        <n v="2073.42"/>
        <n v="8436.85"/>
        <n v="7685.67"/>
        <n v="9245.4"/>
        <n v="18483.29"/>
        <n v="9835.9"/>
        <n v="7083.01"/>
        <n v="10734.1"/>
        <n v="33386.37"/>
        <n v="19916.36"/>
        <n v="15926.52"/>
        <n v="8573.67"/>
        <n v="15558.71"/>
        <n v="3690.14"/>
        <n v="8387.83"/>
        <n v="7506.83"/>
        <n v="6492.24"/>
        <n v="9350.12"/>
        <n v="13607.87"/>
        <n v="15160.54"/>
        <n v="9408.99"/>
        <n v="15207.62"/>
        <n v="5377.6"/>
        <n v="7829.43"/>
        <n v="10462.28"/>
        <n v="28697.17"/>
        <n v="12337.16"/>
        <n v="17287.24"/>
        <n v="11972.7"/>
        <n v="13009.84"/>
        <n v="19911.48"/>
        <n v="13860.11"/>
        <n v="8094.98"/>
        <n v="12173.1"/>
        <n v="11996.66"/>
        <n v="19363.45"/>
        <n v="37228.02"/>
        <n v="11860.25"/>
        <n v="11650.5"/>
        <n v="10365.35"/>
        <n v="7599.74"/>
        <n v="20898.44"/>
        <n v="30365.18"/>
        <n v="35584.75"/>
        <n v="37421.52"/>
        <n v="42561.65"/>
        <n v="40738.19"/>
        <n v="36264.16"/>
        <n v="52775.86"/>
        <n v="7424.45"/>
        <n v="7448.68"/>
        <n v="7266.16"/>
        <n v="7014.5"/>
        <n v="7919.16"/>
        <n v="8752.72"/>
        <n v="9066.84"/>
        <n v="7023.05"/>
        <n v="9512.44"/>
        <n v="9222.38"/>
        <n v="8712.33"/>
        <n v="8474.54"/>
        <n v="8519.68"/>
        <n v="7753.06"/>
        <n v="8198.01"/>
        <n v="9395.19"/>
        <n v="14220.61"/>
        <n v="11533.59"/>
        <n v="9920.76"/>
        <n v="8041.01"/>
        <n v="7951.87"/>
        <n v="11627.49"/>
        <n v="9715.38"/>
        <n v="9409.94"/>
        <n v="16003.69"/>
        <n v="21962.68"/>
        <n v="9599.68"/>
        <n v="7510.52"/>
        <n v="12971.63"/>
        <n v="14418.03"/>
        <n v="14064.75"/>
        <n v="4398.27"/>
        <n v="4688.0"/>
        <n v="12886.0"/>
        <n v="15802.7"/>
        <n v="13266.8"/>
        <n v="13134.78"/>
        <n v="14387.93"/>
        <n v="8219.64"/>
        <n v="16563.23"/>
        <n v="4854.22"/>
        <n v="11247.59"/>
        <n v="3508.63"/>
        <n v="6804.7"/>
        <n v="18435.65"/>
        <n v="4277.75"/>
        <n v="3545.07"/>
        <n v="35619.51"/>
        <n v="5336.39"/>
        <n v="4642.29"/>
        <n v="7364.47"/>
        <n v="4792.0"/>
        <n v="4558.81"/>
        <n v="9060.88"/>
        <n v="3940.36"/>
        <n v="10445.87"/>
        <n v="4792.02"/>
        <n v="4438.57"/>
        <n v="12789.08"/>
        <n v="5799.43"/>
        <n v="9195.54"/>
        <n v="12214.63"/>
        <n v="2048.56"/>
        <n v="8419.64"/>
        <n v="4624.21"/>
        <n v="3993.86"/>
        <n v="5561.92"/>
        <n v="14123.11"/>
        <n v="10381.89"/>
        <n v="4065.08"/>
        <n v="6303.51"/>
        <n v="6675.47"/>
        <n v="4168.38"/>
        <n v="5264.28"/>
        <n v="11588.49"/>
        <n v="10196.5"/>
        <n v="4687.76"/>
        <n v="6976.59"/>
        <n v="5876.75"/>
        <n v="6705.9"/>
        <n v="5092.86"/>
        <n v="7087.31"/>
        <n v="8970.9"/>
        <n v="4613.54"/>
        <n v="10120.0"/>
        <n v="26205.93"/>
        <n v="35203.79"/>
        <n v="15959.19"/>
        <n v="9754.48"/>
        <n v="11006.06"/>
        <n v="19028.82"/>
        <n v="11904.2"/>
        <n v="12098.3"/>
        <n v="5961.64"/>
        <n v="7158.46"/>
        <n v="5052.07"/>
        <n v="6959.77"/>
        <n v="7936.2"/>
        <n v="6984.7"/>
        <n v="14349.48"/>
        <n v="11458.9"/>
        <n v="17893.97"/>
        <n v="13423.86"/>
        <n v="7477.76"/>
        <n v="5263.96"/>
        <n v="4737.89"/>
        <n v="6481.35"/>
        <n v="4532.34"/>
        <n v="8892.81"/>
        <n v="17305.11"/>
        <n v="11655.05"/>
        <n v="12887.95"/>
        <n v="14806.21"/>
        <n v="12215.92"/>
        <n v="12378.4"/>
        <n v="4135.43"/>
        <n v="14419.78"/>
        <n v="13261.06"/>
        <n v="8729.47"/>
        <n v="8909.44"/>
        <n v="7061.99"/>
        <n v="6984.0"/>
        <n v="6862.9"/>
        <n v="5521.46"/>
        <n v="40069.51"/>
        <n v="48376.86"/>
        <n v="12721.13"/>
        <n v="14952.07"/>
        <n v="16684.11"/>
        <n v="8691.11"/>
        <n v="13400.76"/>
        <n v="9231.75"/>
        <n v="10334.33"/>
        <n v="6150.62"/>
        <n v="10313.39"/>
        <n v="7554.88"/>
        <n v="12175.38"/>
      </sharedItems>
    </cacheField>
    <cacheField name="Input VAT" numFmtId="165">
      <sharedItems containsSemiMixedTypes="0" containsString="0" containsNumber="1">
        <n v="610.64"/>
        <n v="4833.06"/>
        <n v="545.18"/>
        <n v="2855.9"/>
        <n v="9595.08"/>
        <n v="690.84"/>
        <n v="782.47"/>
        <n v="348.51"/>
        <n v="437.09"/>
        <n v="693.59"/>
        <n v="1068.77"/>
        <n v="1703.07"/>
        <n v="916.41"/>
        <n v="3531.98"/>
        <n v="4707.84"/>
        <n v="1609.77"/>
        <n v="1951.95"/>
        <n v="745.82"/>
        <n v="1187.74"/>
        <n v="958.89"/>
        <n v="3121.14"/>
        <n v="1897.38"/>
        <n v="1243.95"/>
        <n v="1064.55"/>
        <n v="7077.44"/>
        <n v="3159.0"/>
        <n v="1438.39"/>
        <n v="1319.15"/>
        <n v="994.59"/>
        <n v="794.27"/>
        <n v="1396.43"/>
        <n v="2036.6"/>
        <n v="3930.58"/>
        <n v="1007.61"/>
        <n v="1696.43"/>
        <n v="4596.56"/>
        <n v="1658.05"/>
        <n v="5881.64"/>
        <n v="1442.1"/>
        <n v="1646.58"/>
        <n v="1561.71"/>
        <n v="1689.72"/>
        <n v="1587.35"/>
        <n v="1689.81"/>
        <n v="950.35"/>
        <n v="837.21"/>
        <n v="998.06"/>
        <n v="1156.28"/>
        <n v="1423.86"/>
        <n v="785.92"/>
        <n v="1733.94"/>
        <n v="1383.26"/>
        <n v="103.95"/>
        <n v="626.95"/>
        <n v="565.46"/>
        <n v="1166.5"/>
        <n v="1577.66"/>
        <n v="1734.23"/>
        <n v="1579.97"/>
        <n v="1580.08"/>
        <n v="1552.34"/>
        <n v="1491.73"/>
        <n v="1478.9"/>
        <n v="1580.11"/>
        <n v="10990.52"/>
        <n v="586.68"/>
        <n v="698.81"/>
        <n v="1287.74"/>
        <n v="3703.09"/>
        <n v="2235.93"/>
        <n v="443.05"/>
        <n v="1283.52"/>
        <n v="2081.53"/>
        <n v="1302.3"/>
        <n v="617.97"/>
        <n v="3455.21"/>
        <n v="2916.55"/>
        <n v="3157.31"/>
        <n v="2600.66"/>
        <n v="2325.66"/>
        <n v="1166.38"/>
        <n v="1198.55"/>
        <n v="411.12"/>
        <n v="1949.23"/>
        <n v="5245.0"/>
        <n v="1078.78"/>
        <n v="1506.39"/>
        <n v="9327.73"/>
        <n v="5742.35"/>
        <n v="1048.58"/>
        <n v="1472.0"/>
        <n v="3011.14"/>
        <n v="1311.31"/>
        <n v="1521.28"/>
        <n v="1195.07"/>
        <n v="1463.41"/>
        <n v="885.45"/>
        <n v="511.73"/>
        <n v="1172.18"/>
        <n v="1182.14"/>
        <n v="1401.89"/>
        <n v="1482.53"/>
        <n v="643.11"/>
        <n v="1292.12"/>
        <n v="1613.83"/>
        <n v="2640.74"/>
        <n v="976.64"/>
        <n v="1588.88"/>
        <n v="1318.97"/>
        <n v="2830.03"/>
        <n v="1703.3"/>
        <n v="3459.13"/>
        <n v="1587.3"/>
        <n v="1893.11"/>
        <n v="1357.44"/>
        <n v="1324.77"/>
        <n v="1927.75"/>
        <n v="2061.93"/>
        <n v="1526.51"/>
        <n v="2090.77"/>
        <n v="3010.27"/>
        <n v="1128.76"/>
        <n v="1573.77"/>
        <n v="1497.27"/>
        <n v="1575.96"/>
        <n v="1573.53"/>
        <n v="1456.34"/>
        <n v="1575.87"/>
        <n v="1537.92"/>
        <n v="1381.62"/>
        <n v="1571.09"/>
        <n v="1619.11"/>
        <n v="1433.26"/>
        <n v="1597.61"/>
        <n v="1402.85"/>
        <n v="1519.99"/>
        <n v="1549.2"/>
        <n v="1344.83"/>
        <n v="1430.6"/>
        <n v="1511.67"/>
        <n v="1737.68"/>
        <n v="1720.99"/>
        <n v="1776.58"/>
        <n v="1698.64"/>
        <n v="1571.94"/>
        <n v="1771.88"/>
        <n v="1800.95"/>
        <n v="1824.15"/>
        <n v="1465.94"/>
        <n v="1888.0"/>
        <n v="1343.0"/>
        <n v="1018.03"/>
        <n v="1601.75"/>
        <n v="2344.6"/>
        <n v="1638.3"/>
        <n v="1522.74"/>
        <n v="1624.99"/>
        <n v="1611.6"/>
        <n v="1836.19"/>
        <n v="2120.99"/>
        <n v="5153.86"/>
        <n v="1302.38"/>
        <n v="1151.93"/>
        <n v="1700.19"/>
        <n v="3782.33"/>
        <n v="2497.01"/>
        <n v="3773.93"/>
        <n v="864.39"/>
        <n v="3131.93"/>
        <n v="831.31"/>
        <n v="982.58"/>
        <n v="1189.0"/>
        <n v="270.45"/>
        <n v="1100.46"/>
        <n v="1002.48"/>
        <n v="1205.92"/>
        <n v="2410.87"/>
        <n v="1282.94"/>
        <n v="923.87"/>
        <n v="1400.1"/>
        <n v="4354.74"/>
        <n v="2597.79"/>
        <n v="2077.37"/>
        <n v="1118.3"/>
        <n v="2029.4"/>
        <n v="481.32"/>
        <n v="1094.07"/>
        <n v="979.15"/>
        <n v="846.81"/>
        <n v="1219.58"/>
        <n v="1774.94"/>
        <n v="1977.46"/>
        <n v="1227.26"/>
        <n v="1983.6"/>
        <n v="701.42"/>
        <n v="1021.23"/>
        <n v="1364.64"/>
        <n v="3743.11"/>
        <n v="1609.2"/>
        <n v="2254.86"/>
        <n v="1561.65"/>
        <n v="1696.94"/>
        <n v="2597.15"/>
        <n v="1807.84"/>
        <n v="1055.87"/>
        <n v="1587.79"/>
        <n v="1564.78"/>
        <n v="2525.66"/>
        <n v="4855.83"/>
        <n v="1546.99"/>
        <n v="1519.63"/>
        <n v="1352.0"/>
        <n v="991.27"/>
        <n v="2725.89"/>
        <n v="3960.68"/>
        <n v="4641.49"/>
        <n v="4881.07"/>
        <n v="5551.52"/>
        <n v="5313.68"/>
        <n v="4730.11"/>
        <n v="6883.81"/>
        <n v="968.41"/>
        <n v="971.57"/>
        <n v="947.76"/>
        <n v="914.94"/>
        <n v="1032.93"/>
        <n v="1141.66"/>
        <n v="1182.63"/>
        <n v="916.05"/>
        <n v="1240.75"/>
        <n v="1202.92"/>
        <n v="1136.39"/>
        <n v="1105.37"/>
        <n v="1111.26"/>
        <n v="1011.27"/>
        <n v="1069.3"/>
        <n v="1225.46"/>
        <n v="1854.86"/>
        <n v="1504.38"/>
        <n v="1294.02"/>
        <n v="1048.83"/>
        <n v="1037.2"/>
        <n v="1516.63"/>
        <n v="1267.23"/>
        <n v="1227.38"/>
        <n v="2087.43"/>
        <n v="2864.7"/>
        <n v="1252.13"/>
        <n v="979.63"/>
        <n v="1691.95"/>
        <n v="1880.61"/>
        <n v="1834.53"/>
        <n v="573.68"/>
        <n v="611.48"/>
        <n v="1680.78"/>
        <n v="2061.22"/>
        <n v="1730.45"/>
        <n v="1713.23"/>
        <n v="1876.69"/>
        <n v="1072.12"/>
        <n v="2160.42"/>
        <n v="633.16"/>
        <n v="1467.08"/>
        <n v="457.65"/>
        <n v="887.57"/>
        <n v="2404.65"/>
        <n v="557.97"/>
        <n v="462.4"/>
        <n v="4646.02"/>
        <n v="696.05"/>
        <n v="605.51"/>
        <n v="960.58"/>
        <n v="625.04"/>
        <n v="594.63"/>
        <n v="1181.86"/>
        <n v="513.96"/>
        <n v="1362.5"/>
        <n v="578.94"/>
        <n v="1668.14"/>
        <n v="756.45"/>
        <n v="1199.42"/>
        <n v="1593.21"/>
        <n v="267.2"/>
        <n v="1098.21"/>
        <n v="603.16"/>
        <n v="520.94"/>
        <n v="725.47"/>
        <n v="1842.15"/>
        <n v="1354.16"/>
        <n v="530.23"/>
        <n v="822.2"/>
        <n v="870.71"/>
        <n v="543.7"/>
        <n v="686.65"/>
        <n v="1511.54"/>
        <n v="1277.8"/>
        <n v="611.44"/>
        <n v="909.99"/>
        <n v="766.53"/>
        <n v="874.68"/>
        <n v="664.29"/>
        <n v="924.43"/>
        <n v="1170.12"/>
        <n v="601.77"/>
        <n v="1320.0"/>
        <n v="3418.17"/>
        <n v="4591.8"/>
        <n v="2081.64"/>
        <n v="1272.33"/>
        <n v="1435.57"/>
        <n v="2482.02"/>
        <n v="1552.72"/>
        <n v="1578.04"/>
        <n v="777.61"/>
        <n v="933.71"/>
        <n v="658.96"/>
        <n v="907.8"/>
        <n v="1035.16"/>
        <n v="911.05"/>
        <n v="1871.67"/>
        <n v="1494.64"/>
        <n v="2334.0"/>
        <n v="1750.94"/>
        <n v="975.36"/>
        <n v="686.6"/>
        <n v="617.99"/>
        <n v="845.39"/>
        <n v="591.17"/>
        <n v="1159.93"/>
        <n v="2257.19"/>
        <n v="1520.23"/>
        <n v="1681.04"/>
        <n v="1931.25"/>
        <n v="1593.38"/>
        <n v="1614.58"/>
        <n v="539.4"/>
        <n v="1880.84"/>
        <n v="1729.7"/>
        <n v="1138.63"/>
        <n v="1162.1"/>
        <n v="921.13"/>
        <n v="910.96"/>
        <n v="895.16"/>
        <n v="720.19"/>
        <n v="5226.46"/>
        <n v="6310.03"/>
        <n v="1659.28"/>
        <n v="1950.27"/>
        <n v="2176.19"/>
        <n v="1133.63"/>
        <n v="1747.92"/>
        <n v="1204.14"/>
        <n v="1347.96"/>
        <n v="802.26"/>
        <n v="1345.22"/>
        <n v="985.42"/>
        <n v="1588.09"/>
      </sharedItems>
    </cacheField>
    <cacheField name="Total Cost excl Input VAT" numFmtId="165">
      <sharedItems containsSemiMixedTypes="0" containsString="0" containsNumber="1">
        <n v="4070.88"/>
        <n v="32220.41"/>
        <n v="3634.53"/>
        <n v="19039.32"/>
        <n v="63967.14"/>
        <n v="4605.57"/>
        <n v="5216.42"/>
        <n v="2323.4"/>
        <n v="2913.95"/>
        <n v="4623.98"/>
        <n v="7125.13"/>
        <n v="11353.78"/>
        <n v="6109.39"/>
        <n v="23546.56"/>
        <n v="31385.61"/>
        <n v="10731.83"/>
        <n v="13012.99"/>
        <n v="4972.1"/>
        <n v="7918.33"/>
        <n v="6392.58"/>
        <n v="20807.64"/>
        <n v="12649.21"/>
        <n v="8293.0"/>
        <n v="7096.97"/>
        <n v="47182.89"/>
        <n v="21059.98"/>
        <n v="9589.32"/>
        <n v="8794.31"/>
        <n v="6630.58"/>
        <n v="5295.14"/>
        <n v="9309.5"/>
        <n v="13577.33"/>
        <n v="26203.81"/>
        <n v="6717.4"/>
        <n v="11309.5"/>
        <n v="30643.73"/>
        <n v="11053.67"/>
        <n v="39210.94"/>
        <n v="9614.03"/>
        <n v="10977.19"/>
        <n v="10411.43"/>
        <n v="11264.81"/>
        <n v="10582.35"/>
        <n v="11265.43"/>
        <n v="6335.62"/>
        <n v="5581.37"/>
        <n v="6653.74"/>
        <n v="7708.56"/>
        <n v="9492.41"/>
        <n v="5239.49"/>
        <n v="11559.59"/>
        <n v="9221.68"/>
        <n v="692.96"/>
        <n v="4179.68"/>
        <n v="3769.72"/>
        <n v="7776.66"/>
        <n v="10517.72"/>
        <n v="11561.52"/>
        <n v="10533.13"/>
        <n v="10533.87"/>
        <n v="10348.94"/>
        <n v="9944.86"/>
        <n v="9859.37"/>
        <n v="10534.08"/>
        <n v="73270.18"/>
        <n v="3911.16"/>
        <n v="4658.74"/>
        <n v="8584.91"/>
        <n v="24687.26"/>
        <n v="14906.18"/>
        <n v="2953.67"/>
        <n v="8556.81"/>
        <n v="13876.88"/>
        <n v="8682.0"/>
        <n v="4119.78"/>
        <n v="23034.7"/>
        <n v="19443.71"/>
        <n v="21048.74"/>
        <n v="17337.77"/>
        <n v="15504.4"/>
        <n v="7775.87"/>
        <n v="7990.34"/>
        <n v="2740.82"/>
        <n v="12994.85"/>
        <n v="34966.66"/>
        <n v="7191.83"/>
        <n v="10042.6"/>
        <n v="62184.85"/>
        <n v="38282.34"/>
        <n v="6990.53"/>
        <n v="9813.31"/>
        <n v="20074.26"/>
        <n v="8742.04"/>
        <n v="10141.88"/>
        <n v="7967.16"/>
        <n v="9756.08"/>
        <n v="5903.01"/>
        <n v="3411.52"/>
        <n v="7814.51"/>
        <n v="7880.9"/>
        <n v="9345.9"/>
        <n v="9883.54"/>
        <n v="4287.45"/>
        <n v="8614.1"/>
        <n v="10758.91"/>
        <n v="17604.95"/>
        <n v="6510.9"/>
        <n v="10592.53"/>
        <n v="8793.19"/>
        <n v="18866.89"/>
        <n v="11355.35"/>
        <n v="23060.86"/>
        <n v="10581.98"/>
        <n v="12620.76"/>
        <n v="9049.57"/>
        <n v="8831.77"/>
        <n v="12851.69"/>
        <n v="13746.21"/>
        <n v="10176.73"/>
        <n v="13938.52"/>
        <n v="20068.41"/>
        <n v="7525.07"/>
        <n v="10491.82"/>
        <n v="9981.79"/>
        <n v="10506.38"/>
        <n v="10490.21"/>
        <n v="9708.96"/>
        <n v="10505.79"/>
        <n v="10252.84"/>
        <n v="9210.82"/>
        <n v="10473.91"/>
        <n v="10794.08"/>
        <n v="9555.07"/>
        <n v="10650.73"/>
        <n v="9352.36"/>
        <n v="10133.26"/>
        <n v="10327.99"/>
        <n v="8965.57"/>
        <n v="9537.34"/>
        <n v="10077.8"/>
        <n v="11584.51"/>
        <n v="11473.28"/>
        <n v="11843.84"/>
        <n v="11324.31"/>
        <n v="10479.62"/>
        <n v="11812.54"/>
        <n v="12006.36"/>
        <n v="12161.06"/>
        <n v="9772.98"/>
        <n v="12586.66"/>
        <n v="8953.34"/>
        <n v="6786.86"/>
        <n v="10678.34"/>
        <n v="15630.62"/>
        <n v="10921.98"/>
        <n v="10151.63"/>
        <n v="10833.25"/>
        <n v="10744.04"/>
        <n v="12241.26"/>
        <n v="14139.98"/>
        <n v="34359.07"/>
        <n v="8682.55"/>
        <n v="7679.55"/>
        <n v="11334.6"/>
        <n v="25215.56"/>
        <n v="16646.69"/>
        <n v="25159.54"/>
        <n v="5762.56"/>
        <n v="20879.55"/>
        <n v="5542.13"/>
        <n v="6550.55"/>
        <n v="7926.65"/>
        <n v="1802.97"/>
        <n v="7336.39"/>
        <n v="6683.19"/>
        <n v="8039.48"/>
        <n v="16072.42"/>
        <n v="8552.96"/>
        <n v="6159.14"/>
        <n v="9334.0"/>
        <n v="29031.63"/>
        <n v="17318.57"/>
        <n v="13849.15"/>
        <n v="7455.37"/>
        <n v="13529.31"/>
        <n v="3208.82"/>
        <n v="7293.76"/>
        <n v="6527.68"/>
        <n v="5645.43"/>
        <n v="8130.54"/>
        <n v="11832.93"/>
        <n v="13183.08"/>
        <n v="8181.73"/>
        <n v="13224.02"/>
        <n v="4676.18"/>
        <n v="6808.2"/>
        <n v="9097.64"/>
        <n v="24954.06"/>
        <n v="10727.96"/>
        <n v="15032.38"/>
        <n v="10411.05"/>
        <n v="11312.9"/>
        <n v="17314.33"/>
        <n v="12052.27"/>
        <n v="7039.11"/>
        <n v="10585.31"/>
        <n v="10431.88"/>
        <n v="16837.79"/>
        <n v="32372.19"/>
        <n v="10313.26"/>
        <n v="10130.87"/>
        <n v="9013.35"/>
        <n v="6608.47"/>
        <n v="18172.55"/>
        <n v="26404.5"/>
        <n v="30943.26"/>
        <n v="32540.45"/>
        <n v="37010.13"/>
        <n v="35424.51"/>
        <n v="31534.05"/>
        <n v="45892.05"/>
        <n v="6456.04"/>
        <n v="6477.11"/>
        <n v="6318.4"/>
        <n v="6099.56"/>
        <n v="6886.23"/>
        <n v="7611.06"/>
        <n v="7884.21"/>
        <n v="6107.0"/>
        <n v="8271.69"/>
        <n v="8019.46"/>
        <n v="7575.94"/>
        <n v="7369.17"/>
        <n v="7408.42"/>
        <n v="6741.79"/>
        <n v="7128.71"/>
        <n v="8169.73"/>
        <n v="12365.75"/>
        <n v="10029.21"/>
        <n v="8626.74"/>
        <n v="6992.18"/>
        <n v="6914.67"/>
        <n v="10110.86"/>
        <n v="8448.15"/>
        <n v="8182.56"/>
        <n v="13916.26"/>
        <n v="19097.98"/>
        <n v="8347.55"/>
        <n v="6530.89"/>
        <n v="11279.68"/>
        <n v="12537.42"/>
        <n v="12230.22"/>
        <n v="3824.59"/>
        <n v="4076.52"/>
        <n v="11205.22"/>
        <n v="13741.48"/>
        <n v="11536.35"/>
        <n v="11421.55"/>
        <n v="12511.24"/>
        <n v="7147.52"/>
        <n v="14402.81"/>
        <n v="4221.06"/>
        <n v="9780.51"/>
        <n v="3050.98"/>
        <n v="5917.13"/>
        <n v="16031.0"/>
        <n v="3719.78"/>
        <n v="3082.67"/>
        <n v="30973.49"/>
        <n v="4640.34"/>
        <n v="4036.78"/>
        <n v="6403.89"/>
        <n v="4166.96"/>
        <n v="3964.18"/>
        <n v="7879.02"/>
        <n v="3426.4"/>
        <n v="9083.37"/>
        <n v="4166.98"/>
        <n v="3859.63"/>
        <n v="11120.94"/>
        <n v="5042.98"/>
        <n v="7996.12"/>
        <n v="10621.42"/>
        <n v="1781.36"/>
        <n v="7321.43"/>
        <n v="4021.05"/>
        <n v="3472.92"/>
        <n v="4836.45"/>
        <n v="12280.96"/>
        <n v="9027.73"/>
        <n v="3534.85"/>
        <n v="5481.31"/>
        <n v="5804.76"/>
        <n v="3624.68"/>
        <n v="4577.63"/>
        <n v="10076.95"/>
        <n v="8918.7"/>
        <n v="4076.32"/>
        <n v="6066.6"/>
        <n v="5110.22"/>
        <n v="5831.22"/>
        <n v="4428.57"/>
        <n v="6162.88"/>
        <n v="7800.78"/>
        <n v="4011.77"/>
        <n v="8800.0"/>
        <n v="22787.76"/>
        <n v="30611.99"/>
        <n v="13877.55"/>
        <n v="8482.15"/>
        <n v="9570.49"/>
        <n v="16546.8"/>
        <n v="10351.48"/>
        <n v="10520.26"/>
        <n v="5184.03"/>
        <n v="6224.75"/>
        <n v="4393.11"/>
        <n v="6051.97"/>
        <n v="6901.04"/>
        <n v="6073.65"/>
        <n v="12477.81"/>
        <n v="9964.26"/>
        <n v="15559.97"/>
        <n v="11672.92"/>
        <n v="6502.4"/>
        <n v="4577.36"/>
        <n v="4119.9"/>
        <n v="5635.96"/>
        <n v="3941.17"/>
        <n v="7732.88"/>
        <n v="15047.92"/>
        <n v="10134.82"/>
        <n v="11206.91"/>
        <n v="12874.96"/>
        <n v="10622.54"/>
        <n v="10763.82"/>
        <n v="3596.03"/>
        <n v="12538.94"/>
        <n v="11531.36"/>
        <n v="7590.84"/>
        <n v="7747.34"/>
        <n v="6140.86"/>
        <n v="6073.04"/>
        <n v="5967.74"/>
        <n v="4801.27"/>
        <n v="34843.05"/>
        <n v="42066.83"/>
        <n v="11061.85"/>
        <n v="13001.8"/>
        <n v="14507.92"/>
        <n v="7557.48"/>
        <n v="11652.84"/>
        <n v="8027.61"/>
        <n v="8986.37"/>
        <n v="5348.36"/>
        <n v="8968.17"/>
        <n v="6569.46"/>
        <n v="10587.29"/>
      </sharedItems>
    </cacheField>
    <cacheField name="CPK TCO" numFmtId="165">
      <sharedItems containsSemiMixedTypes="0" containsString="0" containsNumber="1">
        <n v="10.13"/>
        <n v="109.97"/>
        <n v="1.82"/>
        <n v="1.97"/>
        <n v="31983.57"/>
        <n v="2.29"/>
        <n v="5.93"/>
        <n v="1.22"/>
        <n v="1.4"/>
        <n v="11.92"/>
        <n v="5.72"/>
        <n v="25.25"/>
        <n v="6.39"/>
        <n v="3.32"/>
        <n v="5.73"/>
        <n v="10.84"/>
        <n v="3.93"/>
        <n v="1.86"/>
        <n v="2.74"/>
        <n v="4.17"/>
        <n v="5.5"/>
        <n v="1.99"/>
        <n v="1.57"/>
        <n v="5.37"/>
        <n v="6.28"/>
        <n v="15.77"/>
        <n v="586.29"/>
        <n v="3.46"/>
        <n v="5.66"/>
        <n v="7.2"/>
        <n v="6.18"/>
        <n v="7.59"/>
        <n v="55.06"/>
        <n v="3.78"/>
        <n v="5.61"/>
        <n v="3.05"/>
        <n v="6.81"/>
        <n v="3.03"/>
        <n v="4.65"/>
        <n v="5.32"/>
        <n v="4.64"/>
        <n v="44.46"/>
        <n v="8.82"/>
        <n v="2.7"/>
        <n v="2.57"/>
        <n v="2.12"/>
        <n v="1.63"/>
        <n v="1.69"/>
        <n v="12.31"/>
        <n v="7.97"/>
        <n v="1.15"/>
        <n v="28.05"/>
        <n v="23.13"/>
        <n v="1.89"/>
        <n v="5.34"/>
        <n v="9.95"/>
        <n v="4.04"/>
        <n v="4.6"/>
        <n v="4.25"/>
        <n v="4.82"/>
        <n v="10534.08"/>
        <n v="-128.09"/>
        <n v="8.67"/>
        <n v="2.59"/>
        <n v="0.7"/>
        <n v="5.28"/>
        <n v="3.31"/>
        <n v="4.52"/>
        <n v="2.69"/>
        <n v="1.46"/>
        <n v="4119.78"/>
        <n v="2.92"/>
        <n v="1.71"/>
        <n v="1.91"/>
        <n v="5.45"/>
        <n v="5.51"/>
        <n v="1.93"/>
        <n v="3.22"/>
        <n v="12.13"/>
        <n v="4.43"/>
        <n v="12.41"/>
        <n v="0.8"/>
        <n v="5.67"/>
        <n v="12.87"/>
        <n v="8.92"/>
        <n v="7.37"/>
        <n v="5.16"/>
        <n v="3.28"/>
        <n v="2.06"/>
        <n v="2.79"/>
        <n v="5.56"/>
        <n v="2.98"/>
        <n v="9.25"/>
        <n v="5.02"/>
        <n v="3.83"/>
        <n v="2.71"/>
        <n v="2.85"/>
        <n v="2.9"/>
        <n v="6.49"/>
        <n v="2.4"/>
        <n v="7.76"/>
        <n v="4.88"/>
        <n v="17.89"/>
        <n v="3.55"/>
        <n v="3.23"/>
        <n v="2.84"/>
        <n v="11.89"/>
        <n v="3.04"/>
        <n v="4.54"/>
        <n v="3.07"/>
        <n v="5.21"/>
        <n v="2.32"/>
        <n v="41.03"/>
        <n v="3.13"/>
        <n v="5.95"/>
        <n v="7525.07"/>
        <n v="3.92"/>
        <n v="3.26"/>
        <n v="2.54"/>
        <n v="2.83"/>
        <n v="3.7"/>
        <n v="9.97"/>
        <n v="3.69"/>
        <n v="3.98"/>
        <n v="8.79"/>
        <n v="2.66"/>
        <n v="2.24"/>
        <n v="3.49"/>
        <n v="4.26"/>
        <n v="2.76"/>
        <n v="6.3"/>
        <n v="4.19"/>
        <n v="2.88"/>
        <n v="3.76"/>
        <n v="6.83"/>
        <n v="4.32"/>
        <n v="4.02"/>
        <n v="4.41"/>
        <n v="4.37"/>
        <n v="8.5"/>
        <n v="3.81"/>
        <n v="3.16"/>
        <n v="2.1"/>
        <n v="2.78"/>
        <n v="7.57"/>
        <n v="3.29"/>
        <n v="2.8"/>
        <n v="3.72"/>
        <n v="4.06"/>
        <n v="5.89"/>
        <n v="2.96"/>
        <n v="2.35"/>
        <n v="3.08"/>
        <n v="3.45"/>
        <n v="1.94"/>
        <n v="7.21"/>
        <n v="2.37"/>
        <n v="7.83"/>
        <n v="6.2"/>
        <n v="6.11"/>
        <n v="3.74"/>
        <n v="6.0"/>
        <n v="9.45"/>
        <n v="5.42"/>
        <n v="4.5"/>
        <n v="4.07"/>
        <n v="5.13"/>
        <n v="2.64"/>
        <n v="6.77"/>
        <n v="8.87"/>
        <n v="5.52"/>
        <n v="3.58"/>
        <n v="5.49"/>
        <n v="6.24"/>
        <n v="4.98"/>
        <n v="31.38"/>
        <n v="6.04"/>
        <n v="5.18"/>
        <n v="10.69"/>
        <n v="6.21"/>
        <n v="6.42"/>
        <n v="20.42"/>
        <n v="7.26"/>
        <n v="12.96"/>
        <n v="4.45"/>
        <n v="3.62"/>
        <n v="3.84"/>
        <n v="3.48"/>
        <n v="2.93"/>
        <n v="2.43"/>
        <n v="33.24"/>
        <n v="4.21"/>
        <n v="7.91"/>
        <n v="3.34"/>
        <n v="14.29"/>
        <n v="9.89"/>
        <n v="4.7"/>
        <n v="3.11"/>
        <n v="3.51"/>
        <n v="3.64"/>
        <n v="7.71"/>
        <n v="8.77"/>
        <n v="4.76"/>
        <n v="2.63"/>
        <n v="2.48"/>
        <n v="2.6"/>
        <n v="3.77"/>
        <n v="1.83"/>
        <n v="3.15"/>
        <n v="2.95"/>
        <n v="5.01"/>
        <n v="5.35"/>
        <n v="3.67"/>
        <n v="27.88"/>
        <n v="2.18"/>
        <n v="10.8"/>
        <n v="3.39"/>
        <n v="6.8"/>
        <n v="12.88"/>
        <n v="1.56"/>
        <n v="2.31"/>
        <n v="4.83"/>
        <n v="6530.89"/>
        <n v="4.67"/>
        <n v="1.95"/>
        <n v="3.85"/>
        <n v="3.37"/>
        <n v="1.36"/>
        <n v="4.05"/>
        <n v="5.08"/>
        <n v="6.63"/>
        <n v="2.41"/>
        <n v="5.19"/>
        <n v="80.29"/>
        <n v="4.9"/>
        <n v="6.58"/>
        <n v="5.22"/>
        <n v="12.23"/>
        <n v="15.01"/>
        <n v="4.46"/>
        <n v="3.96"/>
        <n v="6.08"/>
        <n v="4.47"/>
        <n v="5.98"/>
        <n v="9.06"/>
        <n v="8.43"/>
        <n v="7.05"/>
        <n v="9.37"/>
        <n v="4.35"/>
        <n v="1781.36"/>
        <n v="1.59"/>
        <n v="2.68"/>
        <n v="8.1"/>
        <n v="6.6"/>
        <n v="7.16"/>
        <n v="3534.85"/>
        <n v="7.9"/>
        <n v="3624.68"/>
        <n v="9.29"/>
        <n v="54.18"/>
        <n v="1114.84"/>
        <n v="4.18"/>
        <n v="5110.22"/>
        <n v="11.71"/>
        <n v="4.74"/>
        <n v="10.27"/>
        <n v="7.82"/>
        <n v="12.46"/>
        <n v="19.21"/>
        <n v="8.68"/>
        <n v="7.08"/>
        <n v="2.62"/>
        <n v="19.19"/>
        <n v="11.29"/>
        <n v="5.47"/>
        <n v="8.34"/>
        <n v="2.75"/>
        <n v="10.87"/>
        <n v="5.69"/>
        <n v="11.68"/>
        <n v="4.92"/>
        <n v="9.24"/>
        <n v="6.01"/>
        <n v="8.25"/>
        <n v="5.11"/>
        <n v="33.17"/>
        <n v="14.61"/>
        <n v="11.84"/>
        <n v="10.26"/>
        <n v="25.4"/>
        <n v="7.12"/>
        <n v="7.47"/>
        <n v="20.75"/>
        <n v="6.79"/>
        <n v="5.27"/>
        <n v="4.1"/>
        <n v="5.03"/>
        <n v="1.51"/>
        <n v="5.81"/>
        <n v="6.56"/>
        <n v="5.25"/>
        <n v="3.91"/>
        <n v="7.07"/>
        <n v="11.31"/>
        <n v="3.44"/>
        <n v="3.18"/>
        <n v="5.88"/>
        <n v="6.47"/>
        <n v="7.99"/>
      </sharedItems>
    </cacheField>
    <cacheField name="Maintenance Days" numFmtId="0">
      <sharedItems containsSemiMixedTypes="0" containsString="0" containsNumber="1" containsInteger="1">
        <n v="0.0"/>
        <n v="65.0"/>
        <n v="290.0"/>
        <n v="37.0"/>
        <n v="36.0"/>
        <n v="35.0"/>
        <n v="6.0"/>
        <n v="108.0"/>
        <n v="28.0"/>
        <n v="10.0"/>
        <n v="13.0"/>
        <n v="17.0"/>
        <n v="20.0"/>
        <n v="15.0"/>
        <n v="19.0"/>
      </sharedItems>
    </cacheField>
    <cacheField name="Accidents Days" numFmtId="0">
      <sharedItems containsSemiMixedTypes="0" containsString="0" containsNumber="1" containsInteger="1">
        <n v="0.0"/>
        <n v="62.0"/>
        <n v="95.0"/>
        <n v="4.0"/>
      </sharedItems>
    </cacheField>
    <cacheField name="Breakdowns Days" numFmtId="0">
      <sharedItems containsSemiMixedTypes="0" containsString="0" containsNumber="1" containsInteger="1">
        <n v="0.0"/>
      </sharedItems>
    </cacheField>
    <cacheField name="Total Availability %" numFmtId="0">
      <sharedItems containsSemiMixedTypes="0" containsString="0" containsNumber="1">
        <n v="89.7058"/>
        <n v="99.5721"/>
        <n v="99.6323"/>
        <n v="84.2391"/>
        <n v="100.0"/>
        <n v="97.3822"/>
        <n v="55.9354"/>
        <n v="99.4799"/>
        <n v="96.6766"/>
        <n v="97.1315"/>
      </sharedItems>
    </cacheField>
    <cacheField name="Restructured Contract End Date" numFmtId="0">
      <sharedItems containsString="0" containsBlank="1">
        <m/>
      </sharedItems>
    </cacheField>
    <cacheField name="Restructured Contract Period" numFmtId="0">
      <sharedItems containsSemiMixedTypes="0" containsString="0" containsNumber="1" containsInteger="1">
        <n v="0.0"/>
      </sharedItems>
    </cacheField>
    <cacheField name="Restructured Inclusive KM per Month" numFmtId="0">
      <sharedItems containsSemiMixedTypes="0" containsString="0" containsNumber="1" containsInteger="1">
        <n v="0.0"/>
      </sharedItems>
    </cacheField>
    <cacheField name="Fixed Rental Prior to Restructure" numFmtId="0">
      <sharedItems containsSemiMixedTypes="0" containsString="0" containsNumber="1" containsInteger="1">
        <n v="0.0"/>
      </sharedItems>
    </cacheField>
    <cacheField name="Overs and Unders (Incl 5% Tolerance)" numFmtId="0">
      <sharedItems containsSemiMixedTypes="0" containsString="0" containsNumber="1" containsInteger="1">
        <n v="-59735.0"/>
        <n v="148.0"/>
        <n v="-40143.0"/>
        <n v="23910.0"/>
        <n v="-65027.0"/>
        <n v="-49070.0"/>
        <n v="-13441.0"/>
        <n v="-64317.0"/>
        <n v="-35991.0"/>
        <n v="-92552.0"/>
        <n v="-19410.0"/>
        <n v="804.0"/>
        <n v="-24460.0"/>
        <n v="28048.0"/>
        <n v="26289.0"/>
        <n v="-5856.0"/>
        <n v="-50319.0"/>
        <n v="-4769.0"/>
        <n v="-15919.0"/>
        <n v="-18325.0"/>
        <n v="-85648.0"/>
        <n v="-20073.0"/>
        <n v="-17603.0"/>
        <n v="-29357.0"/>
        <n v="11432.0"/>
        <n v="8281.0"/>
        <n v="1722.0"/>
        <n v="-32254.0"/>
        <n v="-5535.0"/>
        <n v="-20132.0"/>
        <n v="-38393.0"/>
        <n v="399.0"/>
        <n v="-8049.0"/>
        <n v="-24343.0"/>
        <n v="-21618.0"/>
        <n v="19490.0"/>
        <n v="-17559.0"/>
        <n v="-4968.0"/>
        <n v="-5717.0"/>
        <n v="-6020.0"/>
        <n v="-3828.0"/>
        <n v="-5215.0"/>
        <n v="-10648.0"/>
        <n v="921.0"/>
        <n v="-18792.0"/>
        <n v="-45284.0"/>
        <n v="-39394.0"/>
        <n v="-66415.0"/>
        <n v="1858.0"/>
        <n v="-105528.0"/>
        <n v="-25262.0"/>
        <n v="-52916.0"/>
        <n v="-45275.0"/>
        <n v="-12402.0"/>
        <n v="-17286.0"/>
        <n v="-159681.0"/>
        <n v="-2566.0"/>
        <n v="-2312.0"/>
        <n v="-1864.0"/>
        <n v="-3645.0"/>
        <n v="-1997.0"/>
        <n v="-5035.0"/>
        <n v="-3475.0"/>
        <n v="-3076.0"/>
        <n v="-11250.0"/>
        <n v="-27269.0"/>
        <n v="-16440.0"/>
        <n v="-60103.0"/>
        <n v="-70246.0"/>
        <n v="-23656.0"/>
        <n v="-37297.0"/>
        <n v="-11720.0"/>
        <n v="-97827.0"/>
        <n v="-25067.0"/>
        <n v="-139607.0"/>
        <n v="-69761.0"/>
        <n v="-64963.0"/>
        <n v="-73086.0"/>
        <n v="-52536.0"/>
        <n v="-4378.0"/>
        <n v="-27872.0"/>
        <n v="-18736.0"/>
        <n v="-53826.0"/>
        <n v="-3609.0"/>
        <n v="5156.0"/>
        <n v="-42177.0"/>
        <n v="-7075.0"/>
        <n v="7417.0"/>
        <n v="436.0"/>
        <n v="-29385.0"/>
        <n v="-7565.0"/>
        <n v="6812.0"/>
        <n v="-26556.0"/>
        <n v="-18739.0"/>
        <n v="-25416.0"/>
        <n v="-325.0"/>
        <n v="-23514.0"/>
        <n v="-10799.0"/>
        <n v="-15666.0"/>
        <n v="-17413.0"/>
        <n v="-6791.0"/>
        <n v="-5298.0"/>
        <n v="-7143.0"/>
        <n v="-66937.0"/>
        <n v="-2726.0"/>
        <n v="1400.0"/>
        <n v="-13277.0"/>
        <n v="-4368.0"/>
        <n v="-7837.0"/>
        <n v="-43298.0"/>
        <n v="-6030.0"/>
        <n v="-1254.0"/>
        <n v="-6302.0"/>
        <n v="4840.0"/>
        <n v="-12190.0"/>
        <n v="-18681.0"/>
        <n v="-28715.0"/>
        <n v="-2417.0"/>
        <n v="-15278.0"/>
        <n v="-5036.0"/>
        <n v="-8373.0"/>
        <n v="-5209.0"/>
        <n v="-5646.0"/>
        <n v="-8333.0"/>
        <n v="-5515.0"/>
        <n v="-2022.0"/>
        <n v="-7577.0"/>
        <n v="-4118.0"/>
        <n v="-5484.0"/>
        <n v="-10010.0"/>
        <n v="-3261.0"/>
        <n v="-6821.0"/>
        <n v="-16175.0"/>
        <n v="-7448.0"/>
        <n v="-9460.0"/>
        <n v="-3024.0"/>
        <n v="-3936.0"/>
        <n v="-5962.0"/>
        <n v="-11786.0"/>
        <n v="-17969.0"/>
        <n v="-6940.0"/>
        <n v="-4419.0"/>
        <n v="-4686.0"/>
        <n v="-2880.0"/>
        <n v="-4719.0"/>
        <n v="-5825.0"/>
        <n v="-1286.0"/>
        <n v="-19480.0"/>
        <n v="-7903.0"/>
        <n v="-18965.0"/>
        <n v="-27689.0"/>
        <n v="-27869.0"/>
        <n v="-14300.0"/>
        <n v="4483.0"/>
        <n v="-25041.0"/>
        <n v="-20190.0"/>
        <n v="-20870.0"/>
        <n v="-22699.0"/>
        <n v="678.0"/>
        <n v="18170.0"/>
        <n v="10280.0"/>
        <n v="-15818.0"/>
        <n v="-5979.0"/>
        <n v="-15978.0"/>
        <n v="-9522.0"/>
        <n v="-7187.0"/>
        <n v="-11270.0"/>
        <n v="-20633.0"/>
        <n v="-79353.0"/>
        <n v="10172.0"/>
        <n v="-2949.0"/>
        <n v="-8614.0"/>
        <n v="-3346.0"/>
        <n v="-20910.0"/>
        <n v="-61242.0"/>
        <n v="-35468.0"/>
        <n v="41155.0"/>
        <n v="9481.0"/>
        <n v="-16032.0"/>
        <n v="-77122.0"/>
        <n v="-1079.0"/>
        <n v="-8946.0"/>
        <n v="-12449.0"/>
        <n v="-63874.0"/>
        <n v="-25253.0"/>
        <n v="-70585.0"/>
        <n v="-78788.0"/>
        <n v="-61443.0"/>
        <n v="-47630.0"/>
        <n v="-29355.0"/>
        <n v="-22901.0"/>
        <n v="6175.0"/>
        <n v="-18030.0"/>
        <n v="-8192.0"/>
        <n v="-29536.0"/>
        <n v="-30812.0"/>
        <n v="1681.0"/>
        <n v="47218.0"/>
        <n v="-11875.0"/>
        <n v="-2056.0"/>
        <n v="-3655.0"/>
        <n v="-10495.0"/>
        <n v="-1336.0"/>
        <n v="1189.0"/>
        <n v="-4846.0"/>
        <n v="-4382.0"/>
        <n v="-5492.0"/>
        <n v="2681.0"/>
        <n v="5177.0"/>
        <n v="-4695.0"/>
        <n v="-4001.0"/>
        <n v="-1770.0"/>
        <n v="-9384.0"/>
        <n v="4015.0"/>
        <n v="-98857.0"/>
        <n v="-69456.0"/>
        <n v="-54706.0"/>
        <n v="-21752.0"/>
        <n v="-39615.0"/>
        <n v="-35271.0"/>
        <n v="-48873.0"/>
        <n v="-9986.0"/>
        <n v="-14689.0"/>
        <n v="-10174.0"/>
        <n v="-13324.0"/>
        <n v="-4549.0"/>
        <n v="-7462.0"/>
        <n v="-3914.0"/>
        <n v="-12531.0"/>
        <n v="-5205.0"/>
        <n v="-8232.0"/>
        <n v="-13445.0"/>
        <n v="-15837.0"/>
        <n v="-6993.0"/>
        <n v="-16052.0"/>
        <n v="-6771.0"/>
        <n v="-40924.0"/>
        <n v="-19694.0"/>
        <n v="-4539.0"/>
        <n v="-152.0"/>
        <n v="-32906.0"/>
        <n v="-31052.0"/>
        <n v="-16443.0"/>
        <n v="-2199.0"/>
        <n v="-9223.0"/>
        <n v="-6237.0"/>
        <n v="-18516.0"/>
        <n v="-7637.0"/>
        <n v="-7877.0"/>
        <n v="-254.0"/>
        <n v="-984.0"/>
        <n v="-18477.0"/>
        <n v="-9907.0"/>
        <n v="-8903.0"/>
        <n v="-5288.0"/>
        <n v="-14522.0"/>
        <n v="-285.0"/>
        <n v="1817.0"/>
        <n v="-6703.0"/>
        <n v="-24118.0"/>
        <n v="786.0"/>
        <n v="-17133.0"/>
        <n v="-3802.0"/>
        <n v="-180866.0"/>
        <n v="-28767.0"/>
        <n v="-19411.0"/>
        <n v="-48567.0"/>
        <n v="-63774.0"/>
        <n v="-38989.0"/>
        <n v="-30350.0"/>
        <n v="-28721.0"/>
        <n v="-41307.0"/>
        <n v="-50859.0"/>
        <n v="-47168.0"/>
        <n v="-11392.0"/>
        <n v="-53082.0"/>
        <n v="5180.0"/>
        <n v="-63087.0"/>
        <n v="-71107.0"/>
        <n v="-55490.0"/>
        <n v="-34233.0"/>
        <n v="-78457.0"/>
        <n v="-49550.0"/>
        <n v="-13157.0"/>
        <n v="2080.0"/>
        <n v="20571.0"/>
        <n v="-68940.0"/>
        <n v="24538.0"/>
        <n v="15987.0"/>
        <n v="11833.0"/>
        <n v="-29361.0"/>
        <n v="-78669.0"/>
        <n v="-43973.0"/>
        <n v="-44527.0"/>
        <n v="-124568.0"/>
        <n v="-53127.0"/>
        <n v="-71793.0"/>
        <n v="-39251.0"/>
        <n v="-66620.0"/>
        <n v="14.0"/>
        <n v="-28575.0"/>
        <n v="-31261.0"/>
        <n v="-105888.0"/>
        <n v="-29442.0"/>
        <n v="-56965.0"/>
        <n v="-72064.0"/>
        <n v="-7793.0"/>
        <n v="-27603.0"/>
        <n v="-40793.0"/>
        <n v="-85996.0"/>
        <n v="-51354.0"/>
        <n v="3492.0"/>
        <n v="-26303.0"/>
        <n v="-43177.0"/>
        <n v="-65438.0"/>
        <n v="-54034.0"/>
        <n v="-60132.0"/>
        <n v="-44249.0"/>
        <n v="-57638.0"/>
        <n v="-45510.0"/>
        <n v="-49852.0"/>
        <n v="-59291.0"/>
        <n v="2963.0"/>
        <n v="-49008.0"/>
        <n v="-46112.0"/>
        <n v="-49819.0"/>
        <n v="-75988.0"/>
        <n v="-34361.0"/>
        <n v="-64337.0"/>
        <n v="-21810.0"/>
        <n v="-2735.0"/>
        <n v="-68678.0"/>
        <n v="-7004.0"/>
        <n v="-1938.0"/>
        <n v="-3100.0"/>
        <n v="-71058.0"/>
        <n v="-68079.0"/>
        <n v="-54933.0"/>
        <n v="-24948.0"/>
        <n v="-38528.0"/>
        <n v="-46095.0"/>
        <n v="-14509.0"/>
        <n v="-57663.0"/>
        <n v="-62196.0"/>
        <n v="-40977.0"/>
        <n v="21378.0"/>
        <n v="14930.0"/>
        <n v="3712.0"/>
        <n v="-8592.0"/>
        <n v="2055.0"/>
        <n v="1057.0"/>
        <n v="9117.0"/>
        <n v="-10838.0"/>
        <n v="10010.0"/>
        <n v="-59942.0"/>
        <n v="-86561.0"/>
        <n v="-30467.0"/>
        <n v="-1185.0"/>
      </sharedItems>
    </cacheField>
    <cacheField name="Estimated Replacement Date Time &amp; KM" numFmtId="14">
      <sharedItems containsSemiMixedTypes="0" containsDate="1" containsString="0">
        <d v="2025-05-31T00:00:00Z"/>
        <d v="2025-06-24T00:00:00Z"/>
        <d v="2025-06-26T00:00:00Z"/>
        <d v="2024-11-30T00:00:00Z"/>
        <d v="2025-01-31T00:00:00Z"/>
        <d v="2025-06-17T00:00:00Z"/>
        <d v="2025-06-30T00:00:00Z"/>
        <d v="2028-12-31T00:00:00Z"/>
        <d v="2029-01-31T00:00:00Z"/>
        <d v="2025-11-30T00:00:00Z"/>
        <d v="2029-02-28T00:00:00Z"/>
        <d v="2027-09-30T00:00:00Z"/>
        <d v="2029-09-30T00:00:00Z"/>
        <d v="2029-03-31T00:00:00Z"/>
        <d v="2027-11-30T00:00:00Z"/>
        <d v="2028-10-31T00:00:00Z"/>
        <d v="2029-04-30T00:00:00Z"/>
        <d v="2027-03-31T00:00:00Z"/>
        <d v="2028-04-30T00:00:00Z"/>
        <d v="2027-12-31T00:00:00Z"/>
        <d v="2026-02-28T00:00:00Z"/>
        <d v="2025-06-18T00:00:00Z"/>
        <d v="2025-07-31T00:00:00Z"/>
        <d v="2029-05-31T00:00:00Z"/>
        <d v="2025-10-31T00:00:00Z"/>
        <d v="2026-03-31T00:00:00Z"/>
        <d v="2028-01-31T00:00:00Z"/>
        <d v="2025-08-31T00:00:00Z"/>
        <d v="2028-02-29T00:00:00Z"/>
        <d v="2029-06-30T00:00:00Z"/>
        <d v="2027-06-30T00:00:00Z"/>
        <d v="2025-09-30T00:00:00Z"/>
        <d v="2028-06-30T00:00:00Z"/>
        <d v="2029-07-31T00:00:00Z"/>
        <d v="2028-08-31T00:00:00Z"/>
        <d v="2029-08-31T00:00:00Z"/>
        <d v="2026-05-31T00:00:00Z"/>
        <d v="2025-12-31T00:00:00Z"/>
        <d v="2028-09-30T00:00:00Z"/>
        <d v="2026-09-30T00:00:00Z"/>
        <d v="2026-10-31T00:00:00Z"/>
        <d v="2026-06-30T00:00:00Z"/>
        <d v="2027-05-31T00:00:00Z"/>
        <d v="2029-10-31T00:00:00Z"/>
        <d v="2028-06-21T00:00:00Z"/>
        <d v="2029-11-30T00:00:00Z"/>
        <d v="2028-07-31T00:00:00Z"/>
        <d v="2029-12-31T00:00:00Z"/>
        <d v="2025-06-03T00:00:00Z"/>
        <d v="2030-01-31T00:00:00Z"/>
        <d v="2026-01-31T00:00:00Z"/>
      </sharedItems>
    </cacheField>
    <cacheField name="Estimated Replacement Time" numFmtId="14">
      <sharedItems containsSemiMixedTypes="0" containsDate="1" containsString="0">
        <d v="2025-05-31T00:00:00Z"/>
        <d v="2025-06-24T00:00:00Z"/>
        <d v="2025-06-26T00:00:00Z"/>
        <d v="2024-11-30T00:00:00Z"/>
        <d v="2025-01-31T00:00:00Z"/>
        <d v="2025-06-17T00:00:00Z"/>
        <d v="2025-06-30T00:00:00Z"/>
        <d v="2028-12-31T00:00:00Z"/>
        <d v="2029-01-31T00:00:00Z"/>
        <d v="2025-11-30T00:00:00Z"/>
        <d v="2029-02-28T00:00:00Z"/>
        <d v="2027-09-30T00:00:00Z"/>
        <d v="2029-09-30T00:00:00Z"/>
        <d v="2029-03-31T00:00:00Z"/>
        <d v="2027-11-30T00:00:00Z"/>
        <d v="2028-10-31T00:00:00Z"/>
        <d v="2029-04-30T00:00:00Z"/>
        <d v="2027-03-31T00:00:00Z"/>
        <d v="2028-04-30T00:00:00Z"/>
        <d v="2027-12-31T00:00:00Z"/>
        <d v="2026-02-28T00:00:00Z"/>
        <d v="2025-06-18T00:00:00Z"/>
        <d v="2025-07-31T00:00:00Z"/>
        <d v="2029-05-31T00:00:00Z"/>
        <d v="2025-10-31T00:00:00Z"/>
        <d v="2026-03-31T00:00:00Z"/>
        <d v="2028-01-31T00:00:00Z"/>
        <d v="2025-08-31T00:00:00Z"/>
        <d v="2028-02-29T00:00:00Z"/>
        <d v="2029-06-30T00:00:00Z"/>
        <d v="2027-06-30T00:00:00Z"/>
        <d v="2025-09-30T00:00:00Z"/>
        <d v="2028-06-30T00:00:00Z"/>
        <d v="2029-07-31T00:00:00Z"/>
        <d v="2028-08-31T00:00:00Z"/>
        <d v="2029-08-31T00:00:00Z"/>
        <d v="2026-05-31T00:00:00Z"/>
        <d v="2025-12-31T00:00:00Z"/>
        <d v="2028-09-30T00:00:00Z"/>
        <d v="2026-09-30T00:00:00Z"/>
        <d v="2026-10-31T00:00:00Z"/>
        <d v="2026-06-30T00:00:00Z"/>
        <d v="2027-05-31T00:00:00Z"/>
        <d v="2029-10-31T00:00:00Z"/>
        <d v="2028-06-21T00:00:00Z"/>
        <d v="2029-11-30T00:00:00Z"/>
        <d v="2028-07-31T00:00:00Z"/>
        <d v="2029-12-31T00:00:00Z"/>
        <d v="2025-06-03T00:00:00Z"/>
        <d v="2030-01-31T00:00:00Z"/>
        <d v="2026-01-31T00:00:00Z"/>
      </sharedItems>
    </cacheField>
    <cacheField name="Estimated Replacement KM" numFmtId="0">
      <sharedItems containsSemiMixedTypes="0" containsString="0" containsNumber="1" containsInteger="1">
        <n v="91494.0"/>
        <n v="170185.0"/>
        <n v="151722.0"/>
        <n v="186447.0"/>
        <n v="150036.0"/>
        <n v="118471.0"/>
        <n v="150134.0"/>
        <n v="127842.0"/>
        <n v="147233.0"/>
        <n v="67167.0"/>
        <n v="180613.0"/>
        <n v="90659.0"/>
        <n v="180600.0"/>
        <n v="156000.0"/>
        <n v="127410.0"/>
        <n v="180599.0"/>
        <n v="150645.0"/>
        <n v="90419.0"/>
        <n v="180424.0"/>
        <n v="180426.0"/>
        <n v="220427.0"/>
        <n v="210616.0"/>
        <n v="210601.0"/>
        <n v="220603.0"/>
        <n v="195026.0"/>
        <n v="150618.0"/>
        <n v="150617.0"/>
        <n v="150620.0"/>
        <n v="215559.0"/>
        <n v="120611.0"/>
        <n v="220416.0"/>
        <n v="150624.0"/>
        <n v="150616.0"/>
        <n v="143367.0"/>
        <n v="150626.0"/>
        <n v="220646.0"/>
        <n v="150646.0"/>
        <n v="72602.0"/>
        <n v="180388.0"/>
        <n v="180387.0"/>
        <n v="180390.0"/>
        <n v="216602.0"/>
        <n v="220607.0"/>
        <n v="220601.0"/>
        <n v="180602.0"/>
        <n v="220602.0"/>
        <n v="150667.0"/>
        <n v="127072.0"/>
        <n v="149451.0"/>
        <n v="90608.0"/>
        <n v="90613.0"/>
        <n v="210608.0"/>
        <n v="180395.0"/>
        <n v="180396.0"/>
        <n v="180393.0"/>
        <n v="180397.0"/>
        <n v="180392.0"/>
        <n v="150612.0"/>
        <n v="177140.0"/>
        <n v="220641.0"/>
        <n v="220606.0"/>
        <n v="220633.0"/>
        <n v="180603.0"/>
        <n v="210596.0"/>
        <n v="220405.0"/>
        <n v="210602.0"/>
        <n v="210598.0"/>
        <n v="210638.0"/>
        <n v="210645.0"/>
        <n v="210637.0"/>
        <n v="175338.0"/>
        <n v="220439.0"/>
        <n v="174389.0"/>
        <n v="180651.0"/>
        <n v="72812.0"/>
        <n v="174760.0"/>
        <n v="72595.0"/>
        <n v="72597.0"/>
        <n v="72600.0"/>
        <n v="151699.0"/>
        <n v="72596.0"/>
        <n v="220406.0"/>
        <n v="220404.0"/>
        <n v="220403.0"/>
        <n v="220844.0"/>
        <n v="211705.0"/>
        <n v="216622.0"/>
        <n v="90646.0"/>
        <n v="180410.0"/>
        <n v="180383.0"/>
        <n v="180675.0"/>
        <n v="180384.0"/>
        <n v="90621.0"/>
        <n v="218270.0"/>
        <n v="168218.0"/>
        <n v="216103.0"/>
        <n v="210724.0"/>
        <n v="180402.0"/>
        <n v="220395.0"/>
        <n v="210499.0"/>
        <n v="180399.0"/>
        <n v="210427.0"/>
        <n v="210399.0"/>
        <n v="217396.0"/>
        <n v="180615.0"/>
        <n v="210372.0"/>
        <n v="180371.0"/>
        <n v="180368.0"/>
        <n v="180373.0"/>
        <n v="180369.0"/>
        <n v="180370.0"/>
        <n v="180587.0"/>
        <n v="210373.0"/>
        <n v="180558.0"/>
        <n v="210371.0"/>
        <n v="210374.0"/>
        <n v="210395.0"/>
        <n v="210495.0"/>
        <n v="210416.0"/>
        <n v="210403.0"/>
        <n v="210498.0"/>
        <n v="180469.0"/>
        <n v="210455.0"/>
        <n v="217347.0"/>
        <n v="180606.0"/>
        <n v="217053.0"/>
        <n v="122602.0"/>
        <n v="150212.0"/>
        <n v="220638.0"/>
        <n v="180628.0"/>
        <n v="177735.0"/>
        <n v="209500.0"/>
        <n v="209765.0"/>
        <n v="220617.0"/>
        <n v="90611.0"/>
        <n v="217735.0"/>
        <n v="180614.0"/>
        <n v="216600.0"/>
        <n v="120619.0"/>
        <n v="220635.0"/>
        <n v="220640.0"/>
        <n v="209776.0"/>
        <n v="90090.0"/>
        <n v="99598.0"/>
        <n v="190695.0"/>
        <n v="162277.0"/>
        <n v="165386.0"/>
        <n v="177153.0"/>
        <n v="85901.0"/>
        <n v="180407.0"/>
        <n v="120097.0"/>
        <n v="176417.0"/>
        <n v="166992.0"/>
        <n v="84636.0"/>
        <n v="109984.0"/>
        <n v="90852.0"/>
        <n v="88869.0"/>
        <n v="85925.0"/>
        <n v="90670.0"/>
        <n v="150644.0"/>
        <n v="180622.0"/>
        <n v="220600.0"/>
        <n v="210615.0"/>
        <n v="150382.0"/>
        <n v="88550.0"/>
        <n v="150738.0"/>
        <n v="150659.0"/>
        <n v="105605.0"/>
        <n v="90595.0"/>
        <n v="90981.0"/>
        <n v="180425.0"/>
        <n v="180451.0"/>
        <n v="220623.0"/>
        <n v="220765.0"/>
        <n v="210607.0"/>
        <n v="216636.0"/>
        <n v="220643.0"/>
        <n v="90604.0"/>
        <n v="220644.0"/>
        <n v="150607.0"/>
        <n v="132778.0"/>
        <n v="180496.0"/>
        <n v="180240.0"/>
        <n v="120693.0"/>
        <n v="138376.0"/>
        <n v="132802.0"/>
        <n v="225461.0"/>
        <n v="225456.0"/>
        <n v="225449.0"/>
        <n v="225455.0"/>
        <n v="225454.0"/>
        <n v="225424.0"/>
        <n v="225447.0"/>
        <n v="138475.0"/>
        <n v="180476.0"/>
        <n v="180470.0"/>
        <n v="180475.0"/>
        <n v="138471.0"/>
        <n v="180468.0"/>
        <n v="138474.0"/>
        <n v="180478.0"/>
        <n v="180377.0"/>
        <n v="180376.0"/>
        <n v="180016.0"/>
        <n v="220616.0"/>
        <n v="220081.0"/>
        <n v="220594.0"/>
        <n v="220630.0"/>
        <n v="180398.0"/>
        <n v="180327.0"/>
        <n v="150713.0"/>
        <n v="220705.0"/>
        <n v="180655.0"/>
        <n v="180788.0"/>
        <n v="150780.0"/>
        <n v="217639.0"/>
        <n v="120616.0"/>
        <n v="220595.0"/>
        <n v="217640.0"/>
        <n v="180405.0"/>
        <n v="220693.0"/>
        <n v="91469.0"/>
        <n v="91458.0"/>
        <n v="211446.0"/>
        <n v="133512.0"/>
        <n v="129876.0"/>
        <n v="41753.0"/>
        <n v="105418.0"/>
        <n v="117911.0"/>
        <n v="91460.0"/>
        <n v="67694.0"/>
        <n v="48662.0"/>
        <n v="45701.0"/>
        <n v="49217.0"/>
        <n v="116084.0"/>
        <n v="37389.0"/>
        <n v="100315.0"/>
        <n v="91452.0"/>
        <n v="91448.0"/>
        <n v="33972.0"/>
        <n v="56268.0"/>
        <n v="181450.0"/>
        <n v="151418.0"/>
        <n v="116260.0"/>
        <n v="88504.0"/>
        <n v="114286.0"/>
        <n v="27064.0"/>
        <n v="119016.0"/>
        <n v="114217.0"/>
        <n v="108653.0"/>
        <n v="68074.0"/>
        <n v="76445.0"/>
        <n v="91475.0"/>
        <n v="82396.0"/>
        <n v="181443.0"/>
        <n v="91459.0"/>
        <n v="47853.0"/>
        <n v="51160.0"/>
        <n v="121438.0"/>
        <n v="98369.0"/>
        <n v="91440.0"/>
        <n v="85418.0"/>
        <n v="181474.0"/>
        <n v="121444.0"/>
        <n v="85416.0"/>
        <n v="85458.0"/>
        <n v="121446.0"/>
        <n v="151460.0"/>
        <n v="181558.0"/>
        <n v="181453.0"/>
        <n v="121452.0"/>
        <n v="85424.0"/>
        <n v="91454.0"/>
        <n v="151458.0"/>
        <n v="69928.0"/>
        <n v="71126.0"/>
        <n v="79669.0"/>
        <n v="87490.0"/>
        <n v="74565.0"/>
        <n v="74255.0"/>
        <n v="72930.0"/>
        <n v="71193.0"/>
        <n v="91464.0"/>
        <n v="71488.0"/>
        <n v="76785.0"/>
        <n v="68650.0"/>
        <n v="72432.0"/>
        <n v="123773.0"/>
        <n v="77236.0"/>
        <n v="151442.0"/>
        <n v="91457.0"/>
        <n v="72929.0"/>
        <n v="91462.0"/>
        <n v="91474.0"/>
        <n v="151478.0"/>
        <n v="73856.0"/>
        <n v="218452.0"/>
        <n v="151495.0"/>
        <n v="82166.0"/>
        <n v="80811.0"/>
        <n v="151423.0"/>
        <n v="151429.0"/>
        <n v="151461.0"/>
        <n v="151465.0"/>
        <n v="181596.0"/>
        <n v="211549.0"/>
        <n v="91308.0"/>
        <n v="121590.0"/>
        <n v="121422.0"/>
        <n v="91517.0"/>
        <n v="181058.0"/>
        <n v="91435.0"/>
        <n v="181485.0"/>
        <n v="91441.0"/>
        <n v="91485.0"/>
      </sharedItems>
    </cacheField>
    <cacheField name="Deal Status" numFmtId="0">
      <sharedItems>
        <s v="Active"/>
      </sharedItems>
    </cacheField>
    <cacheField name="Supplier Responsible Name" numFmtId="0">
      <sharedItems>
        <s v="Name 1"/>
        <s v="Name 2"/>
      </sharedItems>
    </cacheField>
    <cacheField name="Excess RM YTD" numFmtId="165">
      <sharedItems containsSemiMixedTypes="0" containsString="0" containsNumber="1">
        <n v="142.8"/>
        <n v="37818.93"/>
        <n v="3924.36"/>
        <n v="38484.78"/>
        <n v="45817.29"/>
        <n v="33788.01"/>
        <n v="19430.14"/>
        <n v="8200.23"/>
        <n v="10822.96"/>
        <n v="0.0"/>
        <n v="330.99"/>
        <n v="1118.04"/>
        <n v="18749.94"/>
        <n v="17146.8"/>
        <n v="193.42"/>
        <n v="2224.56"/>
        <n v="2802.12"/>
        <n v="11230.22"/>
        <n v="7932.24"/>
        <n v="9123.04"/>
        <n v="7704.0"/>
        <n v="3525.84"/>
        <n v="17626.32"/>
        <n v="7232.12"/>
        <n v="564.3"/>
        <n v="839.3"/>
        <n v="1640.52"/>
        <n v="1655.58"/>
        <n v="4370.4"/>
        <n v="3414.8"/>
        <n v="6926.0"/>
        <n v="4627.83"/>
        <n v="7989.6"/>
        <n v="2200.8"/>
        <n v="8559.36"/>
        <n v="22177.4"/>
        <n v="1591.38"/>
        <n v="355.95"/>
        <n v="284.76"/>
        <n v="9920.57"/>
        <n v="560.7"/>
        <n v="602.91"/>
        <n v="2363.68"/>
        <n v="15672.72"/>
        <n v="20503.28"/>
        <n v="7464.24"/>
        <n v="2001.07"/>
        <n v="4886.64"/>
        <n v="893.88"/>
        <n v="8277.36"/>
        <n v="3494.37"/>
        <n v="1440.53"/>
        <n v="11714.43"/>
        <n v="5217.03"/>
        <n v="2513.42"/>
        <n v="5356.24"/>
        <n v="5319.9"/>
        <n v="3280.9"/>
        <n v="4509.0"/>
        <n v="12888.0"/>
        <n v="2890.05"/>
        <n v="1890.73"/>
        <n v="2391.24"/>
        <n v="5718.66"/>
        <n v="1116.15"/>
        <n v="5831.88"/>
        <n v="2022.36"/>
        <n v="3349.32"/>
        <n v="5027.58"/>
        <n v="3083.16"/>
        <n v="2239.6"/>
        <n v="1691.13"/>
        <n v="2143.35"/>
        <n v="1793.22"/>
        <n v="598.92"/>
        <n v="335.34"/>
        <n v="4798.99"/>
        <n v="1359.3"/>
        <n v="697.36"/>
        <n v="2082.88"/>
        <n v="1831.04"/>
        <n v="707.52"/>
        <n v="3729.44"/>
        <n v="1735.58"/>
        <n v="447.85"/>
        <n v="3059.35"/>
        <n v="3635.2"/>
        <n v="2081.07"/>
        <n v="3617.79"/>
        <n v="977.12"/>
        <n v="656.64"/>
        <n v="526.82"/>
        <n v="669.3"/>
        <n v="1732.8"/>
        <n v="781.0"/>
        <n v="3846.92"/>
        <n v="3455.76"/>
        <n v="3313.2"/>
        <n v="17624.9"/>
        <n v="8909.28"/>
        <n v="1583.6"/>
        <n v="2240.0"/>
        <n v="1930.6"/>
        <n v="6910.54"/>
        <n v="3201.24"/>
        <n v="1264.92"/>
        <n v="54563.85"/>
        <n v="5330.81"/>
        <n v="1440.05"/>
        <n v="3362.31"/>
        <n v="12243.76"/>
        <n v="2034.25"/>
        <n v="2217.08"/>
        <n v="2595.21"/>
        <n v="3988.6"/>
        <n v="2781.07"/>
        <n v="15901.16"/>
        <n v="1110.9"/>
        <n v="4332.21"/>
        <n v="1323.7"/>
        <n v="2187.5"/>
        <n v="2173.31"/>
        <n v="3779.26"/>
        <n v="6447.84"/>
        <n v="5699.82"/>
        <n v="1771.03"/>
        <n v="2491.36"/>
        <n v="5365.74"/>
        <n v="2551.3"/>
        <n v="2806.44"/>
        <n v="3570.32"/>
        <n v="507.16"/>
        <n v="749.32"/>
        <n v="2044.24"/>
        <n v="1848.88"/>
        <n v="232.76"/>
        <n v="3307.2"/>
        <n v="249.9"/>
        <n v="654.58"/>
        <n v="1399.95"/>
        <n v="434.01"/>
        <n v="5422.8"/>
        <n v="4885.3"/>
        <n v="358.8"/>
        <n v="1639.44"/>
        <n v="2631.53"/>
        <n v="2685.83"/>
        <n v="1119.62"/>
        <n v="3389.17"/>
        <n v="1831.26"/>
        <n v="7240.14"/>
        <n v="3488.64"/>
        <n v="1484.44"/>
        <n v="6096.91"/>
        <n v="4124.37"/>
        <n v="6866.84"/>
        <n v="109.2"/>
        <n v="1194.3"/>
        <n v="936.7"/>
        <n v="1705.2"/>
        <n v="926.0"/>
        <n v="7372.58"/>
        <n v="16897.17"/>
        <n v="8459.94"/>
        <n v="713.24"/>
        <n v="2754.77"/>
        <n v="3569.1"/>
        <n v="8561.09"/>
        <n v="20219.58"/>
        <n v="17567.49"/>
        <n v="17449.26"/>
        <n v="22876.74"/>
        <n v="268.65"/>
        <n v="343.2"/>
        <n v="814.0"/>
        <n v="1073.92"/>
        <n v="4465.19"/>
        <n v="761.87"/>
        <n v="1442.59"/>
        <n v="7184.34"/>
        <n v="7730.0"/>
        <n v="18637.12"/>
        <n v="571.9"/>
        <n v="11313.27"/>
        <n v="1027.64"/>
        <n v="5047.42"/>
        <n v="1783.08"/>
        <n v="2334.27"/>
        <n v="590.8"/>
        <n v="4720.17"/>
        <n v="1744.74"/>
        <n v="7020.0"/>
        <n v="3289.68"/>
        <n v="3354.51"/>
        <n v="1508.53"/>
        <n v="928.2"/>
        <n v="3121.04"/>
        <n v="402.22"/>
        <n v="374.92"/>
        <n v="2795.85"/>
        <n v="263.2"/>
        <n v="2478.96"/>
        <n v="1186.56"/>
        <n v="1798.74"/>
        <n v="10645.5"/>
        <n v="6867.8"/>
        <n v="6689.64"/>
        <n v="18075.72"/>
        <n v="13940.04"/>
        <n v="7004.92"/>
        <n v="13917.83"/>
        <n v="12747.92"/>
        <n v="10042.92"/>
        <n v="2873.23"/>
        <n v="6302.22"/>
      </sharedItems>
    </cacheField>
    <cacheField name="Excess RV YTD" numFmtId="165">
      <sharedItems containsSemiMixedTypes="0" containsString="0" containsNumber="1">
        <n v="462.4"/>
        <n v="25067.17"/>
        <n v="2576.6"/>
        <n v="30354.48"/>
        <n v="30093.64"/>
        <n v="22170.36"/>
        <n v="12747.4"/>
        <n v="5379.03"/>
        <n v="4564.77"/>
        <n v="0.0"/>
        <n v="921.58"/>
        <n v="7546.77"/>
        <n v="38635.05"/>
        <n v="40367.73"/>
        <n v="514.09"/>
        <n v="3449.68"/>
        <n v="36113.42"/>
        <n v="24017.06"/>
        <n v="26168.72"/>
        <n v="23326.0"/>
        <n v="10675.46"/>
        <n v="53368.58"/>
        <n v="21932.19"/>
        <n v="3098.76"/>
        <n v="8719.1"/>
        <n v="4338.72"/>
        <n v="3005.94"/>
        <n v="672.35"/>
        <n v="537.88"/>
        <n v="13946.8"/>
        <n v="1059.1"/>
        <n v="1138.83"/>
        <n v="2842.4"/>
        <n v="8358.9"/>
        <n v="4331.88"/>
        <n v="33746.16"/>
        <n v="5872.93"/>
        <n v="47758.83"/>
        <n v="21269.43"/>
        <n v="10247.02"/>
        <n v="13623.48"/>
        <n v="9603.3"/>
        <n v="2889.0"/>
        <n v="2769.52"/>
        <n v="1680.64"/>
        <n v="9450.12"/>
        <n v="1008.8"/>
        <n v="10226.92"/>
        <n v="3840.54"/>
        <n v="2212.08"/>
        <n v="2561.52"/>
        <n v="4238.52"/>
        <n v="9570.6"/>
        <n v="2168.4"/>
        <n v="1318.2"/>
        <n v="3731.9"/>
        <n v="8935.12"/>
        <n v="771.68"/>
        <n v="1144.0"/>
        <n v="6045.16"/>
        <n v="7319.16"/>
        <n v="36984.51"/>
        <n v="15623.52"/>
        <n v="2978.64"/>
        <n v="18301.54"/>
        <n v="9387.42"/>
        <n v="2331.72"/>
        <n v="161707.41"/>
        <n v="17129.95"/>
        <n v="2567.8"/>
        <n v="11913.37"/>
        <n v="34559.0"/>
        <n v="7879.5"/>
        <n v="6032.52"/>
        <n v="8331.99"/>
        <n v="14928.76"/>
        <n v="6893.92"/>
        <n v="39416.96"/>
        <n v="1713.96"/>
        <n v="3868.8"/>
        <n v="3093.75"/>
        <n v="2555.19"/>
        <n v="2794.77"/>
        <n v="8164.32"/>
        <n v="23146.83"/>
        <n v="1494.35"/>
        <n v="2558.75"/>
        <n v="18664.65"/>
        <n v="730.1"/>
        <n v="4090.05"/>
        <n v="1267.99"/>
        <n v="8514.38"/>
        <n v="629.2"/>
        <n v="3805.12"/>
        <n v="3211.34"/>
        <n v="11208.4"/>
        <n v="6117.76"/>
        <n v="3121.69"/>
        <n v="16714.19"/>
        <n v="25871.22"/>
        <n v="31496.26"/>
        <n v="397.6"/>
        <n v="5183.56"/>
        <n v="4898.96"/>
        <n v="6861.4"/>
        <n v="3217.85"/>
        <n v="14077.13"/>
        <n v="42841.54"/>
        <n v="17661.98"/>
        <n v="4603.64"/>
        <n v="4428.43"/>
        <n v="7082.98"/>
        <n v="22979.72"/>
        <n v="50554.42"/>
        <n v="43016.47"/>
        <n v="41835.21"/>
        <n v="42563.01"/>
        <n v="1343.25"/>
        <n v="343.2"/>
        <n v="4265.36"/>
        <n v="2858.8"/>
        <n v="22372.27"/>
        <n v="2496.34"/>
        <n v="7451.92"/>
        <n v="38513.64"/>
        <n v="38650.0"/>
        <n v="61175.45"/>
        <n v="2874.55"/>
        <n v="30513.81"/>
        <n v="6918.92"/>
        <n v="22130.28"/>
        <n v="6177.36"/>
        <n v="8356.01"/>
        <n v="2143.76"/>
        <n v="14782.95"/>
        <n v="8174.43"/>
        <n v="34812.7"/>
        <n v="15169.08"/>
        <n v="8421.94"/>
        <n v="3585.85"/>
        <n v="2907.0"/>
        <n v="31090.36"/>
        <n v="1259.7"/>
        <n v="1174.2"/>
        <n v="12949.2"/>
        <n v="1433.5"/>
        <n v="5665.92"/>
        <n v="4465.91"/>
        <n v="4197.06"/>
        <n v="48244.5"/>
        <n v="27919.1"/>
        <n v="28593.69"/>
        <n v="92803.87"/>
        <n v="50918.5"/>
        <n v="24120.12"/>
        <n v="29643.55"/>
        <n v="50905.42"/>
        <n v="38309.4"/>
        <n v="8037.77"/>
        <n v="17623.22"/>
      </sharedItems>
    </cacheField>
    <cacheField name="Under Utilisation RM YTD" numFmtId="165">
      <sharedItems containsSemiMixedTypes="0" containsString="0" containsNumber="1">
        <n v="-20175.66"/>
        <n v="-24150.07"/>
        <n v="-27866.48"/>
        <n v="-8261.8"/>
        <n v="-70753.15"/>
        <n v="-53697.44"/>
        <n v="-19608.77"/>
        <n v="-45460.72"/>
        <n v="-31910.81"/>
        <n v="-64259.47"/>
        <n v="-8719.04"/>
        <n v="-628.14"/>
        <n v="-9136.72"/>
        <n v="0.0"/>
        <n v="-3059.76"/>
        <n v="-4206.82"/>
        <n v="-1812.22"/>
        <n v="-8755.45"/>
        <n v="-10078.75"/>
        <n v="-38541.6"/>
        <n v="-9032.85"/>
        <n v="-12496.2"/>
        <n v="-13957.78"/>
        <n v="-2447.43"/>
        <n v="-1723.68"/>
        <n v="-6786.12"/>
        <n v="-21287.64"/>
        <n v="-3099.6"/>
        <n v="-8052.8"/>
        <n v="-15357.2"/>
        <n v="-6489.63"/>
        <n v="-8155.98"/>
        <n v="-15477.84"/>
        <n v="-13619.34"/>
        <n v="-3427.83"/>
        <n v="-11062.17"/>
        <n v="-10176.8"/>
        <n v="-3700.4"/>
        <n v="-1885.95"/>
        <n v="-2742.85"/>
        <n v="-5847.05"/>
        <n v="-779.88"/>
        <n v="-9360.3"/>
        <n v="-22484.0"/>
        <n v="-19172.4"/>
        <n v="-33492.0"/>
        <n v="-2909.4"/>
        <n v="-50200.8"/>
        <n v="-12125.76"/>
        <n v="-3793.2"/>
        <n v="-38410.19"/>
        <n v="-7069.14"/>
        <n v="-9853.02"/>
        <n v="-121179.62"/>
        <n v="-2887.73"/>
        <n v="-1476.2"/>
        <n v="-1245.06"/>
        <n v="-1940.95"/>
        <n v="-10805.15"/>
        <n v="-2649.47"/>
        <n v="-2269.85"/>
        <n v="-2174.81"/>
        <n v="-6185.85"/>
        <n v="-9271.46"/>
        <n v="-5589.6"/>
        <n v="-19624.11"/>
        <n v="-33718.08"/>
        <n v="-13247.36"/>
        <n v="-27799.41"/>
        <n v="-7000.2"/>
        <n v="-70455.84"/>
        <n v="-10026.8"/>
        <n v="-98683.2"/>
        <n v="-39066.16"/>
        <n v="-43843.52"/>
        <n v="-40928.16"/>
        <n v="-29420.16"/>
        <n v="-4954.03"/>
        <n v="-11148.8"/>
        <n v="-7494.4"/>
        <n v="-22661.76"/>
        <n v="-2397.6"/>
        <n v="-3112.6"/>
        <n v="-17412.78"/>
        <n v="-6839.82"/>
        <n v="-4310.24"/>
        <n v="-4184.63"/>
        <n v="-13388.66"/>
        <n v="-8158.33"/>
        <n v="-1932.8"/>
        <n v="-10622.4"/>
        <n v="-7495.6"/>
        <n v="-10195.2"/>
        <n v="-4982.28"/>
        <n v="-13391.92"/>
        <n v="-6803.37"/>
        <n v="-9399.6"/>
        <n v="-14956.8"/>
        <n v="-4074.6"/>
        <n v="-3178.8"/>
        <n v="-2928.63"/>
        <n v="-57728.77"/>
        <n v="-4525.99"/>
        <n v="-728.5"/>
        <n v="-8231.74"/>
        <n v="-2396.69"/>
        <n v="-4540.23"/>
        <n v="-24679.86"/>
        <n v="-5393.91"/>
        <n v="-5786.46"/>
        <n v="-4620.99"/>
        <n v="-2345.85"/>
        <n v="-9057.3"/>
        <n v="-13997.49"/>
        <n v="-22830.88"/>
        <n v="-4385.15"/>
        <n v="-8961.92"/>
        <n v="-4429.47"/>
        <n v="-6536.76"/>
        <n v="-4510.41"/>
        <n v="-3191.94"/>
        <n v="-4168.52"/>
        <n v="-2529.08"/>
        <n v="-5703.81"/>
        <n v="-4844.72"/>
        <n v="-1660.6"/>
        <n v="-3220.0"/>
        <n v="-6882.52"/>
        <n v="-3319.6"/>
        <n v="-2995.52"/>
        <n v="-7824.52"/>
        <n v="-6998.2"/>
        <n v="-6033.36"/>
        <n v="-1778.63"/>
        <n v="-4658.61"/>
        <n v="-6036.16"/>
        <n v="-8734.68"/>
        <n v="-13860.12"/>
        <n v="-5279.92"/>
        <n v="-2518.83"/>
        <n v="-3298.02"/>
        <n v="-2307.46"/>
        <n v="-2788.98"/>
        <n v="-5043.93"/>
        <n v="-1376.0"/>
        <n v="-12291.32"/>
        <n v="-5360.0"/>
        <n v="-11898.35"/>
        <n v="-18845.63"/>
        <n v="-19411.59"/>
        <n v="-8723.0"/>
        <n v="-385.25"/>
        <n v="-16055.51"/>
        <n v="-13093.65"/>
        <n v="-13363.61"/>
        <n v="-16167.2"/>
        <n v="-2240.64"/>
        <n v="-1579.2"/>
        <n v="-7910.8"/>
        <n v="-5468.96"/>
        <n v="-9746.58"/>
        <n v="-3977.0"/>
        <n v="-6066.45"/>
        <n v="-4508.0"/>
        <n v="-6590.6"/>
        <n v="-4104.84"/>
        <n v="-8508.5"/>
        <n v="-7893.36"/>
        <n v="-6531.6"/>
        <n v="-17967.86"/>
        <n v="-4402.08"/>
        <n v="-65092.8"/>
        <n v="-5196.8"/>
        <n v="-863.04"/>
        <n v="-2584.08"/>
        <n v="-2624.7"/>
        <n v="-5545.92"/>
        <n v="-3999.58"/>
        <n v="-6865.72"/>
        <n v="-9937.9"/>
        <n v="-19103.02"/>
        <n v="-4284.0"/>
        <n v="-8438.0"/>
        <n v="-10847.19"/>
        <n v="-7753.52"/>
        <n v="-10391.45"/>
        <n v="-6181.8"/>
        <n v="-7210.72"/>
        <n v="-968.24"/>
        <n v="-7000.8"/>
        <n v="-8345.64"/>
        <n v="-5882.0"/>
        <n v="-2117.31"/>
        <n v="-7243.75"/>
        <n v="-2247.24"/>
        <n v="-6080.76"/>
        <n v="-7830.6"/>
        <n v="-2846.87"/>
        <n v="-1465.22"/>
        <n v="-2639.67"/>
        <n v="-2843.82"/>
        <n v="-6875.31"/>
        <n v="-3872.16"/>
        <n v="-1259.54"/>
        <n v="-4793.18"/>
        <n v="-2606.97"/>
        <n v="-3304.56"/>
        <n v="-5873.26"/>
        <n v="-1898.54"/>
        <n v="-62279.91"/>
        <n v="-42378.21"/>
        <n v="-33518.52"/>
        <n v="-14294.07"/>
        <n v="-25333.56"/>
        <n v="-21799.26"/>
        <n v="-30579.57"/>
        <n v="-8742.62"/>
        <n v="-10444.72"/>
        <n v="-5188.74"/>
        <n v="-10413.0"/>
        <n v="-3326.3"/>
        <n v="-3868.28"/>
        <n v="-2272.92"/>
        <n v="-6378.84"/>
        <n v="-2290.2"/>
        <n v="-4371.4"/>
        <n v="-7960.04"/>
        <n v="-8817.16"/>
        <n v="-3309.68"/>
        <n v="-11654.24"/>
        <n v="-3194.84"/>
        <n v="-22917.44"/>
        <n v="-11028.64"/>
        <n v="-2742.52"/>
        <n v="-1376.39"/>
        <n v="-13162.4"/>
        <n v="-12420.8"/>
        <n v="-9372.51"/>
        <n v="-1342.0"/>
        <n v="-4058.12"/>
        <n v="-4615.38"/>
        <n v="-16532.4"/>
        <n v="-4658.57"/>
        <n v="-9062.16"/>
        <n v="-301.8"/>
        <n v="-2105.6"/>
        <n v="-11315.72"/>
        <n v="-8729.1"/>
        <n v="-4413.73"/>
        <n v="-2447.76"/>
        <n v="-10214.51"/>
        <n v="-2141.43"/>
        <n v="-5918.67"/>
        <n v="-3820.71"/>
        <n v="-13747.26"/>
        <n v="-2751.0"/>
        <n v="-11332.05"/>
        <n v="-8496.05"/>
        <n v="-78916.18"/>
        <n v="-19110.54"/>
        <n v="-16267.12"/>
        <n v="-15833.49"/>
        <n v="-29708.62"/>
        <n v="-16104.41"/>
        <n v="-12038.63"/>
        <n v="-10077.74"/>
        <n v="-19704.86"/>
        <n v="-16910.73"/>
        <n v="-15408.05"/>
        <n v="-11151.44"/>
        <n v="-24606.22"/>
        <n v="-12851.65"/>
        <n v="-22109.53"/>
        <n v="-40775.98"/>
        <n v="-20144.79"/>
        <n v="-12469.09"/>
        <n v="-44427.6"/>
        <n v="-24151.07"/>
        <n v="-9534.07"/>
        <n v="-6833.39"/>
        <n v="-8643.17"/>
        <n v="-22615.83"/>
        <n v="-4375.85"/>
        <n v="-8100.71"/>
        <n v="-15747.41"/>
        <n v="-9723.83"/>
        <n v="-38339.52"/>
        <n v="-15430.23"/>
        <n v="-21797.88"/>
        <n v="-60158.5"/>
        <n v="-21069.32"/>
        <n v="-28726.47"/>
        <n v="-18176.77"/>
        <n v="-23328.32"/>
        <n v="-4154.74"/>
        <n v="-9760.47"/>
        <n v="-10281.26"/>
        <n v="-45680.09"/>
        <n v="-12839.02"/>
        <n v="-18877.6"/>
        <n v="-28597.41"/>
        <n v="-8375.05"/>
        <n v="-16121.21"/>
        <n v="-22383.18"/>
        <n v="-53395.85"/>
        <n v="-33193.32"/>
        <n v="-7917.3"/>
        <n v="-22815.83"/>
        <n v="-31410.73"/>
        <n v="-40878.97"/>
        <n v="-32446.33"/>
        <n v="-33832.08"/>
        <n v="-26661.15"/>
        <n v="-35016.1"/>
        <n v="-27701.28"/>
        <n v="-31199.63"/>
        <n v="-36428.14"/>
        <n v="-1756.96"/>
        <n v="-25632.74"/>
        <n v="-22379.76"/>
        <n v="-31710.22"/>
        <n v="-48145.63"/>
        <n v="-20823.85"/>
        <n v="-18699.28"/>
        <n v="-14480.69"/>
        <n v="-2966.45"/>
        <n v="-36570.8"/>
        <n v="-5616.9"/>
        <n v="-1882.57"/>
        <n v="-2774.48"/>
        <n v="-32008.7"/>
        <n v="-32955.22"/>
        <n v="-29114.49"/>
        <n v="-13653.44"/>
        <n v="-20153.16"/>
        <n v="-28048.53"/>
        <n v="-8315.04"/>
        <n v="-26435.39"/>
        <n v="-17513.47"/>
        <n v="-21527.1"/>
        <n v="-521.52"/>
        <n v="-3433.02"/>
        <n v="-21375.27"/>
        <n v="-10709.9"/>
        <n v="-5433.02"/>
        <n v="-7590.88"/>
        <n v="-15138.11"/>
        <n v="-2156.6"/>
        <n v="-38625.32"/>
        <n v="-40232.51"/>
        <n v="-21476.98"/>
        <n v="-5839.36"/>
      </sharedItems>
    </cacheField>
    <cacheField name="Under Utilisation RM (CPK)" numFmtId="165">
      <sharedItems containsSemiMixedTypes="0" containsString="0" containsNumber="1">
        <n v="0.38"/>
        <n v="0.69"/>
        <n v="0.78"/>
        <n v="0.87"/>
        <n v="0.44"/>
        <n v="0.6"/>
        <n v="0.57"/>
        <n v="0.34"/>
        <n v="0.55"/>
        <n v="0.45"/>
        <n v="0.63"/>
        <n v="0.66"/>
        <n v="0.56"/>
        <n v="0.4"/>
        <n v="0.8"/>
        <n v="0.41"/>
        <n v="0.48"/>
        <n v="0.75"/>
        <n v="0.62"/>
        <n v="0.53"/>
        <n v="0.7"/>
        <n v="0.33"/>
        <n v="0.79"/>
        <n v="0.77"/>
        <n v="0.43"/>
        <n v="0.71"/>
        <n v="0.61"/>
        <n v="0.67"/>
        <n v="0.46"/>
        <n v="1.12"/>
        <n v="0.96"/>
        <n v="0.86"/>
        <n v="0.84"/>
        <n v="0.65"/>
        <n v="0.72"/>
        <n v="0.59"/>
        <n v="0.51"/>
        <n v="1.03"/>
        <n v="1.04"/>
        <n v="1.05"/>
        <n v="0.68"/>
        <n v="0.5"/>
        <n v="0.49"/>
        <n v="0.52"/>
        <n v="0.74"/>
        <n v="0.47"/>
        <n v="0.37"/>
        <n v="0.42"/>
        <n v="0.89"/>
        <n v="0.36"/>
        <n v="1.0"/>
        <n v="0.81"/>
        <n v="0.76"/>
        <n v="0.83"/>
        <n v="0.32"/>
        <n v="0.73"/>
        <n v="0.28"/>
        <n v="0.58"/>
      </sharedItems>
    </cacheField>
    <cacheField name="Total Under Utilisation RM Amount Excl VAT" numFmtId="165">
      <sharedItems containsSemiMixedTypes="0" containsString="0" containsNumber="1">
        <n v="-585.96"/>
        <n v="-4957.65"/>
        <n v="-2858.67"/>
        <n v="0.0"/>
        <n v="-5173.62"/>
        <n v="-2107.95"/>
        <n v="-1583.55"/>
        <n v="-4225.59"/>
        <n v="-4095.84"/>
        <n v="-2375.1"/>
        <n v="-1730.08"/>
        <n v="-2675.58"/>
        <n v="-973.08"/>
        <n v="-135.28"/>
        <n v="-925.1"/>
        <n v="-2451.35"/>
        <n v="-7468.65"/>
        <n v="-1273.05"/>
        <n v="-1502.4"/>
        <n v="-1915.96"/>
        <n v="-2319.9"/>
        <n v="-3166.02"/>
        <n v="-1932.56"/>
        <n v="-1771.6"/>
        <n v="-4068.4"/>
        <n v="-4452.21"/>
        <n v="-514.08"/>
        <n v="-962.01"/>
        <n v="-839.85"/>
        <n v="-279.95"/>
        <n v="-683.65"/>
        <n v="-2572.75"/>
        <n v="-3600.0"/>
        <n v="-2670.8"/>
        <n v="-6170.8"/>
        <n v="-1338.6"/>
        <n v="-8988.8"/>
        <n v="-2768.16"/>
        <n v="-5964.75"/>
        <n v="-1841.67"/>
        <n v="-2276.01"/>
        <n v="-20895.86"/>
        <n v="-429.83"/>
        <n v="-657.25"/>
        <n v="-4950.0"/>
        <n v="-1853.34"/>
        <n v="-1101.6"/>
        <n v="-6663.84"/>
        <n v="-2842.56"/>
        <n v="-7805.28"/>
        <n v="-1948.2"/>
        <n v="-15281.84"/>
        <n v="-1894.4"/>
        <n v="-25021.36"/>
        <n v="-6101.2"/>
        <n v="-9778.72"/>
        <n v="-8099.28"/>
        <n v="-11809.84"/>
        <n v="-525.0"/>
        <n v="-2775.6"/>
        <n v="-2547.6"/>
        <n v="-8638.74"/>
        <n v="-799.2"/>
        <n v="-2526.81"/>
        <n v="-1747.48"/>
        <n v="-3401.86"/>
        <n v="-1978.16"/>
        <n v="-2223.2"/>
        <n v="-748.8"/>
        <n v="-3132.8"/>
        <n v="-1774.08"/>
        <n v="-1989.61"/>
        <n v="-1659.42"/>
        <n v="-2364.0"/>
        <n v="-2299.8"/>
        <n v="-820.8"/>
        <n v="-297.0"/>
        <n v="-922.91"/>
        <n v="-6228.75"/>
        <n v="-1623.77"/>
        <n v="-728.5"/>
        <n v="-4691.54"/>
        <n v="-615.49"/>
        <n v="-2413.77"/>
        <n v="-3525.45"/>
        <n v="-772.35"/>
        <n v="-2303.94"/>
        <n v="-2938.35"/>
        <n v="-3779.52"/>
        <n v="-608.96"/>
        <n v="-3264.96"/>
        <n v="-511.06"/>
        <n v="-802.24"/>
        <n v="-241.5"/>
        <n v="-1283.86"/>
        <n v="-1221.44"/>
        <n v="-1422.78"/>
        <n v="-352.82"/>
        <n v="-473.0"/>
        <n v="-1833.92"/>
        <n v="-1809.18"/>
        <n v="-1245.45"/>
        <n v="-417.26"/>
        <n v="-362.52"/>
        <n v="-677.04"/>
        <n v="-2188.5"/>
        <n v="-1376.85"/>
        <n v="-1766.25"/>
        <n v="-4294.08"/>
        <n v="-6614.4"/>
        <n v="-1732.4"/>
        <n v="-2684.92"/>
        <n v="-3568.5"/>
        <n v="-2903.94"/>
        <n v="-2704.24"/>
        <n v="-1398.0"/>
        <n v="-1058.35"/>
        <n v="-2424.75"/>
        <n v="-1027.2"/>
        <n v="-992.62"/>
        <n v="-4236.7"/>
        <n v="-2831.04"/>
        <n v="-1339.8"/>
        <n v="-4970.16"/>
        <n v="-1537.92"/>
        <n v="-3038.07"/>
        <n v="-482.72"/>
        <n v="-599.04"/>
        <n v="-705.25"/>
        <n v="-2025.66"/>
        <n v="-2821.0"/>
        <n v="-2603.55"/>
        <n v="-4184.94"/>
        <n v="-2096.33"/>
        <n v="-1189.8"/>
        <n v="-480.8"/>
        <n v="-1838.4"/>
        <n v="-2790.04"/>
        <n v="-1307.64"/>
        <n v="-2117.31"/>
        <n v="-1722.03"/>
        <n v="-827.64"/>
        <n v="-1585.96"/>
        <n v="-380.76"/>
        <n v="-1449.97"/>
        <n v="-1621.99"/>
        <n v="-489.9"/>
        <n v="-1138.33"/>
        <n v="-1303.15"/>
        <n v="-609.28"/>
        <n v="-1579.76"/>
        <n v="-16770.6"/>
        <n v="-12306.42"/>
        <n v="-10635.03"/>
        <n v="-6194.79"/>
        <n v="-14188.86"/>
        <n v="-11642.4"/>
        <n v="-15423.66"/>
        <n v="-1711.2"/>
        <n v="-1840.8"/>
        <n v="-1949.22"/>
        <n v="-2219.88"/>
        <n v="-1278.44"/>
        <n v="-705.64"/>
        <n v="-301.94"/>
        <n v="-2213.64"/>
        <n v="-576.84"/>
        <n v="-817.96"/>
        <n v="-1264.12"/>
        <n v="-1468.72"/>
        <n v="-1432.2"/>
        <n v="-1362.4"/>
        <n v="-1709.84"/>
        <n v="-8090.32"/>
        <n v="-3767.12"/>
        <n v="-540.5"/>
        <n v="-208.56"/>
        <n v="-4094.8"/>
        <n v="-4198.4"/>
        <n v="-2368.92"/>
        <n v="-371.36"/>
        <n v="-973.72"/>
        <n v="-1380.1"/>
        <n v="-2883.6"/>
        <n v="-2601.04"/>
        <n v="-4240.11"/>
        <n v="-704.2"/>
        <n v="-2675.24"/>
        <n v="-1991.04"/>
        <n v="-1259.48"/>
        <n v="-1156.67"/>
        <n v="-1101.81"/>
        <n v="-6446.7"/>
        <n v="-1435.8"/>
        <n v="-532.22"/>
        <n v="-4604.12"/>
        <n v="-2311.4"/>
        <n v="-821.88"/>
        <n v="-6045.0"/>
        <n v="-429.78"/>
        <n v="-521.64"/>
        <n v="-411.84"/>
        <n v="-614.88"/>
        <n v="-1472.0"/>
        <n v="-906.3"/>
        <n v="-1258.0"/>
        <n v="-815.86"/>
        <n v="-3663.6"/>
        <n v="-3360.0"/>
        <n v="-1101.0"/>
        <n v="-1128.6"/>
        <n v="-1050.48"/>
        <n v="-1671.28"/>
        <n v="-902.12"/>
        <n v="-2860.0"/>
        <n v="-4045.08"/>
        <n v="-805.39"/>
        <n v="-698.5"/>
        <n v="-563.16"/>
        <n v="-1171.92"/>
        <n v="-605.72"/>
        <n v="-719.28"/>
        <n v="-3256.34"/>
        <n v="-878.92"/>
        <n v="-1425.88"/>
        <n v="-3784.16"/>
        <n v="-2124.57"/>
        <n v="-1345.9"/>
        <n v="-920.4"/>
        <n v="-2059.83"/>
        <n v="-906.39"/>
        <n v="-2638.1"/>
        <n v="-1010.16"/>
        <n v="-285.48"/>
        <n v="-1122.42"/>
        <n v="-667.28"/>
        <n v="-2698.33"/>
        <n v="-3107.07"/>
        <n v="-1376.1"/>
        <n v="-1288.32"/>
        <n v="-1114.14"/>
        <n v="-1639.49"/>
        <n v="-581.44"/>
        <n v="-1555.75"/>
        <n v="-1691.53"/>
        <n v="-6693.9"/>
        <n v="-426.96"/>
        <n v="-284.7"/>
        <n v="-966.0"/>
        <n v="-1243.62"/>
        <n v="-2817.01"/>
        <n v="-1429.36"/>
        <n v="-610.05"/>
        <n v="-1786.36"/>
        <n v="-1673.84"/>
        <n v="-797.64"/>
      </sharedItems>
    </cacheField>
    <cacheField name="Total Under Utilisation Amount Incl VAT" numFmtId="165">
      <sharedItems containsSemiMixedTypes="0" containsString="0" containsNumber="1">
        <n v="-673.85"/>
        <n v="-5701.3"/>
        <n v="-3287.47"/>
        <n v="0.0"/>
        <n v="-5949.66"/>
        <n v="-2424.14"/>
        <n v="-1821.08"/>
        <n v="-4859.43"/>
        <n v="-4710.22"/>
        <n v="-2731.37"/>
        <n v="-1989.59"/>
        <n v="-3076.92"/>
        <n v="-1119.04"/>
        <n v="-155.57"/>
        <n v="-1063.87"/>
        <n v="-2819.05"/>
        <n v="-8588.95"/>
        <n v="-1464.01"/>
        <n v="-1727.76"/>
        <n v="-2203.35"/>
        <n v="-2667.89"/>
        <n v="-3640.92"/>
        <n v="-2222.44"/>
        <n v="-2037.34"/>
        <n v="-4678.66"/>
        <n v="-5120.04"/>
        <n v="-591.19"/>
        <n v="-1106.31"/>
        <n v="-965.83"/>
        <n v="-321.94"/>
        <n v="-786.2"/>
        <n v="-2958.66"/>
        <n v="-4140.0"/>
        <n v="-3071.42"/>
        <n v="-7096.42"/>
        <n v="-1539.39"/>
        <n v="-10337.12"/>
        <n v="-3183.38"/>
        <n v="-6859.46"/>
        <n v="-2117.92"/>
        <n v="-2617.41"/>
        <n v="-24030.24"/>
        <n v="-494.3"/>
        <n v="-755.84"/>
        <n v="-5692.5"/>
        <n v="-2131.34"/>
        <n v="-1266.84"/>
        <n v="-7663.42"/>
        <n v="-3268.94"/>
        <n v="-8976.07"/>
        <n v="-2240.43"/>
        <n v="-17574.12"/>
        <n v="-2178.56"/>
        <n v="-28774.56"/>
        <n v="-7016.38"/>
        <n v="-11245.53"/>
        <n v="-9314.17"/>
        <n v="-13581.32"/>
        <n v="-603.75"/>
        <n v="-3191.94"/>
        <n v="-2929.74"/>
        <n v="-9934.55"/>
        <n v="-919.08"/>
        <n v="-2905.83"/>
        <n v="-2009.6"/>
        <n v="-3912.14"/>
        <n v="-2274.88"/>
        <n v="-2556.68"/>
        <n v="-861.12"/>
        <n v="-3602.72"/>
        <n v="-2040.19"/>
        <n v="-2288.05"/>
        <n v="-1908.33"/>
        <n v="-2718.6"/>
        <n v="-2644.77"/>
        <n v="-943.92"/>
        <n v="-341.55"/>
        <n v="-1061.35"/>
        <n v="-7163.06"/>
        <n v="-1867.34"/>
        <n v="-837.78"/>
        <n v="-5395.27"/>
        <n v="-707.81"/>
        <n v="-2775.84"/>
        <n v="-4054.27"/>
        <n v="-888.2"/>
        <n v="-2649.53"/>
        <n v="-3379.1"/>
        <n v="-4346.45"/>
        <n v="-700.3"/>
        <n v="-3754.7"/>
        <n v="-587.72"/>
        <n v="-922.58"/>
        <n v="-277.73"/>
        <n v="-1476.44"/>
        <n v="-1404.66"/>
        <n v="-1636.2"/>
        <n v="-405.74"/>
        <n v="-543.95"/>
        <n v="-2109.01"/>
        <n v="-2080.56"/>
        <n v="-1432.27"/>
        <n v="-479.85"/>
        <n v="-416.9"/>
        <n v="-778.6"/>
        <n v="-2516.78"/>
        <n v="-1583.38"/>
        <n v="-2031.19"/>
        <n v="-4938.19"/>
        <n v="-7606.56"/>
        <n v="-1992.26"/>
        <n v="-3087.66"/>
        <n v="-4103.78"/>
        <n v="-3339.53"/>
        <n v="-3109.88"/>
        <n v="-1607.7"/>
        <n v="-1217.1"/>
        <n v="-2788.46"/>
        <n v="-1181.28"/>
        <n v="-1141.51"/>
        <n v="-4872.21"/>
        <n v="-3255.7"/>
        <n v="-1540.77"/>
        <n v="-5715.68"/>
        <n v="-1768.61"/>
        <n v="-3493.78"/>
        <n v="-555.13"/>
        <n v="-688.9"/>
        <n v="-811.04"/>
        <n v="-2329.51"/>
        <n v="-3244.15"/>
        <n v="-2994.08"/>
        <n v="-4812.68"/>
        <n v="-2410.78"/>
        <n v="-1368.27"/>
        <n v="-552.92"/>
        <n v="-2114.16"/>
        <n v="-3208.55"/>
        <n v="-1503.79"/>
        <n v="-2434.91"/>
        <n v="-1980.33"/>
        <n v="-951.79"/>
        <n v="-1823.85"/>
        <n v="-437.87"/>
        <n v="-1667.47"/>
        <n v="-1865.29"/>
        <n v="-563.39"/>
        <n v="-1309.08"/>
        <n v="-1498.62"/>
        <n v="-700.67"/>
        <n v="-1816.72"/>
        <n v="-19286.19"/>
        <n v="-14152.38"/>
        <n v="-12230.28"/>
        <n v="-7124.01"/>
        <n v="-16317.19"/>
        <n v="-13388.76"/>
        <n v="-17737.21"/>
        <n v="-1967.88"/>
        <n v="-2116.92"/>
        <n v="-2241.6"/>
        <n v="-2552.86"/>
        <n v="-1470.21"/>
        <n v="-811.49"/>
        <n v="-347.23"/>
        <n v="-2545.69"/>
        <n v="-663.37"/>
        <n v="-940.65"/>
        <n v="-1453.74"/>
        <n v="-1689.03"/>
        <n v="-1647.03"/>
        <n v="-1566.76"/>
        <n v="-1966.32"/>
        <n v="-9303.87"/>
        <n v="-4332.19"/>
        <n v="-621.58"/>
        <n v="-239.84"/>
        <n v="-4709.02"/>
        <n v="-4828.16"/>
        <n v="-2724.26"/>
        <n v="-427.06"/>
        <n v="-1119.78"/>
        <n v="-1587.12"/>
        <n v="-3316.14"/>
        <n v="-2991.2"/>
        <n v="-4876.13"/>
        <n v="-809.83"/>
        <n v="-3076.53"/>
        <n v="-2289.7"/>
        <n v="-1448.4"/>
        <n v="-1330.17"/>
        <n v="-1267.08"/>
        <n v="-7413.71"/>
        <n v="-1651.17"/>
        <n v="-612.05"/>
        <n v="-5294.74"/>
        <n v="-2658.11"/>
        <n v="-945.16"/>
        <n v="-6951.75"/>
        <n v="-494.25"/>
        <n v="-599.89"/>
        <n v="-473.62"/>
        <n v="-707.11"/>
        <n v="-1692.8"/>
        <n v="-1042.25"/>
        <n v="-1446.7"/>
        <n v="-938.24"/>
        <n v="-4213.14"/>
        <n v="-3864.0"/>
        <n v="-1266.15"/>
        <n v="-1297.89"/>
        <n v="-1208.05"/>
        <n v="-1921.97"/>
        <n v="-1037.44"/>
        <n v="-3289.0"/>
        <n v="-4651.84"/>
        <n v="-926.2"/>
        <n v="-803.28"/>
        <n v="-647.63"/>
        <n v="-1347.71"/>
        <n v="-696.58"/>
        <n v="-827.17"/>
        <n v="-3744.79"/>
        <n v="-1010.76"/>
        <n v="-1639.76"/>
        <n v="-4351.78"/>
        <n v="-2443.26"/>
        <n v="-1547.79"/>
        <n v="-1058.46"/>
        <n v="-2368.8"/>
        <n v="-1042.35"/>
        <n v="-3033.82"/>
        <n v="-1161.68"/>
        <n v="-328.3"/>
        <n v="-1290.78"/>
        <n v="-767.37"/>
        <n v="-3103.08"/>
        <n v="-3573.13"/>
        <n v="-1582.52"/>
        <n v="-1481.57"/>
        <n v="-1281.26"/>
        <n v="-1885.41"/>
        <n v="-668.66"/>
        <n v="-1789.11"/>
        <n v="-1945.26"/>
        <n v="-7697.99"/>
        <n v="-491.0"/>
        <n v="-327.41"/>
        <n v="-1110.9"/>
        <n v="-1430.16"/>
        <n v="-3239.56"/>
        <n v="-1643.76"/>
        <n v="-701.56"/>
        <n v="-2054.31"/>
        <n v="-1924.92"/>
        <n v="-917.29"/>
      </sharedItems>
    </cacheField>
    <cacheField name="Date Sold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-Main" cacheId="0" dataCaption="" compact="0" compactData="0">
  <location ref="A3:E12" firstHeaderRow="0" firstDataRow="0" firstDataCol="0"/>
  <pivotFields>
    <pivotField name="Suppli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Division/Depot/Department" compact="0" outline="0" multipleItemSelectionAllowed="1" showAll="0">
      <items>
        <item x="0"/>
        <item x="1"/>
        <item x="2"/>
        <item t="default"/>
      </items>
    </pivotField>
    <pivotField name="Cost Centre" compact="0" outline="0" multipleItemSelectionAllowed="1" showAll="0">
      <items>
        <item x="0"/>
        <item x="1"/>
        <item x="2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ponsible Manager" compact="0" outline="0" multipleItemSelectionAllowed="1" showAll="0">
      <items>
        <item x="0"/>
        <item x="1"/>
        <item x="2"/>
        <item t="default"/>
      </items>
    </pivotField>
    <pivotField name="RFQ Sen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Quotes Receive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Actual Quotation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arget Quotation Days" compact="0" outline="0" multipleItemSelectionAllowed="1" showAll="0">
      <items>
        <item x="0"/>
        <item t="default"/>
      </items>
    </pivotField>
    <pivotField name="Variance for Quote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pproval of best Quot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Vehicle Delivery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ctual 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Target Delivery Days" compact="0" outline="0" multipleItemSelectionAllowed="1" showAll="0">
      <items>
        <item x="0"/>
        <item t="default"/>
      </items>
    </pivotField>
    <pivotField name="Variance for 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ontract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ontract Type" compact="0" outline="0" multipleItemSelectionAllowed="1" showAll="0">
      <items>
        <item x="0"/>
        <item t="default"/>
      </items>
    </pivotField>
    <pivotField name="Rate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uel Type" compact="0" outline="0" multipleItemSelectionAllowed="1" showAll="0">
      <items>
        <item x="0"/>
        <item x="1"/>
        <item t="default"/>
      </items>
    </pivotField>
    <pivotField name="Engine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res Allocated" compact="0" outline="0" multipleItemSelectionAllowed="1" showAll="0">
      <items>
        <item x="0"/>
        <item x="1"/>
        <item t="default"/>
      </items>
    </pivotField>
    <pivotField name="Tyres 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tail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iscount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ccessory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Finance Sundri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Interest %" compact="0" outline="0" multipleItemSelectionAllowed="1" showAll="0">
      <items>
        <item x="0"/>
        <item t="default"/>
      </items>
    </pivotField>
    <pivotField name="Residual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RV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Contra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clusive KM p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Contract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Licence Expiry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do 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Odo 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KM Travelled L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Average LTD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Fixed Ren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Repairs and Maintenan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Licence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acking Cost and Servic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min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tal Fixed Rental (Excl. VAT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Total Fixed Rental (Incl. VAT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Start Date of Excess Billing" compact="0" numFmtId="14" outline="0" multipleItemSelectionAllowed="1" showAll="0">
      <items>
        <item x="0"/>
        <item x="1"/>
        <item t="default"/>
      </items>
    </pivotField>
    <pivotField name="End Date of Excess Billing" compact="0" numFmtId="1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rt Odo of Excess Bi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End Odo of Excess Bi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Total 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Allowed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xcess 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Excess RM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xcess RV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Excess RM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Excess RV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tal Excess Amount Ex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vat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Total Excess Amoun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Operator Defaul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ccident and Write Offs" compact="0" numFmtId="165" outline="0" multipleItemSelectionAllowed="1" showAll="0">
      <items>
        <item x="0"/>
        <item x="1"/>
        <item x="2"/>
        <item x="3"/>
        <item t="default"/>
      </items>
    </pivotField>
    <pivotField name="Tyr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dditional Costs" compact="0" numFmtId="165" outline="0" multipleItemSelectionAllowed="1" showAll="0">
      <items>
        <item x="0"/>
        <item t="default"/>
      </items>
    </pivotField>
    <pivotField name="Auxiliary Amount" compact="0" numFmtId="165" outline="0" multipleItemSelectionAllowed="1" showAll="0">
      <items>
        <item x="0"/>
        <item t="default"/>
      </items>
    </pivotField>
    <pivotField name="OOCP" compact="0" numFmtId="165" outline="0" multipleItemSelectionAllowed="1" showAll="0">
      <items>
        <item x="0"/>
        <item t="default"/>
      </items>
    </pivotField>
    <pivotField name="Fue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Fuel Litres" compact="0" outline="0" multipleItemSelectionAllowed="1" showAll="0">
      <items>
        <item x="0"/>
        <item x="1"/>
        <item t="default"/>
      </items>
    </pivotField>
    <pivotField name="Oi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il Litres" compact="0" outline="0" multipleItemSelectionAllowed="1" showAll="0">
      <items>
        <item x="0"/>
        <item x="1"/>
        <item t="default"/>
      </items>
    </pivotField>
    <pivotField name="Monthly Fines Cost" compact="0" numFmtId="165" outline="0" multipleItemSelectionAllowed="1" showAll="0">
      <items>
        <item x="0"/>
        <item x="1"/>
        <item t="default"/>
      </items>
    </pivotField>
    <pivotField name="Monthly E-Toll Cost" compact="0" numFmtId="165" outline="0" multipleItemSelectionAllowed="1" showAll="0">
      <items>
        <item x="0"/>
        <item t="default"/>
      </items>
    </pivotField>
    <pivotField name="Subtotal Variable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t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Variable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Cos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Input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Total Cost excl Input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PK TC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Maintenance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ccidents Days" compact="0" outline="0" multipleItemSelectionAllowed="1" showAll="0">
      <items>
        <item x="0"/>
        <item x="1"/>
        <item x="2"/>
        <item x="3"/>
        <item t="default"/>
      </items>
    </pivotField>
    <pivotField name="Breakdowns Days" compact="0" outline="0" multipleItemSelectionAllowed="1" showAll="0">
      <items>
        <item x="0"/>
        <item t="default"/>
      </items>
    </pivotField>
    <pivotField name="Total Availability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structured Contract End Date" compact="0" outline="0" multipleItemSelectionAllowed="1" showAll="0">
      <items>
        <item x="0"/>
        <item t="default"/>
      </items>
    </pivotField>
    <pivotField name="Restructured Contract Period" compact="0" outline="0" multipleItemSelectionAllowed="1" showAll="0">
      <items>
        <item x="0"/>
        <item t="default"/>
      </items>
    </pivotField>
    <pivotField name="Restructured Inclusive KM per Month" compact="0" outline="0" multipleItemSelectionAllowed="1" showAll="0">
      <items>
        <item x="0"/>
        <item t="default"/>
      </items>
    </pivotField>
    <pivotField name="Fixed Rental Prior to Restructure" compact="0" outline="0" multipleItemSelectionAllowed="1" showAll="0">
      <items>
        <item x="0"/>
        <item t="default"/>
      </items>
    </pivotField>
    <pivotField name="Overs and Unders (Incl 5% Tolera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Estimated Replacement Date Time &amp; KM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imated Replacement Tim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imated Replacement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Deal Status" compact="0" outline="0" multipleItemSelectionAllowed="1" showAll="0">
      <items>
        <item x="0"/>
        <item t="default"/>
      </items>
    </pivotField>
    <pivotField name="Supplier Responsible Name" compact="0" outline="0" multipleItemSelectionAllowed="1" showAll="0">
      <items>
        <item x="0"/>
        <item x="1"/>
        <item t="default"/>
      </items>
    </pivotField>
    <pivotField name="Excess RM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Excess RV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Under Utilisation RM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Under Utilisation RM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 Under Utilisation RM Amount Ex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 Under Utilisation Amoun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Date Sold" compact="0" outline="0" multipleItemSelectionAllowed="1" showAll="0">
      <items>
        <item x="0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9" width="12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359" si="1">J2-I2</f>
        <v>1</v>
      </c>
      <c r="L2" s="6">
        <v>1.0</v>
      </c>
      <c r="M2" s="6">
        <f t="shared" ref="M2:M359" si="2">K2-L2</f>
        <v>0</v>
      </c>
      <c r="N2" s="8">
        <v>43845.0</v>
      </c>
      <c r="O2" s="8">
        <v>43886.0</v>
      </c>
      <c r="P2" s="6">
        <f t="shared" ref="P2:P359" si="3">O2-N2</f>
        <v>41</v>
      </c>
      <c r="Q2" s="6">
        <v>90.0</v>
      </c>
      <c r="R2" s="6">
        <f t="shared" ref="R2:R359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6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6"/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6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6"/>
    </row>
    <row r="6" ht="13.5" customHeight="1">
      <c r="A6" s="6" t="s">
        <v>144</v>
      </c>
      <c r="B6" s="7">
        <v>43831.0</v>
      </c>
      <c r="C6" s="6" t="s">
        <v>124</v>
      </c>
      <c r="D6" s="6" t="s">
        <v>125</v>
      </c>
      <c r="E6" s="6" t="s">
        <v>126</v>
      </c>
      <c r="F6" s="6" t="s">
        <v>127</v>
      </c>
      <c r="G6" s="6" t="s">
        <v>128</v>
      </c>
      <c r="H6" s="6" t="s">
        <v>129</v>
      </c>
      <c r="I6" s="8">
        <v>43835.0</v>
      </c>
      <c r="J6" s="8">
        <v>43836.0</v>
      </c>
      <c r="K6" s="6">
        <f t="shared" si="1"/>
        <v>1</v>
      </c>
      <c r="L6" s="6">
        <v>1.0</v>
      </c>
      <c r="M6" s="6">
        <f t="shared" si="2"/>
        <v>0</v>
      </c>
      <c r="N6" s="8">
        <v>43849.0</v>
      </c>
      <c r="O6" s="8">
        <v>43859.0</v>
      </c>
      <c r="P6" s="6">
        <f t="shared" si="3"/>
        <v>10</v>
      </c>
      <c r="Q6" s="6">
        <v>90.0</v>
      </c>
      <c r="R6" s="6">
        <f t="shared" si="4"/>
        <v>-80</v>
      </c>
      <c r="S6" s="6" t="s">
        <v>149</v>
      </c>
      <c r="T6" s="6" t="s">
        <v>150</v>
      </c>
      <c r="U6" s="6" t="s">
        <v>117</v>
      </c>
      <c r="V6" s="6" t="s">
        <v>132</v>
      </c>
      <c r="W6" s="6" t="s">
        <v>133</v>
      </c>
      <c r="X6" s="6" t="s">
        <v>134</v>
      </c>
      <c r="Y6" s="6">
        <v>2019.0</v>
      </c>
      <c r="Z6" s="6" t="s">
        <v>135</v>
      </c>
      <c r="AA6" s="6">
        <v>2498.0</v>
      </c>
      <c r="AB6" s="6">
        <v>12.0</v>
      </c>
      <c r="AC6" s="6">
        <v>10.0</v>
      </c>
      <c r="AD6" s="9">
        <v>279652.17</v>
      </c>
      <c r="AE6" s="9">
        <v>52288.09</v>
      </c>
      <c r="AF6" s="10">
        <v>0.19</v>
      </c>
      <c r="AG6" s="9">
        <v>19785.12</v>
      </c>
      <c r="AH6" s="9">
        <v>1466.0</v>
      </c>
      <c r="AI6" s="6">
        <v>7.75</v>
      </c>
      <c r="AJ6" s="9">
        <v>119447.45</v>
      </c>
      <c r="AK6" s="6">
        <v>98.33</v>
      </c>
      <c r="AL6" s="8">
        <v>43859.0</v>
      </c>
      <c r="AM6" s="8">
        <v>45686.0</v>
      </c>
      <c r="AN6" s="6">
        <v>60.0</v>
      </c>
      <c r="AO6" s="6">
        <v>2500.0</v>
      </c>
      <c r="AP6" s="6">
        <v>150000.0</v>
      </c>
      <c r="AQ6" s="8">
        <v>45930.0</v>
      </c>
      <c r="AR6" s="6">
        <v>102507.0</v>
      </c>
      <c r="AS6" s="6">
        <v>102509.0</v>
      </c>
      <c r="AT6" s="6">
        <v>2.0</v>
      </c>
      <c r="AU6" s="6">
        <v>102473.0</v>
      </c>
      <c r="AV6" s="6">
        <v>1529.0</v>
      </c>
      <c r="AW6" s="9">
        <v>3813.34</v>
      </c>
      <c r="AX6" s="9">
        <v>1730.7</v>
      </c>
      <c r="AY6" s="9">
        <v>106.88</v>
      </c>
      <c r="AZ6" s="9">
        <v>581.1</v>
      </c>
      <c r="BA6" s="9">
        <v>533.83</v>
      </c>
      <c r="BB6" s="9">
        <v>6765.85</v>
      </c>
      <c r="BC6" s="9">
        <v>1014.88</v>
      </c>
      <c r="BD6" s="9">
        <v>7780.73</v>
      </c>
      <c r="BE6" s="8">
        <v>45748.0</v>
      </c>
      <c r="BF6" s="8">
        <v>45838.0</v>
      </c>
      <c r="BG6" s="6">
        <v>102507.0</v>
      </c>
      <c r="BH6" s="6">
        <v>102509.0</v>
      </c>
      <c r="BI6" s="6">
        <v>2.0</v>
      </c>
      <c r="BJ6" s="6">
        <v>7500.0</v>
      </c>
      <c r="BK6" s="6">
        <v>-7498.0</v>
      </c>
      <c r="BL6" s="9">
        <v>0.79</v>
      </c>
      <c r="BM6" s="9">
        <v>1.19</v>
      </c>
      <c r="BN6" s="9">
        <v>0.0</v>
      </c>
      <c r="BO6" s="9">
        <v>0.0</v>
      </c>
      <c r="BP6" s="9">
        <v>0.0</v>
      </c>
      <c r="BQ6" s="9">
        <v>-776.04</v>
      </c>
      <c r="BR6" s="9">
        <v>0.0</v>
      </c>
      <c r="BS6" s="9">
        <v>62374.91</v>
      </c>
      <c r="BT6" s="9">
        <v>0.0</v>
      </c>
      <c r="BU6" s="9">
        <v>0.0</v>
      </c>
      <c r="BV6" s="9">
        <v>0.0</v>
      </c>
      <c r="BW6" s="9">
        <v>0.0</v>
      </c>
      <c r="BX6" s="9">
        <v>0.0</v>
      </c>
      <c r="BY6" s="9">
        <v>0.0</v>
      </c>
      <c r="BZ6" s="6">
        <v>0.0</v>
      </c>
      <c r="CA6" s="9">
        <v>0.0</v>
      </c>
      <c r="CB6" s="6">
        <v>0.0</v>
      </c>
      <c r="CC6" s="9">
        <v>0.0</v>
      </c>
      <c r="CD6" s="9">
        <v>0.0</v>
      </c>
      <c r="CE6" s="9">
        <v>62374.91</v>
      </c>
      <c r="CF6" s="9">
        <v>9356.24</v>
      </c>
      <c r="CG6" s="9">
        <v>71731.15</v>
      </c>
      <c r="CH6" s="9">
        <v>73562.22</v>
      </c>
      <c r="CI6" s="9">
        <v>9595.08</v>
      </c>
      <c r="CJ6" s="9">
        <v>63967.14</v>
      </c>
      <c r="CK6" s="9">
        <v>31983.57</v>
      </c>
      <c r="CL6" s="6">
        <v>290.0</v>
      </c>
      <c r="CM6" s="6">
        <v>0.0</v>
      </c>
      <c r="CN6" s="6">
        <v>0.0</v>
      </c>
      <c r="CO6" s="6">
        <v>100.0</v>
      </c>
      <c r="CP6" s="8"/>
      <c r="CQ6" s="6">
        <v>0.0</v>
      </c>
      <c r="CR6" s="6">
        <v>0.0</v>
      </c>
      <c r="CS6" s="6">
        <v>0.0</v>
      </c>
      <c r="CT6" s="6">
        <v>-65027.0</v>
      </c>
      <c r="CU6" s="8">
        <v>45626.0</v>
      </c>
      <c r="CV6" s="8">
        <v>45626.0</v>
      </c>
      <c r="CW6" s="6">
        <v>150036.0</v>
      </c>
      <c r="CX6" s="6" t="s">
        <v>122</v>
      </c>
      <c r="CY6" s="6" t="s">
        <v>123</v>
      </c>
      <c r="CZ6" s="9">
        <v>45817.29</v>
      </c>
      <c r="DA6" s="9">
        <v>30093.64</v>
      </c>
      <c r="DB6" s="9">
        <v>-70753.15</v>
      </c>
      <c r="DC6" s="9">
        <v>0.69</v>
      </c>
      <c r="DD6" s="9">
        <v>-5173.62</v>
      </c>
      <c r="DE6" s="9">
        <v>-5949.66</v>
      </c>
      <c r="DF6" s="6"/>
    </row>
    <row r="7" ht="13.5" customHeight="1">
      <c r="A7" s="6" t="s">
        <v>144</v>
      </c>
      <c r="B7" s="7">
        <v>43831.0</v>
      </c>
      <c r="C7" s="6" t="s">
        <v>136</v>
      </c>
      <c r="D7" s="6" t="s">
        <v>137</v>
      </c>
      <c r="E7" s="6" t="s">
        <v>138</v>
      </c>
      <c r="F7" s="6" t="s">
        <v>151</v>
      </c>
      <c r="G7" s="6" t="s">
        <v>128</v>
      </c>
      <c r="H7" s="6" t="s">
        <v>141</v>
      </c>
      <c r="I7" s="8">
        <v>43836.0</v>
      </c>
      <c r="J7" s="8">
        <v>43840.0</v>
      </c>
      <c r="K7" s="6">
        <f t="shared" si="1"/>
        <v>4</v>
      </c>
      <c r="L7" s="6">
        <v>1.0</v>
      </c>
      <c r="M7" s="6">
        <f t="shared" si="2"/>
        <v>3</v>
      </c>
      <c r="N7" s="8">
        <v>43850.0</v>
      </c>
      <c r="O7" s="8">
        <v>43884.0</v>
      </c>
      <c r="P7" s="6">
        <f t="shared" si="3"/>
        <v>34</v>
      </c>
      <c r="Q7" s="6">
        <v>90.0</v>
      </c>
      <c r="R7" s="6">
        <f t="shared" si="4"/>
        <v>-56</v>
      </c>
      <c r="S7" s="6" t="s">
        <v>152</v>
      </c>
      <c r="T7" s="6" t="s">
        <v>153</v>
      </c>
      <c r="U7" s="6" t="s">
        <v>117</v>
      </c>
      <c r="V7" s="6" t="s">
        <v>132</v>
      </c>
      <c r="W7" s="6" t="s">
        <v>133</v>
      </c>
      <c r="X7" s="6" t="s">
        <v>134</v>
      </c>
      <c r="Y7" s="6">
        <v>2019.0</v>
      </c>
      <c r="Z7" s="6" t="s">
        <v>135</v>
      </c>
      <c r="AA7" s="6">
        <v>2498.0</v>
      </c>
      <c r="AB7" s="6">
        <v>12.0</v>
      </c>
      <c r="AC7" s="6">
        <v>4.0</v>
      </c>
      <c r="AD7" s="9">
        <v>279652.17</v>
      </c>
      <c r="AE7" s="9">
        <v>52153.09</v>
      </c>
      <c r="AF7" s="10">
        <v>0.19</v>
      </c>
      <c r="AG7" s="9">
        <v>18227.7</v>
      </c>
      <c r="AH7" s="9">
        <v>1466.0</v>
      </c>
      <c r="AI7" s="6">
        <v>7.75</v>
      </c>
      <c r="AJ7" s="9"/>
      <c r="AK7" s="6"/>
      <c r="AL7" s="8">
        <v>43884.0</v>
      </c>
      <c r="AM7" s="8">
        <v>45711.0</v>
      </c>
      <c r="AN7" s="6">
        <v>60.0</v>
      </c>
      <c r="AO7" s="6">
        <v>2500.0</v>
      </c>
      <c r="AP7" s="6">
        <v>118430.0</v>
      </c>
      <c r="AQ7" s="8">
        <v>45930.0</v>
      </c>
      <c r="AR7" s="6">
        <v>116462.0</v>
      </c>
      <c r="AS7" s="6">
        <v>118471.0</v>
      </c>
      <c r="AT7" s="6">
        <v>2009.0</v>
      </c>
      <c r="AU7" s="6">
        <v>118430.0</v>
      </c>
      <c r="AV7" s="6">
        <v>1794.0</v>
      </c>
      <c r="AW7" s="9">
        <v>3787.04</v>
      </c>
      <c r="AX7" s="9">
        <v>1730.7</v>
      </c>
      <c r="AY7" s="9">
        <v>80.85</v>
      </c>
      <c r="AZ7" s="9">
        <v>581.1</v>
      </c>
      <c r="BA7" s="9">
        <v>533.83</v>
      </c>
      <c r="BB7" s="9">
        <v>6713.52</v>
      </c>
      <c r="BC7" s="9">
        <v>1007.03</v>
      </c>
      <c r="BD7" s="9">
        <v>7720.55</v>
      </c>
      <c r="BE7" s="8">
        <v>45748.0</v>
      </c>
      <c r="BF7" s="8">
        <v>45832.0</v>
      </c>
      <c r="BG7" s="6">
        <v>114026.0</v>
      </c>
      <c r="BH7" s="6">
        <v>118471.0</v>
      </c>
      <c r="BI7" s="6">
        <v>4445.0</v>
      </c>
      <c r="BJ7" s="6">
        <v>7500.0</v>
      </c>
      <c r="BK7" s="6">
        <v>-3055.0</v>
      </c>
      <c r="BL7" s="9">
        <v>0.79</v>
      </c>
      <c r="BM7" s="9">
        <v>1.19</v>
      </c>
      <c r="BN7" s="9">
        <v>0.0</v>
      </c>
      <c r="BO7" s="9">
        <v>0.0</v>
      </c>
      <c r="BP7" s="9">
        <v>0.0</v>
      </c>
      <c r="BQ7" s="9">
        <v>-316.19</v>
      </c>
      <c r="BR7" s="9">
        <v>0.0</v>
      </c>
      <c r="BS7" s="9">
        <v>0.0</v>
      </c>
      <c r="BT7" s="9">
        <v>0.0</v>
      </c>
      <c r="BU7" s="9">
        <v>0.0</v>
      </c>
      <c r="BV7" s="9">
        <v>0.0</v>
      </c>
      <c r="BW7" s="9">
        <v>0.0</v>
      </c>
      <c r="BX7" s="9">
        <v>0.0</v>
      </c>
      <c r="BY7" s="9">
        <v>3119.06</v>
      </c>
      <c r="BZ7" s="6">
        <v>0.0</v>
      </c>
      <c r="CA7" s="9">
        <v>0.0</v>
      </c>
      <c r="CB7" s="6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5296.41</v>
      </c>
      <c r="CI7" s="9">
        <v>690.84</v>
      </c>
      <c r="CJ7" s="9">
        <v>4605.57</v>
      </c>
      <c r="CK7" s="9">
        <v>2.29</v>
      </c>
      <c r="CL7" s="6">
        <v>0.0</v>
      </c>
      <c r="CM7" s="6">
        <v>0.0</v>
      </c>
      <c r="CN7" s="6">
        <v>0.0</v>
      </c>
      <c r="CO7" s="6">
        <v>97.3822</v>
      </c>
      <c r="CP7" s="8"/>
      <c r="CQ7" s="6">
        <v>0.0</v>
      </c>
      <c r="CR7" s="6">
        <v>0.0</v>
      </c>
      <c r="CS7" s="6">
        <v>0.0</v>
      </c>
      <c r="CT7" s="6">
        <v>-49070.0</v>
      </c>
      <c r="CU7" s="8">
        <v>45832.0</v>
      </c>
      <c r="CV7" s="8">
        <v>45832.0</v>
      </c>
      <c r="CW7" s="6">
        <v>118471.0</v>
      </c>
      <c r="CX7" s="6" t="s">
        <v>122</v>
      </c>
      <c r="CY7" s="6" t="s">
        <v>123</v>
      </c>
      <c r="CZ7" s="9">
        <v>33788.01</v>
      </c>
      <c r="DA7" s="9">
        <v>22170.36</v>
      </c>
      <c r="DB7" s="9">
        <v>-53697.44</v>
      </c>
      <c r="DC7" s="9">
        <v>0.69</v>
      </c>
      <c r="DD7" s="9">
        <v>-2107.95</v>
      </c>
      <c r="DE7" s="9">
        <v>-2424.14</v>
      </c>
      <c r="DF7" s="6"/>
    </row>
    <row r="8" ht="13.5" customHeight="1">
      <c r="A8" s="6" t="s">
        <v>144</v>
      </c>
      <c r="B8" s="7">
        <v>43831.0</v>
      </c>
      <c r="C8" s="6" t="s">
        <v>109</v>
      </c>
      <c r="D8" s="6" t="s">
        <v>110</v>
      </c>
      <c r="E8" s="6" t="s">
        <v>111</v>
      </c>
      <c r="F8" s="6" t="s">
        <v>154</v>
      </c>
      <c r="G8" s="6" t="s">
        <v>128</v>
      </c>
      <c r="H8" s="6" t="s">
        <v>114</v>
      </c>
      <c r="I8" s="8">
        <v>43837.0</v>
      </c>
      <c r="J8" s="8">
        <v>43838.0</v>
      </c>
      <c r="K8" s="6">
        <f t="shared" si="1"/>
        <v>1</v>
      </c>
      <c r="L8" s="6">
        <v>1.0</v>
      </c>
      <c r="M8" s="6">
        <f t="shared" si="2"/>
        <v>0</v>
      </c>
      <c r="N8" s="8">
        <v>43851.0</v>
      </c>
      <c r="O8" s="8">
        <v>43861.0</v>
      </c>
      <c r="P8" s="6">
        <f t="shared" si="3"/>
        <v>10</v>
      </c>
      <c r="Q8" s="6">
        <v>90.0</v>
      </c>
      <c r="R8" s="6">
        <f t="shared" si="4"/>
        <v>-80</v>
      </c>
      <c r="S8" s="6" t="s">
        <v>155</v>
      </c>
      <c r="T8" s="6" t="s">
        <v>156</v>
      </c>
      <c r="U8" s="6" t="s">
        <v>117</v>
      </c>
      <c r="V8" s="6" t="s">
        <v>132</v>
      </c>
      <c r="W8" s="6" t="s">
        <v>133</v>
      </c>
      <c r="X8" s="6" t="s">
        <v>134</v>
      </c>
      <c r="Y8" s="6">
        <v>2019.0</v>
      </c>
      <c r="Z8" s="6" t="s">
        <v>135</v>
      </c>
      <c r="AA8" s="6">
        <v>2498.0</v>
      </c>
      <c r="AB8" s="6">
        <v>12.0</v>
      </c>
      <c r="AC8" s="6">
        <v>12.0</v>
      </c>
      <c r="AD8" s="9">
        <v>279652.17</v>
      </c>
      <c r="AE8" s="9">
        <v>52153.08</v>
      </c>
      <c r="AF8" s="10">
        <v>0.19</v>
      </c>
      <c r="AG8" s="9">
        <v>19142.44</v>
      </c>
      <c r="AH8" s="9">
        <v>1466.0</v>
      </c>
      <c r="AI8" s="6">
        <v>7.75</v>
      </c>
      <c r="AJ8" s="9">
        <v>123525.53</v>
      </c>
      <c r="AK8" s="6">
        <v>98.43</v>
      </c>
      <c r="AL8" s="8">
        <v>43861.0</v>
      </c>
      <c r="AM8" s="8">
        <v>45688.0</v>
      </c>
      <c r="AN8" s="6">
        <v>60.0</v>
      </c>
      <c r="AO8" s="6">
        <v>2500.0</v>
      </c>
      <c r="AP8" s="6">
        <v>150000.0</v>
      </c>
      <c r="AQ8" s="8">
        <v>45961.0</v>
      </c>
      <c r="AR8" s="6">
        <v>148313.0</v>
      </c>
      <c r="AS8" s="6">
        <v>149193.0</v>
      </c>
      <c r="AT8" s="6">
        <v>880.0</v>
      </c>
      <c r="AU8" s="6">
        <v>149059.0</v>
      </c>
      <c r="AV8" s="6">
        <v>2293.0</v>
      </c>
      <c r="AW8" s="9">
        <v>3873.49</v>
      </c>
      <c r="AX8" s="9">
        <v>1730.7</v>
      </c>
      <c r="AY8" s="9">
        <v>80.85</v>
      </c>
      <c r="AZ8" s="9">
        <v>581.1</v>
      </c>
      <c r="BA8" s="9">
        <v>533.83</v>
      </c>
      <c r="BB8" s="9">
        <v>6799.97</v>
      </c>
      <c r="BC8" s="9">
        <v>1020.0</v>
      </c>
      <c r="BD8" s="9">
        <v>7819.97</v>
      </c>
      <c r="BE8" s="8">
        <v>45748.0</v>
      </c>
      <c r="BF8" s="8">
        <v>45838.0</v>
      </c>
      <c r="BG8" s="6">
        <v>143988.0</v>
      </c>
      <c r="BH8" s="6">
        <v>149193.0</v>
      </c>
      <c r="BI8" s="6">
        <v>5205.0</v>
      </c>
      <c r="BJ8" s="6">
        <v>7500.0</v>
      </c>
      <c r="BK8" s="6">
        <v>-2295.0</v>
      </c>
      <c r="BL8" s="9">
        <v>0.79</v>
      </c>
      <c r="BM8" s="9">
        <v>1.19</v>
      </c>
      <c r="BN8" s="9">
        <v>0.0</v>
      </c>
      <c r="BO8" s="9">
        <v>0.0</v>
      </c>
      <c r="BP8" s="9">
        <v>0.0</v>
      </c>
      <c r="BQ8" s="9">
        <v>-237.53</v>
      </c>
      <c r="BR8" s="9">
        <v>0.0</v>
      </c>
      <c r="BS8" s="9">
        <v>0.0</v>
      </c>
      <c r="BT8" s="9">
        <v>0.0</v>
      </c>
      <c r="BU8" s="9">
        <v>0.0</v>
      </c>
      <c r="BV8" s="9">
        <v>0.0</v>
      </c>
      <c r="BW8" s="9">
        <v>0.0</v>
      </c>
      <c r="BX8" s="9">
        <v>0.0</v>
      </c>
      <c r="BY8" s="9">
        <v>3070.33</v>
      </c>
      <c r="BZ8" s="6">
        <v>0.0</v>
      </c>
      <c r="CA8" s="9">
        <v>0.0</v>
      </c>
      <c r="CB8" s="6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5998.89</v>
      </c>
      <c r="CI8" s="9">
        <v>782.47</v>
      </c>
      <c r="CJ8" s="9">
        <v>5216.42</v>
      </c>
      <c r="CK8" s="9">
        <v>5.93</v>
      </c>
      <c r="CL8" s="6">
        <v>0.0</v>
      </c>
      <c r="CM8" s="6">
        <v>0.0</v>
      </c>
      <c r="CN8" s="6">
        <v>0.0</v>
      </c>
      <c r="CO8" s="6">
        <v>55.9354</v>
      </c>
      <c r="CP8" s="8"/>
      <c r="CQ8" s="6">
        <v>0.0</v>
      </c>
      <c r="CR8" s="6">
        <v>0.0</v>
      </c>
      <c r="CS8" s="6">
        <v>0.0</v>
      </c>
      <c r="CT8" s="6">
        <v>-13441.0</v>
      </c>
      <c r="CU8" s="8">
        <v>45688.0</v>
      </c>
      <c r="CV8" s="8">
        <v>45688.0</v>
      </c>
      <c r="CW8" s="6">
        <v>150134.0</v>
      </c>
      <c r="CX8" s="6" t="s">
        <v>122</v>
      </c>
      <c r="CY8" s="6" t="s">
        <v>123</v>
      </c>
      <c r="CZ8" s="9">
        <v>19430.14</v>
      </c>
      <c r="DA8" s="9">
        <v>12747.4</v>
      </c>
      <c r="DB8" s="9">
        <v>-19608.77</v>
      </c>
      <c r="DC8" s="9">
        <v>0.69</v>
      </c>
      <c r="DD8" s="9">
        <v>-1583.55</v>
      </c>
      <c r="DE8" s="9">
        <v>-1821.08</v>
      </c>
      <c r="DF8" s="6"/>
    </row>
    <row r="9" ht="13.5" customHeight="1">
      <c r="A9" s="6" t="s">
        <v>157</v>
      </c>
      <c r="B9" s="7">
        <v>43831.0</v>
      </c>
      <c r="C9" s="6" t="s">
        <v>124</v>
      </c>
      <c r="D9" s="6" t="s">
        <v>125</v>
      </c>
      <c r="E9" s="6" t="s">
        <v>126</v>
      </c>
      <c r="F9" s="6" t="s">
        <v>154</v>
      </c>
      <c r="G9" s="6" t="s">
        <v>128</v>
      </c>
      <c r="H9" s="6" t="s">
        <v>129</v>
      </c>
      <c r="I9" s="8">
        <v>43838.0</v>
      </c>
      <c r="J9" s="8">
        <v>43850.0</v>
      </c>
      <c r="K9" s="6">
        <f t="shared" si="1"/>
        <v>12</v>
      </c>
      <c r="L9" s="6">
        <v>1.0</v>
      </c>
      <c r="M9" s="6">
        <f t="shared" si="2"/>
        <v>11</v>
      </c>
      <c r="N9" s="8">
        <v>43852.0</v>
      </c>
      <c r="O9" s="8">
        <v>43862.0</v>
      </c>
      <c r="P9" s="6">
        <f t="shared" si="3"/>
        <v>10</v>
      </c>
      <c r="Q9" s="6">
        <v>90.0</v>
      </c>
      <c r="R9" s="6">
        <f t="shared" si="4"/>
        <v>-80</v>
      </c>
      <c r="S9" s="6" t="s">
        <v>158</v>
      </c>
      <c r="T9" s="6" t="s">
        <v>159</v>
      </c>
      <c r="U9" s="6" t="s">
        <v>117</v>
      </c>
      <c r="V9" s="6" t="s">
        <v>132</v>
      </c>
      <c r="W9" s="6" t="s">
        <v>133</v>
      </c>
      <c r="X9" s="6" t="s">
        <v>134</v>
      </c>
      <c r="Y9" s="6">
        <v>2019.0</v>
      </c>
      <c r="Z9" s="6" t="s">
        <v>135</v>
      </c>
      <c r="AA9" s="6">
        <v>2498.0</v>
      </c>
      <c r="AB9" s="6">
        <v>12.0</v>
      </c>
      <c r="AC9" s="6">
        <v>8.0</v>
      </c>
      <c r="AD9" s="9">
        <v>279652.17</v>
      </c>
      <c r="AE9" s="9">
        <v>52153.08</v>
      </c>
      <c r="AF9" s="10">
        <v>0.19</v>
      </c>
      <c r="AG9" s="9">
        <v>35043.05</v>
      </c>
      <c r="AH9" s="9">
        <v>1182.0</v>
      </c>
      <c r="AI9" s="6">
        <v>7.75</v>
      </c>
      <c r="AJ9" s="9">
        <v>120718.17</v>
      </c>
      <c r="AK9" s="6">
        <v>98.95</v>
      </c>
      <c r="AL9" s="8">
        <v>43862.0</v>
      </c>
      <c r="AM9" s="8">
        <v>45689.0</v>
      </c>
      <c r="AN9" s="6">
        <v>60.0</v>
      </c>
      <c r="AO9" s="6">
        <v>3000.0</v>
      </c>
      <c r="AP9" s="6">
        <v>127709.0</v>
      </c>
      <c r="AQ9" s="8">
        <v>45961.0</v>
      </c>
      <c r="AR9" s="6">
        <v>125911.0</v>
      </c>
      <c r="AS9" s="6">
        <v>127816.0</v>
      </c>
      <c r="AT9" s="6">
        <v>1905.0</v>
      </c>
      <c r="AU9" s="6">
        <v>127683.0</v>
      </c>
      <c r="AV9" s="6">
        <v>1995.0</v>
      </c>
      <c r="AW9" s="9">
        <v>3276.21</v>
      </c>
      <c r="AX9" s="9">
        <v>2077.0</v>
      </c>
      <c r="AY9" s="9">
        <v>80.85</v>
      </c>
      <c r="AZ9" s="9">
        <v>581.1</v>
      </c>
      <c r="BA9" s="9">
        <v>533.83</v>
      </c>
      <c r="BB9" s="9">
        <v>6548.99</v>
      </c>
      <c r="BC9" s="9">
        <v>982.35</v>
      </c>
      <c r="BD9" s="9">
        <v>7531.34</v>
      </c>
      <c r="BE9" s="8">
        <v>45748.0</v>
      </c>
      <c r="BF9" s="8">
        <v>45838.0</v>
      </c>
      <c r="BG9" s="6">
        <v>123673.0</v>
      </c>
      <c r="BH9" s="6">
        <v>127816.0</v>
      </c>
      <c r="BI9" s="6">
        <v>4143.0</v>
      </c>
      <c r="BJ9" s="6">
        <v>9000.0</v>
      </c>
      <c r="BK9" s="6">
        <v>-4857.0</v>
      </c>
      <c r="BL9" s="9">
        <v>0.79</v>
      </c>
      <c r="BM9" s="9">
        <v>1.19</v>
      </c>
      <c r="BN9" s="9">
        <v>0.0</v>
      </c>
      <c r="BO9" s="9">
        <v>0.0</v>
      </c>
      <c r="BP9" s="9">
        <v>0.0</v>
      </c>
      <c r="BQ9" s="9">
        <v>-633.84</v>
      </c>
      <c r="BR9" s="9">
        <v>0.0</v>
      </c>
      <c r="BS9" s="9">
        <v>0.0</v>
      </c>
      <c r="BT9" s="9">
        <v>0.0</v>
      </c>
      <c r="BU9" s="9">
        <v>0.0</v>
      </c>
      <c r="BV9" s="9">
        <v>0.0</v>
      </c>
      <c r="BW9" s="9">
        <v>0.0</v>
      </c>
      <c r="BX9" s="9">
        <v>0.0</v>
      </c>
      <c r="BY9" s="9">
        <v>2972.87</v>
      </c>
      <c r="BZ9" s="6">
        <v>0.0</v>
      </c>
      <c r="CA9" s="9">
        <v>0.0</v>
      </c>
      <c r="CB9" s="6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2671.91</v>
      </c>
      <c r="CI9" s="9">
        <v>348.51</v>
      </c>
      <c r="CJ9" s="9">
        <v>2323.4</v>
      </c>
      <c r="CK9" s="9">
        <v>1.22</v>
      </c>
      <c r="CL9" s="6">
        <v>0.0</v>
      </c>
      <c r="CM9" s="6">
        <v>0.0</v>
      </c>
      <c r="CN9" s="6">
        <v>0.0</v>
      </c>
      <c r="CO9" s="6">
        <v>99.4799</v>
      </c>
      <c r="CP9" s="8"/>
      <c r="CQ9" s="6">
        <v>0.0</v>
      </c>
      <c r="CR9" s="6">
        <v>0.0</v>
      </c>
      <c r="CS9" s="6">
        <v>0.0</v>
      </c>
      <c r="CT9" s="6">
        <v>-64317.0</v>
      </c>
      <c r="CU9" s="8">
        <v>45808.0</v>
      </c>
      <c r="CV9" s="8">
        <v>45808.0</v>
      </c>
      <c r="CW9" s="6">
        <v>127842.0</v>
      </c>
      <c r="CX9" s="6" t="s">
        <v>122</v>
      </c>
      <c r="CY9" s="6" t="s">
        <v>123</v>
      </c>
      <c r="CZ9" s="9">
        <v>8200.23</v>
      </c>
      <c r="DA9" s="9">
        <v>5379.03</v>
      </c>
      <c r="DB9" s="9">
        <v>-45460.72</v>
      </c>
      <c r="DC9" s="9">
        <v>0.87</v>
      </c>
      <c r="DD9" s="9">
        <v>-4225.59</v>
      </c>
      <c r="DE9" s="9">
        <v>-4859.43</v>
      </c>
      <c r="DF9" s="6"/>
    </row>
    <row r="10" ht="13.5" customHeight="1">
      <c r="A10" s="6" t="s">
        <v>157</v>
      </c>
      <c r="B10" s="7">
        <v>43831.0</v>
      </c>
      <c r="C10" s="6" t="s">
        <v>136</v>
      </c>
      <c r="D10" s="6" t="s">
        <v>137</v>
      </c>
      <c r="E10" s="6" t="s">
        <v>138</v>
      </c>
      <c r="F10" s="6" t="s">
        <v>160</v>
      </c>
      <c r="G10" s="6" t="s">
        <v>161</v>
      </c>
      <c r="H10" s="6" t="s">
        <v>141</v>
      </c>
      <c r="I10" s="8">
        <v>43839.0</v>
      </c>
      <c r="J10" s="8">
        <v>43840.0</v>
      </c>
      <c r="K10" s="6">
        <f t="shared" si="1"/>
        <v>1</v>
      </c>
      <c r="L10" s="6">
        <v>1.0</v>
      </c>
      <c r="M10" s="6">
        <f t="shared" si="2"/>
        <v>0</v>
      </c>
      <c r="N10" s="8">
        <v>43853.0</v>
      </c>
      <c r="O10" s="8">
        <v>43863.0</v>
      </c>
      <c r="P10" s="6">
        <f t="shared" si="3"/>
        <v>10</v>
      </c>
      <c r="Q10" s="6">
        <v>90.0</v>
      </c>
      <c r="R10" s="6">
        <f t="shared" si="4"/>
        <v>-80</v>
      </c>
      <c r="S10" s="6" t="s">
        <v>162</v>
      </c>
      <c r="T10" s="6" t="s">
        <v>163</v>
      </c>
      <c r="U10" s="6" t="s">
        <v>117</v>
      </c>
      <c r="V10" s="6" t="s">
        <v>132</v>
      </c>
      <c r="W10" s="6" t="s">
        <v>133</v>
      </c>
      <c r="X10" s="6" t="s">
        <v>164</v>
      </c>
      <c r="Y10" s="6">
        <v>2020.0</v>
      </c>
      <c r="Z10" s="6" t="s">
        <v>135</v>
      </c>
      <c r="AA10" s="6">
        <v>2498.0</v>
      </c>
      <c r="AB10" s="6">
        <v>12.0</v>
      </c>
      <c r="AC10" s="6">
        <v>12.0</v>
      </c>
      <c r="AD10" s="9">
        <v>291043.48</v>
      </c>
      <c r="AE10" s="9">
        <v>56709.18</v>
      </c>
      <c r="AF10" s="10">
        <v>0.19</v>
      </c>
      <c r="AG10" s="9">
        <v>18032.91</v>
      </c>
      <c r="AH10" s="9">
        <v>1436.0</v>
      </c>
      <c r="AI10" s="6">
        <v>7.75</v>
      </c>
      <c r="AJ10" s="9"/>
      <c r="AK10" s="6"/>
      <c r="AL10" s="8">
        <v>43863.0</v>
      </c>
      <c r="AM10" s="8">
        <v>45690.0</v>
      </c>
      <c r="AN10" s="6">
        <v>60.0</v>
      </c>
      <c r="AO10" s="6">
        <v>3000.0</v>
      </c>
      <c r="AP10" s="6">
        <v>147009.0</v>
      </c>
      <c r="AQ10" s="8">
        <v>46081.0</v>
      </c>
      <c r="AR10" s="6">
        <v>145157.0</v>
      </c>
      <c r="AS10" s="6">
        <v>147233.0</v>
      </c>
      <c r="AT10" s="6">
        <v>2076.0</v>
      </c>
      <c r="AU10" s="6">
        <v>147009.0</v>
      </c>
      <c r="AV10" s="6">
        <v>2450.0</v>
      </c>
      <c r="AW10" s="9">
        <v>3728.95</v>
      </c>
      <c r="AX10" s="9">
        <v>2076.81</v>
      </c>
      <c r="AY10" s="9">
        <v>89.1</v>
      </c>
      <c r="AZ10" s="9">
        <v>581.1</v>
      </c>
      <c r="BA10" s="9">
        <v>533.83</v>
      </c>
      <c r="BB10" s="9">
        <v>7009.79</v>
      </c>
      <c r="BC10" s="9">
        <v>1051.47</v>
      </c>
      <c r="BD10" s="9">
        <v>8061.26</v>
      </c>
      <c r="BE10" s="8">
        <v>45748.0</v>
      </c>
      <c r="BF10" s="8">
        <v>45825.0</v>
      </c>
      <c r="BG10" s="6">
        <v>144169.0</v>
      </c>
      <c r="BH10" s="6">
        <v>147233.0</v>
      </c>
      <c r="BI10" s="6">
        <v>3064.0</v>
      </c>
      <c r="BJ10" s="6">
        <v>9000.0</v>
      </c>
      <c r="BK10" s="6">
        <v>-5936.0</v>
      </c>
      <c r="BL10" s="9">
        <v>0.79</v>
      </c>
      <c r="BM10" s="9">
        <v>1.19</v>
      </c>
      <c r="BN10" s="9">
        <v>0.0</v>
      </c>
      <c r="BO10" s="9">
        <v>0.0</v>
      </c>
      <c r="BP10" s="9">
        <v>0.0</v>
      </c>
      <c r="BQ10" s="9">
        <v>-614.38</v>
      </c>
      <c r="BR10" s="9">
        <v>0.0</v>
      </c>
      <c r="BS10" s="9">
        <v>0.0</v>
      </c>
      <c r="BT10" s="9">
        <v>0.0</v>
      </c>
      <c r="BU10" s="9">
        <v>0.0</v>
      </c>
      <c r="BV10" s="9">
        <v>0.0</v>
      </c>
      <c r="BW10" s="9">
        <v>0.0</v>
      </c>
      <c r="BX10" s="9">
        <v>0.0</v>
      </c>
      <c r="BY10" s="9">
        <v>4201.63</v>
      </c>
      <c r="BZ10" s="6">
        <v>0.0</v>
      </c>
      <c r="CA10" s="9">
        <v>0.0</v>
      </c>
      <c r="CB10" s="6">
        <v>0.0</v>
      </c>
      <c r="CC10" s="9">
        <v>0.0</v>
      </c>
      <c r="CD10" s="9">
        <v>0.0</v>
      </c>
      <c r="CE10" s="9">
        <v>0.0</v>
      </c>
      <c r="CF10" s="9">
        <v>0.0</v>
      </c>
      <c r="CG10" s="9">
        <v>0.0</v>
      </c>
      <c r="CH10" s="9">
        <v>3351.04</v>
      </c>
      <c r="CI10" s="9">
        <v>437.09</v>
      </c>
      <c r="CJ10" s="9">
        <v>2913.95</v>
      </c>
      <c r="CK10" s="9">
        <v>1.4</v>
      </c>
      <c r="CL10" s="6">
        <v>0.0</v>
      </c>
      <c r="CM10" s="6">
        <v>0.0</v>
      </c>
      <c r="CN10" s="6">
        <v>0.0</v>
      </c>
      <c r="CO10" s="6">
        <v>96.6766</v>
      </c>
      <c r="CP10" s="8"/>
      <c r="CQ10" s="6">
        <v>0.0</v>
      </c>
      <c r="CR10" s="6">
        <v>0.0</v>
      </c>
      <c r="CS10" s="6">
        <v>0.0</v>
      </c>
      <c r="CT10" s="6">
        <v>-35991.0</v>
      </c>
      <c r="CU10" s="8">
        <v>45825.0</v>
      </c>
      <c r="CV10" s="8">
        <v>45825.0</v>
      </c>
      <c r="CW10" s="6">
        <v>147233.0</v>
      </c>
      <c r="CX10" s="6" t="s">
        <v>122</v>
      </c>
      <c r="CY10" s="6" t="s">
        <v>123</v>
      </c>
      <c r="CZ10" s="9">
        <v>10822.96</v>
      </c>
      <c r="DA10" s="9">
        <v>4564.77</v>
      </c>
      <c r="DB10" s="9">
        <v>-31910.81</v>
      </c>
      <c r="DC10" s="9">
        <v>0.69</v>
      </c>
      <c r="DD10" s="9">
        <v>-4095.84</v>
      </c>
      <c r="DE10" s="9">
        <v>-4710.22</v>
      </c>
      <c r="DF10" s="6"/>
    </row>
    <row r="11" ht="13.5" customHeight="1">
      <c r="A11" s="6" t="s">
        <v>157</v>
      </c>
      <c r="B11" s="7">
        <v>43831.0</v>
      </c>
      <c r="C11" s="6" t="s">
        <v>109</v>
      </c>
      <c r="D11" s="6" t="s">
        <v>110</v>
      </c>
      <c r="E11" s="6" t="s">
        <v>111</v>
      </c>
      <c r="F11" s="6" t="s">
        <v>165</v>
      </c>
      <c r="G11" s="6" t="s">
        <v>128</v>
      </c>
      <c r="H11" s="6" t="s">
        <v>114</v>
      </c>
      <c r="I11" s="8">
        <v>43840.0</v>
      </c>
      <c r="J11" s="8">
        <v>43841.0</v>
      </c>
      <c r="K11" s="6">
        <f t="shared" si="1"/>
        <v>1</v>
      </c>
      <c r="L11" s="6">
        <v>1.0</v>
      </c>
      <c r="M11" s="6">
        <f t="shared" si="2"/>
        <v>0</v>
      </c>
      <c r="N11" s="8">
        <v>43854.0</v>
      </c>
      <c r="O11" s="8">
        <v>43864.0</v>
      </c>
      <c r="P11" s="6">
        <f t="shared" si="3"/>
        <v>10</v>
      </c>
      <c r="Q11" s="6">
        <v>90.0</v>
      </c>
      <c r="R11" s="6">
        <f t="shared" si="4"/>
        <v>-80</v>
      </c>
      <c r="S11" s="6" t="s">
        <v>166</v>
      </c>
      <c r="T11" s="6" t="s">
        <v>167</v>
      </c>
      <c r="U11" s="6" t="s">
        <v>117</v>
      </c>
      <c r="V11" s="6" t="s">
        <v>147</v>
      </c>
      <c r="W11" s="6" t="s">
        <v>133</v>
      </c>
      <c r="X11" s="6" t="s">
        <v>168</v>
      </c>
      <c r="Y11" s="6">
        <v>2020.0</v>
      </c>
      <c r="Z11" s="6" t="s">
        <v>135</v>
      </c>
      <c r="AA11" s="6">
        <v>2498.0</v>
      </c>
      <c r="AB11" s="6">
        <v>12.0</v>
      </c>
      <c r="AC11" s="6">
        <v>3.0</v>
      </c>
      <c r="AD11" s="9">
        <v>363391.3</v>
      </c>
      <c r="AE11" s="9">
        <v>72543.26</v>
      </c>
      <c r="AF11" s="10">
        <v>0.2</v>
      </c>
      <c r="AG11" s="9">
        <v>8915.66</v>
      </c>
      <c r="AH11" s="9">
        <v>1718.0</v>
      </c>
      <c r="AI11" s="6">
        <v>7.75</v>
      </c>
      <c r="AJ11" s="9">
        <v>170794.0</v>
      </c>
      <c r="AK11" s="6">
        <v>68.23</v>
      </c>
      <c r="AL11" s="8">
        <v>43864.0</v>
      </c>
      <c r="AM11" s="8">
        <v>45691.0</v>
      </c>
      <c r="AN11" s="6">
        <v>60.0</v>
      </c>
      <c r="AO11" s="6">
        <v>1500.0</v>
      </c>
      <c r="AP11" s="6">
        <v>67137.0</v>
      </c>
      <c r="AQ11" s="8">
        <v>46203.0</v>
      </c>
      <c r="AR11" s="6">
        <v>30090.0</v>
      </c>
      <c r="AS11" s="6">
        <v>30478.0</v>
      </c>
      <c r="AT11" s="6">
        <v>388.0</v>
      </c>
      <c r="AU11" s="6">
        <v>30448.0</v>
      </c>
      <c r="AV11" s="6">
        <v>507.0</v>
      </c>
      <c r="AW11" s="9">
        <v>4221.91</v>
      </c>
      <c r="AX11" s="9">
        <v>1170.45</v>
      </c>
      <c r="AY11" s="9">
        <v>102.85</v>
      </c>
      <c r="AZ11" s="9">
        <v>581.1</v>
      </c>
      <c r="BA11" s="9">
        <v>922.77</v>
      </c>
      <c r="BB11" s="9">
        <v>6999.08</v>
      </c>
      <c r="BC11" s="9">
        <v>1049.86</v>
      </c>
      <c r="BD11" s="9">
        <v>8048.94</v>
      </c>
      <c r="BE11" s="8">
        <v>45748.0</v>
      </c>
      <c r="BF11" s="8">
        <v>45838.0</v>
      </c>
      <c r="BG11" s="6">
        <v>29023.0</v>
      </c>
      <c r="BH11" s="6">
        <v>30478.0</v>
      </c>
      <c r="BI11" s="6">
        <v>1455.0</v>
      </c>
      <c r="BJ11" s="6">
        <v>4500.0</v>
      </c>
      <c r="BK11" s="6">
        <v>-3045.0</v>
      </c>
      <c r="BL11" s="9">
        <v>0.89</v>
      </c>
      <c r="BM11" s="9">
        <v>1.36</v>
      </c>
      <c r="BN11" s="9">
        <v>0.0</v>
      </c>
      <c r="BO11" s="9">
        <v>0.0</v>
      </c>
      <c r="BP11" s="9">
        <v>0.0</v>
      </c>
      <c r="BQ11" s="9">
        <v>-356.27</v>
      </c>
      <c r="BR11" s="9">
        <v>0.0</v>
      </c>
      <c r="BS11" s="9">
        <v>0.0</v>
      </c>
      <c r="BT11" s="9">
        <v>0.0</v>
      </c>
      <c r="BU11" s="9">
        <v>0.0</v>
      </c>
      <c r="BV11" s="9">
        <v>0.0</v>
      </c>
      <c r="BW11" s="9">
        <v>0.0</v>
      </c>
      <c r="BX11" s="9">
        <v>0.0</v>
      </c>
      <c r="BY11" s="9">
        <v>1205.49</v>
      </c>
      <c r="BZ11" s="6">
        <v>0.0</v>
      </c>
      <c r="CA11" s="9">
        <v>0.0</v>
      </c>
      <c r="CB11" s="6">
        <v>0.0</v>
      </c>
      <c r="CC11" s="9">
        <v>0.0</v>
      </c>
      <c r="CD11" s="9">
        <v>0.0</v>
      </c>
      <c r="CE11" s="9">
        <v>0.0</v>
      </c>
      <c r="CF11" s="9">
        <v>0.0</v>
      </c>
      <c r="CG11" s="9">
        <v>0.0</v>
      </c>
      <c r="CH11" s="9">
        <v>5317.57</v>
      </c>
      <c r="CI11" s="9">
        <v>693.59</v>
      </c>
      <c r="CJ11" s="9">
        <v>4623.98</v>
      </c>
      <c r="CK11" s="9">
        <v>11.92</v>
      </c>
      <c r="CL11" s="6">
        <v>0.0</v>
      </c>
      <c r="CM11" s="6">
        <v>0.0</v>
      </c>
      <c r="CN11" s="6">
        <v>0.0</v>
      </c>
      <c r="CO11" s="6">
        <v>97.1315</v>
      </c>
      <c r="CP11" s="8"/>
      <c r="CQ11" s="6">
        <v>0.0</v>
      </c>
      <c r="CR11" s="6">
        <v>0.0</v>
      </c>
      <c r="CS11" s="6">
        <v>0.0</v>
      </c>
      <c r="CT11" s="6">
        <v>-92552.0</v>
      </c>
      <c r="CU11" s="8">
        <v>45838.0</v>
      </c>
      <c r="CV11" s="8">
        <v>45838.0</v>
      </c>
      <c r="CW11" s="6">
        <v>67167.0</v>
      </c>
      <c r="CX11" s="6" t="s">
        <v>122</v>
      </c>
      <c r="CY11" s="6" t="s">
        <v>123</v>
      </c>
      <c r="CZ11" s="9">
        <v>0.0</v>
      </c>
      <c r="DA11" s="9">
        <v>0.0</v>
      </c>
      <c r="DB11" s="9">
        <v>-64259.47</v>
      </c>
      <c r="DC11" s="9">
        <v>0.78</v>
      </c>
      <c r="DD11" s="9">
        <v>-2375.1</v>
      </c>
      <c r="DE11" s="9">
        <v>-2731.37</v>
      </c>
      <c r="DF11" s="6"/>
    </row>
    <row r="12" ht="13.5" customHeight="1">
      <c r="A12" s="6" t="s">
        <v>157</v>
      </c>
      <c r="B12" s="7">
        <v>43831.0</v>
      </c>
      <c r="C12" s="6" t="s">
        <v>124</v>
      </c>
      <c r="D12" s="6" t="s">
        <v>125</v>
      </c>
      <c r="E12" s="6" t="s">
        <v>126</v>
      </c>
      <c r="F12" s="6" t="s">
        <v>169</v>
      </c>
      <c r="G12" s="6" t="s">
        <v>128</v>
      </c>
      <c r="H12" s="6" t="s">
        <v>129</v>
      </c>
      <c r="I12" s="8">
        <v>43841.0</v>
      </c>
      <c r="J12" s="8">
        <v>43842.0</v>
      </c>
      <c r="K12" s="6">
        <f t="shared" si="1"/>
        <v>1</v>
      </c>
      <c r="L12" s="6">
        <v>1.0</v>
      </c>
      <c r="M12" s="6">
        <f t="shared" si="2"/>
        <v>0</v>
      </c>
      <c r="N12" s="8">
        <v>43855.0</v>
      </c>
      <c r="O12" s="8">
        <v>43986.0</v>
      </c>
      <c r="P12" s="6">
        <f t="shared" si="3"/>
        <v>131</v>
      </c>
      <c r="Q12" s="6">
        <v>90.0</v>
      </c>
      <c r="R12" s="6">
        <f t="shared" si="4"/>
        <v>41</v>
      </c>
      <c r="S12" s="6" t="s">
        <v>170</v>
      </c>
      <c r="T12" s="6" t="s">
        <v>171</v>
      </c>
      <c r="U12" s="6" t="s">
        <v>117</v>
      </c>
      <c r="V12" s="6" t="s">
        <v>147</v>
      </c>
      <c r="W12" s="6" t="s">
        <v>133</v>
      </c>
      <c r="X12" s="6" t="s">
        <v>168</v>
      </c>
      <c r="Y12" s="6">
        <v>2023.0</v>
      </c>
      <c r="Z12" s="6" t="s">
        <v>135</v>
      </c>
      <c r="AA12" s="6">
        <v>2498.0</v>
      </c>
      <c r="AB12" s="6">
        <v>16.0</v>
      </c>
      <c r="AC12" s="6">
        <v>0.0</v>
      </c>
      <c r="AD12" s="9">
        <v>440782.61</v>
      </c>
      <c r="AE12" s="9">
        <v>71421.44</v>
      </c>
      <c r="AF12" s="10">
        <v>0.16</v>
      </c>
      <c r="AG12" s="9">
        <v>11953.33</v>
      </c>
      <c r="AH12" s="9">
        <v>3046.0</v>
      </c>
      <c r="AI12" s="6">
        <v>7.75</v>
      </c>
      <c r="AJ12" s="9">
        <v>185129.0</v>
      </c>
      <c r="AK12" s="6">
        <v>42.0</v>
      </c>
      <c r="AL12" s="8">
        <v>43986.0</v>
      </c>
      <c r="AM12" s="8">
        <v>45812.0</v>
      </c>
      <c r="AN12" s="6">
        <v>60.0</v>
      </c>
      <c r="AO12" s="6">
        <v>3000.0</v>
      </c>
      <c r="AP12" s="6">
        <v>180000.0</v>
      </c>
      <c r="AQ12" s="8">
        <v>45991.0</v>
      </c>
      <c r="AR12" s="6">
        <v>34652.0</v>
      </c>
      <c r="AS12" s="6">
        <v>37767.0</v>
      </c>
      <c r="AT12" s="6">
        <v>3115.0</v>
      </c>
      <c r="AU12" s="6">
        <v>37154.0</v>
      </c>
      <c r="AV12" s="6">
        <v>2064.0</v>
      </c>
      <c r="AW12" s="9">
        <v>6035.98</v>
      </c>
      <c r="AX12" s="9">
        <v>1320.0</v>
      </c>
      <c r="AY12" s="9">
        <v>125.0</v>
      </c>
      <c r="AZ12" s="9">
        <v>290.99</v>
      </c>
      <c r="BA12" s="9">
        <v>1083.24</v>
      </c>
      <c r="BB12" s="9">
        <v>8855.21</v>
      </c>
      <c r="BC12" s="9">
        <v>1328.28</v>
      </c>
      <c r="BD12" s="9">
        <v>10183.49</v>
      </c>
      <c r="BE12" s="8">
        <v>45748.0</v>
      </c>
      <c r="BF12" s="8">
        <v>45838.0</v>
      </c>
      <c r="BG12" s="6">
        <v>32699.0</v>
      </c>
      <c r="BH12" s="6">
        <v>37767.0</v>
      </c>
      <c r="BI12" s="6">
        <v>5068.0</v>
      </c>
      <c r="BJ12" s="6">
        <v>9000.0</v>
      </c>
      <c r="BK12" s="6">
        <v>-3932.0</v>
      </c>
      <c r="BL12" s="9">
        <v>0.51</v>
      </c>
      <c r="BM12" s="9">
        <v>1.42</v>
      </c>
      <c r="BN12" s="9">
        <v>0.0</v>
      </c>
      <c r="BO12" s="9">
        <v>0.0</v>
      </c>
      <c r="BP12" s="9">
        <v>0.0</v>
      </c>
      <c r="BQ12" s="9">
        <v>-259.51</v>
      </c>
      <c r="BR12" s="9">
        <v>0.0</v>
      </c>
      <c r="BS12" s="9">
        <v>0.0</v>
      </c>
      <c r="BT12" s="9">
        <v>0.0</v>
      </c>
      <c r="BU12" s="9">
        <v>0.0</v>
      </c>
      <c r="BV12" s="9">
        <v>0.0</v>
      </c>
      <c r="BW12" s="9">
        <v>0.0</v>
      </c>
      <c r="BX12" s="9">
        <v>0.0</v>
      </c>
      <c r="BY12" s="9">
        <v>4062.22</v>
      </c>
      <c r="BZ12" s="6">
        <v>0.0</v>
      </c>
      <c r="CA12" s="9">
        <v>0.0</v>
      </c>
      <c r="CB12" s="6">
        <v>0.0</v>
      </c>
      <c r="CC12" s="9">
        <v>0.0</v>
      </c>
      <c r="CD12" s="9">
        <v>0.0</v>
      </c>
      <c r="CE12" s="9">
        <v>0.0</v>
      </c>
      <c r="CF12" s="9">
        <v>0.0</v>
      </c>
      <c r="CG12" s="9">
        <v>0.0</v>
      </c>
      <c r="CH12" s="9">
        <v>8193.9</v>
      </c>
      <c r="CI12" s="9">
        <v>1068.77</v>
      </c>
      <c r="CJ12" s="9">
        <v>7125.13</v>
      </c>
      <c r="CK12" s="9">
        <v>2.29</v>
      </c>
      <c r="CL12" s="6">
        <v>0.0</v>
      </c>
      <c r="CM12" s="6">
        <v>0.0</v>
      </c>
      <c r="CN12" s="6">
        <v>0.0</v>
      </c>
      <c r="CO12" s="6">
        <v>100.0</v>
      </c>
      <c r="CP12" s="8"/>
      <c r="CQ12" s="6">
        <v>0.0</v>
      </c>
      <c r="CR12" s="6">
        <v>0.0</v>
      </c>
      <c r="CS12" s="6">
        <v>0.0</v>
      </c>
      <c r="CT12" s="6">
        <v>-19410.0</v>
      </c>
      <c r="CU12" s="8">
        <v>47118.0</v>
      </c>
      <c r="CV12" s="8">
        <v>47118.0</v>
      </c>
      <c r="CW12" s="6">
        <v>180613.0</v>
      </c>
      <c r="CX12" s="6" t="s">
        <v>122</v>
      </c>
      <c r="CY12" s="6" t="s">
        <v>123</v>
      </c>
      <c r="CZ12" s="9">
        <v>330.99</v>
      </c>
      <c r="DA12" s="9">
        <v>921.58</v>
      </c>
      <c r="DB12" s="9">
        <v>-8719.04</v>
      </c>
      <c r="DC12" s="9">
        <v>0.44</v>
      </c>
      <c r="DD12" s="9">
        <v>-1730.08</v>
      </c>
      <c r="DE12" s="9">
        <v>-1989.59</v>
      </c>
      <c r="DF12" s="6"/>
    </row>
    <row r="13" ht="13.5" customHeight="1">
      <c r="A13" s="6" t="s">
        <v>157</v>
      </c>
      <c r="B13" s="7">
        <v>43831.0</v>
      </c>
      <c r="C13" s="6" t="s">
        <v>136</v>
      </c>
      <c r="D13" s="6" t="s">
        <v>137</v>
      </c>
      <c r="E13" s="6" t="s">
        <v>138</v>
      </c>
      <c r="F13" s="6" t="s">
        <v>172</v>
      </c>
      <c r="G13" s="6" t="s">
        <v>140</v>
      </c>
      <c r="H13" s="6" t="s">
        <v>141</v>
      </c>
      <c r="I13" s="8">
        <v>43842.0</v>
      </c>
      <c r="J13" s="8">
        <v>43843.0</v>
      </c>
      <c r="K13" s="6">
        <f t="shared" si="1"/>
        <v>1</v>
      </c>
      <c r="L13" s="6">
        <v>1.0</v>
      </c>
      <c r="M13" s="6">
        <f t="shared" si="2"/>
        <v>0</v>
      </c>
      <c r="N13" s="8">
        <v>43856.0</v>
      </c>
      <c r="O13" s="8">
        <v>43866.0</v>
      </c>
      <c r="P13" s="6">
        <f t="shared" si="3"/>
        <v>10</v>
      </c>
      <c r="Q13" s="6">
        <v>90.0</v>
      </c>
      <c r="R13" s="6">
        <f t="shared" si="4"/>
        <v>-80</v>
      </c>
      <c r="S13" s="6" t="s">
        <v>173</v>
      </c>
      <c r="T13" s="6" t="s">
        <v>174</v>
      </c>
      <c r="U13" s="6" t="s">
        <v>117</v>
      </c>
      <c r="V13" s="6" t="s">
        <v>147</v>
      </c>
      <c r="W13" s="6" t="s">
        <v>133</v>
      </c>
      <c r="X13" s="6" t="s">
        <v>168</v>
      </c>
      <c r="Y13" s="6">
        <v>2023.0</v>
      </c>
      <c r="Z13" s="6" t="s">
        <v>135</v>
      </c>
      <c r="AA13" s="6">
        <v>2498.0</v>
      </c>
      <c r="AB13" s="6">
        <v>16.0</v>
      </c>
      <c r="AC13" s="6">
        <v>0.0</v>
      </c>
      <c r="AD13" s="9">
        <v>460956.52</v>
      </c>
      <c r="AE13" s="9">
        <v>91595.35</v>
      </c>
      <c r="AF13" s="10">
        <v>0.2</v>
      </c>
      <c r="AG13" s="9">
        <v>56494.37</v>
      </c>
      <c r="AH13" s="9">
        <v>2242.5</v>
      </c>
      <c r="AI13" s="6">
        <v>7.75</v>
      </c>
      <c r="AJ13" s="9">
        <v>193602.0</v>
      </c>
      <c r="AK13" s="6">
        <v>42.0</v>
      </c>
      <c r="AL13" s="8">
        <v>43866.0</v>
      </c>
      <c r="AM13" s="8">
        <v>45693.0</v>
      </c>
      <c r="AN13" s="6">
        <v>60.0</v>
      </c>
      <c r="AO13" s="6">
        <v>1500.0</v>
      </c>
      <c r="AP13" s="6">
        <v>90000.0</v>
      </c>
      <c r="AQ13" s="8">
        <v>45991.0</v>
      </c>
      <c r="AR13" s="6">
        <v>27414.0</v>
      </c>
      <c r="AS13" s="6">
        <v>29399.0</v>
      </c>
      <c r="AT13" s="6">
        <v>1985.0</v>
      </c>
      <c r="AU13" s="6">
        <v>28740.0</v>
      </c>
      <c r="AV13" s="6">
        <v>1597.0</v>
      </c>
      <c r="AW13" s="9">
        <v>6834.46</v>
      </c>
      <c r="AX13" s="9">
        <v>570.0</v>
      </c>
      <c r="AY13" s="9">
        <v>125.0</v>
      </c>
      <c r="AZ13" s="9">
        <v>290.99</v>
      </c>
      <c r="BA13" s="9">
        <v>1453.23</v>
      </c>
      <c r="BB13" s="9">
        <v>9273.68</v>
      </c>
      <c r="BC13" s="9">
        <v>1391.05</v>
      </c>
      <c r="BD13" s="9">
        <v>10664.73</v>
      </c>
      <c r="BE13" s="8">
        <v>45748.0</v>
      </c>
      <c r="BF13" s="8">
        <v>45838.0</v>
      </c>
      <c r="BG13" s="6">
        <v>24289.0</v>
      </c>
      <c r="BH13" s="6">
        <v>29399.0</v>
      </c>
      <c r="BI13" s="6">
        <v>5110.0</v>
      </c>
      <c r="BJ13" s="6">
        <v>4500.0</v>
      </c>
      <c r="BK13" s="6">
        <v>610.0</v>
      </c>
      <c r="BL13" s="9">
        <v>0.44</v>
      </c>
      <c r="BM13" s="9">
        <v>2.97</v>
      </c>
      <c r="BN13" s="9">
        <v>268.4</v>
      </c>
      <c r="BO13" s="9">
        <v>1811.7</v>
      </c>
      <c r="BP13" s="9">
        <v>2080.1</v>
      </c>
      <c r="BQ13" s="9">
        <v>312.02</v>
      </c>
      <c r="BR13" s="9">
        <v>2392.12</v>
      </c>
      <c r="BS13" s="9">
        <v>0.0</v>
      </c>
      <c r="BT13" s="9">
        <v>0.0</v>
      </c>
      <c r="BU13" s="9">
        <v>0.0</v>
      </c>
      <c r="BV13" s="9">
        <v>0.0</v>
      </c>
      <c r="BW13" s="9">
        <v>0.0</v>
      </c>
      <c r="BX13" s="9">
        <v>0.0</v>
      </c>
      <c r="BY13" s="9">
        <v>5151.89</v>
      </c>
      <c r="BZ13" s="6">
        <v>0.0</v>
      </c>
      <c r="CA13" s="9">
        <v>0.0</v>
      </c>
      <c r="CB13" s="6">
        <v>0.0</v>
      </c>
      <c r="CC13" s="9">
        <v>0.0</v>
      </c>
      <c r="CD13" s="9">
        <v>0.0</v>
      </c>
      <c r="CE13" s="9">
        <v>0.0</v>
      </c>
      <c r="CF13" s="9">
        <v>0.0</v>
      </c>
      <c r="CG13" s="9">
        <v>0.0</v>
      </c>
      <c r="CH13" s="9">
        <v>13056.85</v>
      </c>
      <c r="CI13" s="9">
        <v>1703.07</v>
      </c>
      <c r="CJ13" s="9">
        <v>11353.78</v>
      </c>
      <c r="CK13" s="9">
        <v>5.72</v>
      </c>
      <c r="CL13" s="6">
        <v>0.0</v>
      </c>
      <c r="CM13" s="6">
        <v>0.0</v>
      </c>
      <c r="CN13" s="6">
        <v>0.0</v>
      </c>
      <c r="CO13" s="6">
        <v>100.0</v>
      </c>
      <c r="CP13" s="8"/>
      <c r="CQ13" s="6">
        <v>0.0</v>
      </c>
      <c r="CR13" s="6">
        <v>0.0</v>
      </c>
      <c r="CS13" s="6">
        <v>0.0</v>
      </c>
      <c r="CT13" s="6">
        <v>804.0</v>
      </c>
      <c r="CU13" s="8">
        <v>47118.0</v>
      </c>
      <c r="CV13" s="8">
        <v>47118.0</v>
      </c>
      <c r="CW13" s="6">
        <v>90659.0</v>
      </c>
      <c r="CX13" s="6" t="s">
        <v>122</v>
      </c>
      <c r="CY13" s="6" t="s">
        <v>123</v>
      </c>
      <c r="CZ13" s="9">
        <v>1118.04</v>
      </c>
      <c r="DA13" s="9">
        <v>7546.77</v>
      </c>
      <c r="DB13" s="9">
        <v>-628.14</v>
      </c>
      <c r="DC13" s="9">
        <v>0.38</v>
      </c>
      <c r="DD13" s="9">
        <v>0.0</v>
      </c>
      <c r="DE13" s="9">
        <v>0.0</v>
      </c>
      <c r="DF13" s="6"/>
    </row>
    <row r="14" ht="13.5" customHeight="1">
      <c r="A14" s="6" t="s">
        <v>175</v>
      </c>
      <c r="B14" s="7">
        <v>43831.0</v>
      </c>
      <c r="C14" s="6" t="s">
        <v>109</v>
      </c>
      <c r="D14" s="6" t="s">
        <v>110</v>
      </c>
      <c r="E14" s="6" t="s">
        <v>111</v>
      </c>
      <c r="F14" s="6" t="s">
        <v>176</v>
      </c>
      <c r="G14" s="6" t="s">
        <v>140</v>
      </c>
      <c r="H14" s="6" t="s">
        <v>114</v>
      </c>
      <c r="I14" s="8">
        <v>43843.0</v>
      </c>
      <c r="J14" s="8">
        <v>43846.0</v>
      </c>
      <c r="K14" s="6">
        <f t="shared" si="1"/>
        <v>3</v>
      </c>
      <c r="L14" s="6">
        <v>1.0</v>
      </c>
      <c r="M14" s="6">
        <f t="shared" si="2"/>
        <v>2</v>
      </c>
      <c r="N14" s="8">
        <v>43857.0</v>
      </c>
      <c r="O14" s="8">
        <v>43867.0</v>
      </c>
      <c r="P14" s="6">
        <f t="shared" si="3"/>
        <v>10</v>
      </c>
      <c r="Q14" s="6">
        <v>90.0</v>
      </c>
      <c r="R14" s="6">
        <f t="shared" si="4"/>
        <v>-80</v>
      </c>
      <c r="S14" s="6" t="s">
        <v>177</v>
      </c>
      <c r="T14" s="6" t="s">
        <v>178</v>
      </c>
      <c r="U14" s="6" t="s">
        <v>117</v>
      </c>
      <c r="V14" s="6" t="s">
        <v>147</v>
      </c>
      <c r="W14" s="6" t="s">
        <v>133</v>
      </c>
      <c r="X14" s="6" t="s">
        <v>168</v>
      </c>
      <c r="Y14" s="6">
        <v>2023.0</v>
      </c>
      <c r="Z14" s="6" t="s">
        <v>135</v>
      </c>
      <c r="AA14" s="6">
        <v>2498.0</v>
      </c>
      <c r="AB14" s="6">
        <v>16.0</v>
      </c>
      <c r="AC14" s="6">
        <v>0.0</v>
      </c>
      <c r="AD14" s="9">
        <v>460956.52</v>
      </c>
      <c r="AE14" s="9">
        <v>91595.35</v>
      </c>
      <c r="AF14" s="10">
        <v>0.2</v>
      </c>
      <c r="AG14" s="9">
        <v>25730.64</v>
      </c>
      <c r="AH14" s="9">
        <v>2431.5</v>
      </c>
      <c r="AI14" s="6">
        <v>7.75</v>
      </c>
      <c r="AJ14" s="9">
        <v>193602.0</v>
      </c>
      <c r="AK14" s="6">
        <v>42.0</v>
      </c>
      <c r="AL14" s="8">
        <v>43867.0</v>
      </c>
      <c r="AM14" s="8">
        <v>45694.0</v>
      </c>
      <c r="AN14" s="6">
        <v>60.0</v>
      </c>
      <c r="AO14" s="6">
        <v>3000.0</v>
      </c>
      <c r="AP14" s="6">
        <v>180000.0</v>
      </c>
      <c r="AQ14" s="8">
        <v>45991.0</v>
      </c>
      <c r="AR14" s="6">
        <v>31771.0</v>
      </c>
      <c r="AS14" s="6">
        <v>32013.0</v>
      </c>
      <c r="AT14" s="6">
        <v>242.0</v>
      </c>
      <c r="AU14" s="6">
        <v>31413.0</v>
      </c>
      <c r="AV14" s="6">
        <v>1745.0</v>
      </c>
      <c r="AW14" s="9">
        <v>6195.35</v>
      </c>
      <c r="AX14" s="9">
        <v>1140.0</v>
      </c>
      <c r="AY14" s="9">
        <v>125.0</v>
      </c>
      <c r="AZ14" s="9">
        <v>290.99</v>
      </c>
      <c r="BA14" s="9">
        <v>1033.63</v>
      </c>
      <c r="BB14" s="9">
        <v>8784.97</v>
      </c>
      <c r="BC14" s="9">
        <v>1317.75</v>
      </c>
      <c r="BD14" s="9">
        <v>10102.72</v>
      </c>
      <c r="BE14" s="8">
        <v>45748.0</v>
      </c>
      <c r="BF14" s="8">
        <v>45838.0</v>
      </c>
      <c r="BG14" s="6">
        <v>30054.0</v>
      </c>
      <c r="BH14" s="6">
        <v>32013.0</v>
      </c>
      <c r="BI14" s="6">
        <v>1959.0</v>
      </c>
      <c r="BJ14" s="6">
        <v>9000.0</v>
      </c>
      <c r="BK14" s="6">
        <v>-7041.0</v>
      </c>
      <c r="BL14" s="9">
        <v>0.44</v>
      </c>
      <c r="BM14" s="9">
        <v>1.49</v>
      </c>
      <c r="BN14" s="9">
        <v>0.0</v>
      </c>
      <c r="BO14" s="9">
        <v>0.0</v>
      </c>
      <c r="BP14" s="9">
        <v>0.0</v>
      </c>
      <c r="BQ14" s="9">
        <v>-401.34</v>
      </c>
      <c r="BR14" s="9">
        <v>0.0</v>
      </c>
      <c r="BS14" s="9">
        <v>0.0</v>
      </c>
      <c r="BT14" s="9">
        <v>0.0</v>
      </c>
      <c r="BU14" s="9">
        <v>0.0</v>
      </c>
      <c r="BV14" s="9">
        <v>0.0</v>
      </c>
      <c r="BW14" s="9">
        <v>0.0</v>
      </c>
      <c r="BX14" s="9">
        <v>0.0</v>
      </c>
      <c r="BY14" s="9">
        <v>1451.11</v>
      </c>
      <c r="BZ14" s="6">
        <v>0.0</v>
      </c>
      <c r="CA14" s="9">
        <v>0.0</v>
      </c>
      <c r="CB14" s="6">
        <v>0.0</v>
      </c>
      <c r="CC14" s="9">
        <v>0.0</v>
      </c>
      <c r="CD14" s="9">
        <v>0.0</v>
      </c>
      <c r="CE14" s="9">
        <v>0.0</v>
      </c>
      <c r="CF14" s="9">
        <v>0.0</v>
      </c>
      <c r="CG14" s="9">
        <v>0.0</v>
      </c>
      <c r="CH14" s="9">
        <v>7025.8</v>
      </c>
      <c r="CI14" s="9">
        <v>916.41</v>
      </c>
      <c r="CJ14" s="9">
        <v>6109.39</v>
      </c>
      <c r="CK14" s="9">
        <v>25.25</v>
      </c>
      <c r="CL14" s="6">
        <v>0.0</v>
      </c>
      <c r="CM14" s="6">
        <v>0.0</v>
      </c>
      <c r="CN14" s="6">
        <v>0.0</v>
      </c>
      <c r="CO14" s="6">
        <v>100.0</v>
      </c>
      <c r="CP14" s="8"/>
      <c r="CQ14" s="6">
        <v>0.0</v>
      </c>
      <c r="CR14" s="6">
        <v>0.0</v>
      </c>
      <c r="CS14" s="6">
        <v>0.0</v>
      </c>
      <c r="CT14" s="6">
        <v>-24460.0</v>
      </c>
      <c r="CU14" s="8">
        <v>47118.0</v>
      </c>
      <c r="CV14" s="8">
        <v>47118.0</v>
      </c>
      <c r="CW14" s="6">
        <v>180600.0</v>
      </c>
      <c r="CX14" s="6" t="s">
        <v>122</v>
      </c>
      <c r="CY14" s="6" t="s">
        <v>123</v>
      </c>
      <c r="CZ14" s="9">
        <v>0.0</v>
      </c>
      <c r="DA14" s="9">
        <v>0.0</v>
      </c>
      <c r="DB14" s="9">
        <v>-9136.72</v>
      </c>
      <c r="DC14" s="9">
        <v>0.38</v>
      </c>
      <c r="DD14" s="9">
        <v>-2675.58</v>
      </c>
      <c r="DE14" s="9">
        <v>-3076.92</v>
      </c>
      <c r="DF14" s="6"/>
    </row>
    <row r="15" ht="13.5" customHeight="1">
      <c r="A15" s="6" t="s">
        <v>175</v>
      </c>
      <c r="B15" s="7">
        <v>43831.0</v>
      </c>
      <c r="C15" s="6" t="s">
        <v>124</v>
      </c>
      <c r="D15" s="6" t="s">
        <v>125</v>
      </c>
      <c r="E15" s="6" t="s">
        <v>126</v>
      </c>
      <c r="F15" s="6" t="s">
        <v>179</v>
      </c>
      <c r="G15" s="6" t="s">
        <v>140</v>
      </c>
      <c r="H15" s="6" t="s">
        <v>129</v>
      </c>
      <c r="I15" s="8">
        <v>43844.0</v>
      </c>
      <c r="J15" s="8">
        <v>43845.0</v>
      </c>
      <c r="K15" s="6">
        <f t="shared" si="1"/>
        <v>1</v>
      </c>
      <c r="L15" s="6">
        <v>1.0</v>
      </c>
      <c r="M15" s="6">
        <f t="shared" si="2"/>
        <v>0</v>
      </c>
      <c r="N15" s="8">
        <v>43858.0</v>
      </c>
      <c r="O15" s="8">
        <v>43868.0</v>
      </c>
      <c r="P15" s="6">
        <f t="shared" si="3"/>
        <v>10</v>
      </c>
      <c r="Q15" s="6">
        <v>90.0</v>
      </c>
      <c r="R15" s="6">
        <f t="shared" si="4"/>
        <v>-80</v>
      </c>
      <c r="S15" s="6" t="s">
        <v>180</v>
      </c>
      <c r="T15" s="6" t="s">
        <v>181</v>
      </c>
      <c r="U15" s="6" t="s">
        <v>117</v>
      </c>
      <c r="V15" s="6" t="s">
        <v>147</v>
      </c>
      <c r="W15" s="6" t="s">
        <v>182</v>
      </c>
      <c r="X15" s="6" t="s">
        <v>183</v>
      </c>
      <c r="Y15" s="6">
        <v>2024.0</v>
      </c>
      <c r="Z15" s="6" t="s">
        <v>135</v>
      </c>
      <c r="AA15" s="6">
        <v>1998.0</v>
      </c>
      <c r="AB15" s="6">
        <v>16.0</v>
      </c>
      <c r="AC15" s="6">
        <v>10.0</v>
      </c>
      <c r="AD15" s="9">
        <v>482952.0</v>
      </c>
      <c r="AE15" s="9">
        <v>29511.33</v>
      </c>
      <c r="AF15" s="10">
        <v>0.06</v>
      </c>
      <c r="AG15" s="9">
        <v>24585.1</v>
      </c>
      <c r="AH15" s="9">
        <v>2617.5</v>
      </c>
      <c r="AI15" s="6">
        <v>7.75</v>
      </c>
      <c r="AJ15" s="9">
        <v>224491.8</v>
      </c>
      <c r="AK15" s="6">
        <v>57.39</v>
      </c>
      <c r="AL15" s="8">
        <v>43868.0</v>
      </c>
      <c r="AM15" s="8">
        <v>45695.0</v>
      </c>
      <c r="AN15" s="6">
        <v>60.0</v>
      </c>
      <c r="AO15" s="6">
        <v>2000.0</v>
      </c>
      <c r="AP15" s="6">
        <v>155396.0</v>
      </c>
      <c r="AQ15" s="8">
        <v>46022.0</v>
      </c>
      <c r="AR15" s="6">
        <v>73938.0</v>
      </c>
      <c r="AS15" s="6">
        <v>77624.0</v>
      </c>
      <c r="AT15" s="6">
        <v>3686.0</v>
      </c>
      <c r="AU15" s="6">
        <v>77020.0</v>
      </c>
      <c r="AV15" s="6">
        <v>4531.0</v>
      </c>
      <c r="AW15" s="9">
        <v>6992.54</v>
      </c>
      <c r="AX15" s="9">
        <v>1200.0</v>
      </c>
      <c r="AY15" s="9">
        <v>125.0</v>
      </c>
      <c r="AZ15" s="9">
        <v>290.99</v>
      </c>
      <c r="BA15" s="9">
        <v>1453.23</v>
      </c>
      <c r="BB15" s="9">
        <v>10061.76</v>
      </c>
      <c r="BC15" s="9">
        <v>1509.26</v>
      </c>
      <c r="BD15" s="9">
        <v>11571.02</v>
      </c>
      <c r="BE15" s="8">
        <v>45748.0</v>
      </c>
      <c r="BF15" s="8">
        <v>45838.0</v>
      </c>
      <c r="BG15" s="6">
        <v>65352.0</v>
      </c>
      <c r="BH15" s="6">
        <v>77624.0</v>
      </c>
      <c r="BI15" s="6">
        <v>12272.0</v>
      </c>
      <c r="BJ15" s="6">
        <v>6000.0</v>
      </c>
      <c r="BK15" s="6">
        <v>6272.0</v>
      </c>
      <c r="BL15" s="9">
        <v>0.66</v>
      </c>
      <c r="BM15" s="9">
        <v>1.49</v>
      </c>
      <c r="BN15" s="9">
        <v>4139.52</v>
      </c>
      <c r="BO15" s="9">
        <v>9345.28</v>
      </c>
      <c r="BP15" s="9">
        <v>13484.8</v>
      </c>
      <c r="BQ15" s="9">
        <v>2022.72</v>
      </c>
      <c r="BR15" s="9">
        <v>15507.52</v>
      </c>
      <c r="BS15" s="9">
        <v>0.0</v>
      </c>
      <c r="BT15" s="9">
        <v>0.0</v>
      </c>
      <c r="BU15" s="9">
        <v>0.0</v>
      </c>
      <c r="BV15" s="9">
        <v>0.0</v>
      </c>
      <c r="BW15" s="9">
        <v>0.0</v>
      </c>
      <c r="BX15" s="9">
        <v>0.0</v>
      </c>
      <c r="BY15" s="9">
        <v>10951.15</v>
      </c>
      <c r="BZ15" s="6">
        <v>0.0</v>
      </c>
      <c r="CA15" s="9">
        <v>0.0</v>
      </c>
      <c r="CB15" s="6">
        <v>0.0</v>
      </c>
      <c r="CC15" s="9">
        <v>0.0</v>
      </c>
      <c r="CD15" s="9">
        <v>0.0</v>
      </c>
      <c r="CE15" s="9">
        <v>0.0</v>
      </c>
      <c r="CF15" s="9">
        <v>0.0</v>
      </c>
      <c r="CG15" s="9">
        <v>0.0</v>
      </c>
      <c r="CH15" s="9">
        <v>27078.54</v>
      </c>
      <c r="CI15" s="9">
        <v>3531.98</v>
      </c>
      <c r="CJ15" s="9">
        <v>23546.56</v>
      </c>
      <c r="CK15" s="9">
        <v>6.39</v>
      </c>
      <c r="CL15" s="6">
        <v>0.0</v>
      </c>
      <c r="CM15" s="6">
        <v>0.0</v>
      </c>
      <c r="CN15" s="6">
        <v>0.0</v>
      </c>
      <c r="CO15" s="6">
        <v>100.0</v>
      </c>
      <c r="CP15" s="8"/>
      <c r="CQ15" s="6">
        <v>0.0</v>
      </c>
      <c r="CR15" s="6">
        <v>0.0</v>
      </c>
      <c r="CS15" s="6">
        <v>0.0</v>
      </c>
      <c r="CT15" s="6">
        <v>28048.0</v>
      </c>
      <c r="CU15" s="8">
        <v>47149.0</v>
      </c>
      <c r="CV15" s="8">
        <v>47149.0</v>
      </c>
      <c r="CW15" s="6">
        <v>156000.0</v>
      </c>
      <c r="CX15" s="6" t="s">
        <v>122</v>
      </c>
      <c r="CY15" s="6" t="s">
        <v>123</v>
      </c>
      <c r="CZ15" s="9">
        <v>18749.94</v>
      </c>
      <c r="DA15" s="9">
        <v>38635.05</v>
      </c>
      <c r="DB15" s="9">
        <v>0.0</v>
      </c>
      <c r="DC15" s="9">
        <v>0.6</v>
      </c>
      <c r="DD15" s="9">
        <v>0.0</v>
      </c>
      <c r="DE15" s="9">
        <v>0.0</v>
      </c>
      <c r="DF15" s="6"/>
    </row>
    <row r="16" ht="13.5" customHeight="1">
      <c r="A16" s="6" t="s">
        <v>175</v>
      </c>
      <c r="B16" s="7">
        <v>43831.0</v>
      </c>
      <c r="C16" s="6" t="s">
        <v>136</v>
      </c>
      <c r="D16" s="6" t="s">
        <v>137</v>
      </c>
      <c r="E16" s="6" t="s">
        <v>138</v>
      </c>
      <c r="F16" s="6" t="s">
        <v>172</v>
      </c>
      <c r="G16" s="6" t="s">
        <v>140</v>
      </c>
      <c r="H16" s="6" t="s">
        <v>141</v>
      </c>
      <c r="I16" s="8">
        <v>43845.0</v>
      </c>
      <c r="J16" s="8">
        <v>43846.0</v>
      </c>
      <c r="K16" s="6">
        <f t="shared" si="1"/>
        <v>1</v>
      </c>
      <c r="L16" s="6">
        <v>1.0</v>
      </c>
      <c r="M16" s="6">
        <f t="shared" si="2"/>
        <v>0</v>
      </c>
      <c r="N16" s="8">
        <v>43859.0</v>
      </c>
      <c r="O16" s="8">
        <v>43869.0</v>
      </c>
      <c r="P16" s="6">
        <f t="shared" si="3"/>
        <v>10</v>
      </c>
      <c r="Q16" s="6">
        <v>90.0</v>
      </c>
      <c r="R16" s="6">
        <f t="shared" si="4"/>
        <v>-80</v>
      </c>
      <c r="S16" s="6" t="s">
        <v>184</v>
      </c>
      <c r="T16" s="6" t="s">
        <v>185</v>
      </c>
      <c r="U16" s="6" t="s">
        <v>117</v>
      </c>
      <c r="V16" s="6" t="s">
        <v>147</v>
      </c>
      <c r="W16" s="6" t="s">
        <v>182</v>
      </c>
      <c r="X16" s="6" t="s">
        <v>183</v>
      </c>
      <c r="Y16" s="6">
        <v>2024.0</v>
      </c>
      <c r="Z16" s="6" t="s">
        <v>135</v>
      </c>
      <c r="AA16" s="6">
        <v>1998.0</v>
      </c>
      <c r="AB16" s="6">
        <v>16.0</v>
      </c>
      <c r="AC16" s="6">
        <v>6.0</v>
      </c>
      <c r="AD16" s="9">
        <v>482952.0</v>
      </c>
      <c r="AE16" s="9">
        <v>29511.33</v>
      </c>
      <c r="AF16" s="10">
        <v>0.06</v>
      </c>
      <c r="AG16" s="9">
        <v>24481.01</v>
      </c>
      <c r="AH16" s="9">
        <v>2617.5</v>
      </c>
      <c r="AI16" s="6">
        <v>7.75</v>
      </c>
      <c r="AJ16" s="9">
        <v>231766.6</v>
      </c>
      <c r="AK16" s="6">
        <v>58.17</v>
      </c>
      <c r="AL16" s="8">
        <v>43869.0</v>
      </c>
      <c r="AM16" s="8">
        <v>45696.0</v>
      </c>
      <c r="AN16" s="6">
        <v>60.0</v>
      </c>
      <c r="AO16" s="6">
        <v>1500.0</v>
      </c>
      <c r="AP16" s="6">
        <v>126813.0</v>
      </c>
      <c r="AQ16" s="8">
        <v>46022.0</v>
      </c>
      <c r="AR16" s="6">
        <v>64405.0</v>
      </c>
      <c r="AS16" s="6">
        <v>73858.0</v>
      </c>
      <c r="AT16" s="6">
        <v>9453.0</v>
      </c>
      <c r="AU16" s="6">
        <v>73261.0</v>
      </c>
      <c r="AV16" s="6">
        <v>4309.0</v>
      </c>
      <c r="AW16" s="9">
        <v>7237.43</v>
      </c>
      <c r="AX16" s="9">
        <v>855.0</v>
      </c>
      <c r="AY16" s="9">
        <v>125.0</v>
      </c>
      <c r="AZ16" s="9">
        <v>290.99</v>
      </c>
      <c r="BA16" s="9">
        <v>1453.23</v>
      </c>
      <c r="BB16" s="9">
        <v>9961.65</v>
      </c>
      <c r="BC16" s="9">
        <v>1494.25</v>
      </c>
      <c r="BD16" s="9">
        <v>11455.9</v>
      </c>
      <c r="BE16" s="8">
        <v>45748.0</v>
      </c>
      <c r="BF16" s="8">
        <v>45838.0</v>
      </c>
      <c r="BG16" s="6">
        <v>60754.0</v>
      </c>
      <c r="BH16" s="6">
        <v>73858.0</v>
      </c>
      <c r="BI16" s="6">
        <v>13104.0</v>
      </c>
      <c r="BJ16" s="6">
        <v>4500.0</v>
      </c>
      <c r="BK16" s="6">
        <v>8604.0</v>
      </c>
      <c r="BL16" s="9">
        <v>0.66</v>
      </c>
      <c r="BM16" s="9">
        <v>1.83</v>
      </c>
      <c r="BN16" s="9">
        <v>5678.64</v>
      </c>
      <c r="BO16" s="9">
        <v>15745.32</v>
      </c>
      <c r="BP16" s="9">
        <v>21423.96</v>
      </c>
      <c r="BQ16" s="9">
        <v>3213.59</v>
      </c>
      <c r="BR16" s="9">
        <v>24637.55</v>
      </c>
      <c r="BS16" s="9">
        <v>0.0</v>
      </c>
      <c r="BT16" s="9">
        <v>0.0</v>
      </c>
      <c r="BU16" s="9">
        <v>0.0</v>
      </c>
      <c r="BV16" s="9">
        <v>0.0</v>
      </c>
      <c r="BW16" s="9">
        <v>0.0</v>
      </c>
      <c r="BX16" s="9">
        <v>0.0</v>
      </c>
      <c r="BY16" s="9">
        <v>12413.3</v>
      </c>
      <c r="BZ16" s="6">
        <v>0.0</v>
      </c>
      <c r="CA16" s="9">
        <v>0.0</v>
      </c>
      <c r="CB16" s="6">
        <v>0.0</v>
      </c>
      <c r="CC16" s="9">
        <v>0.0</v>
      </c>
      <c r="CD16" s="9">
        <v>0.0</v>
      </c>
      <c r="CE16" s="9">
        <v>0.0</v>
      </c>
      <c r="CF16" s="9">
        <v>0.0</v>
      </c>
      <c r="CG16" s="9">
        <v>0.0</v>
      </c>
      <c r="CH16" s="9">
        <v>36093.45</v>
      </c>
      <c r="CI16" s="9">
        <v>4707.84</v>
      </c>
      <c r="CJ16" s="9">
        <v>31385.61</v>
      </c>
      <c r="CK16" s="9">
        <v>3.32</v>
      </c>
      <c r="CL16" s="6">
        <v>0.0</v>
      </c>
      <c r="CM16" s="6">
        <v>0.0</v>
      </c>
      <c r="CN16" s="6">
        <v>0.0</v>
      </c>
      <c r="CO16" s="6">
        <v>100.0</v>
      </c>
      <c r="CP16" s="8"/>
      <c r="CQ16" s="6">
        <v>0.0</v>
      </c>
      <c r="CR16" s="6">
        <v>0.0</v>
      </c>
      <c r="CS16" s="6">
        <v>0.0</v>
      </c>
      <c r="CT16" s="6">
        <v>26289.0</v>
      </c>
      <c r="CU16" s="8">
        <v>47149.0</v>
      </c>
      <c r="CV16" s="8">
        <v>47149.0</v>
      </c>
      <c r="CW16" s="6">
        <v>127410.0</v>
      </c>
      <c r="CX16" s="6" t="s">
        <v>122</v>
      </c>
      <c r="CY16" s="6" t="s">
        <v>123</v>
      </c>
      <c r="CZ16" s="9">
        <v>17146.8</v>
      </c>
      <c r="DA16" s="9">
        <v>40367.73</v>
      </c>
      <c r="DB16" s="9">
        <v>0.0</v>
      </c>
      <c r="DC16" s="9">
        <v>0.57</v>
      </c>
      <c r="DD16" s="9">
        <v>0.0</v>
      </c>
      <c r="DE16" s="9">
        <v>0.0</v>
      </c>
      <c r="DF16" s="6"/>
    </row>
    <row r="17" ht="13.5" customHeight="1">
      <c r="A17" s="6" t="s">
        <v>175</v>
      </c>
      <c r="B17" s="7">
        <v>43831.0</v>
      </c>
      <c r="C17" s="6" t="s">
        <v>109</v>
      </c>
      <c r="D17" s="6" t="s">
        <v>110</v>
      </c>
      <c r="E17" s="6" t="s">
        <v>111</v>
      </c>
      <c r="F17" s="6" t="s">
        <v>172</v>
      </c>
      <c r="G17" s="6" t="s">
        <v>161</v>
      </c>
      <c r="H17" s="6" t="s">
        <v>114</v>
      </c>
      <c r="I17" s="8">
        <v>43846.0</v>
      </c>
      <c r="J17" s="8">
        <v>43847.0</v>
      </c>
      <c r="K17" s="6">
        <f t="shared" si="1"/>
        <v>1</v>
      </c>
      <c r="L17" s="6">
        <v>1.0</v>
      </c>
      <c r="M17" s="6">
        <f t="shared" si="2"/>
        <v>0</v>
      </c>
      <c r="N17" s="8">
        <v>43860.0</v>
      </c>
      <c r="O17" s="8">
        <v>44113.0</v>
      </c>
      <c r="P17" s="6">
        <f t="shared" si="3"/>
        <v>253</v>
      </c>
      <c r="Q17" s="6">
        <v>90.0</v>
      </c>
      <c r="R17" s="6">
        <f t="shared" si="4"/>
        <v>163</v>
      </c>
      <c r="S17" s="6" t="s">
        <v>186</v>
      </c>
      <c r="T17" s="6" t="s">
        <v>187</v>
      </c>
      <c r="U17" s="6" t="s">
        <v>117</v>
      </c>
      <c r="V17" s="6" t="s">
        <v>147</v>
      </c>
      <c r="W17" s="6" t="s">
        <v>182</v>
      </c>
      <c r="X17" s="6" t="s">
        <v>183</v>
      </c>
      <c r="Y17" s="6">
        <v>2024.0</v>
      </c>
      <c r="Z17" s="6" t="s">
        <v>135</v>
      </c>
      <c r="AA17" s="6">
        <v>1998.0</v>
      </c>
      <c r="AB17" s="6">
        <v>16.0</v>
      </c>
      <c r="AC17" s="6">
        <v>4.0</v>
      </c>
      <c r="AD17" s="9">
        <v>482952.0</v>
      </c>
      <c r="AE17" s="9">
        <v>29511.33</v>
      </c>
      <c r="AF17" s="10">
        <v>0.06</v>
      </c>
      <c r="AG17" s="9">
        <v>24598.81</v>
      </c>
      <c r="AH17" s="9">
        <v>2617.5</v>
      </c>
      <c r="AI17" s="6">
        <v>7.75</v>
      </c>
      <c r="AJ17" s="9">
        <v>249769.0</v>
      </c>
      <c r="AK17" s="6">
        <v>51.72</v>
      </c>
      <c r="AL17" s="8">
        <v>44113.0</v>
      </c>
      <c r="AM17" s="8">
        <v>45939.0</v>
      </c>
      <c r="AN17" s="6">
        <v>60.0</v>
      </c>
      <c r="AO17" s="6">
        <v>3000.0</v>
      </c>
      <c r="AP17" s="6">
        <v>180000.0</v>
      </c>
      <c r="AQ17" s="8">
        <v>46022.0</v>
      </c>
      <c r="AR17" s="6">
        <v>45843.0</v>
      </c>
      <c r="AS17" s="6">
        <v>47715.0</v>
      </c>
      <c r="AT17" s="6">
        <v>1872.0</v>
      </c>
      <c r="AU17" s="6">
        <v>47116.0</v>
      </c>
      <c r="AV17" s="6">
        <v>2772.0</v>
      </c>
      <c r="AW17" s="9">
        <v>7152.61</v>
      </c>
      <c r="AX17" s="9">
        <v>1710.0</v>
      </c>
      <c r="AY17" s="9">
        <v>125.0</v>
      </c>
      <c r="AZ17" s="9">
        <v>290.99</v>
      </c>
      <c r="BA17" s="9">
        <v>1453.23</v>
      </c>
      <c r="BB17" s="9">
        <v>10731.83</v>
      </c>
      <c r="BC17" s="9">
        <v>1609.77</v>
      </c>
      <c r="BD17" s="9">
        <v>12341.6</v>
      </c>
      <c r="BE17" s="8">
        <v>45748.0</v>
      </c>
      <c r="BF17" s="8">
        <v>45838.0</v>
      </c>
      <c r="BG17" s="6">
        <v>38748.0</v>
      </c>
      <c r="BH17" s="6">
        <v>47715.0</v>
      </c>
      <c r="BI17" s="6">
        <v>8967.0</v>
      </c>
      <c r="BJ17" s="6">
        <v>9000.0</v>
      </c>
      <c r="BK17" s="6">
        <v>-33.0</v>
      </c>
      <c r="BL17" s="9">
        <v>0.66</v>
      </c>
      <c r="BM17" s="9">
        <v>1.3</v>
      </c>
      <c r="BN17" s="9">
        <v>0.0</v>
      </c>
      <c r="BO17" s="9">
        <v>0.0</v>
      </c>
      <c r="BP17" s="9">
        <v>0.0</v>
      </c>
      <c r="BQ17" s="9">
        <v>0.0</v>
      </c>
      <c r="BR17" s="9">
        <v>0.0</v>
      </c>
      <c r="BS17" s="9">
        <v>0.0</v>
      </c>
      <c r="BT17" s="9">
        <v>0.0</v>
      </c>
      <c r="BU17" s="9">
        <v>0.0</v>
      </c>
      <c r="BV17" s="9">
        <v>0.0</v>
      </c>
      <c r="BW17" s="9">
        <v>0.0</v>
      </c>
      <c r="BX17" s="9">
        <v>0.0</v>
      </c>
      <c r="BY17" s="9">
        <v>5861.52</v>
      </c>
      <c r="BZ17" s="6">
        <v>0.0</v>
      </c>
      <c r="CA17" s="9">
        <v>0.0</v>
      </c>
      <c r="CB17" s="6">
        <v>0.0</v>
      </c>
      <c r="CC17" s="9">
        <v>0.0</v>
      </c>
      <c r="CD17" s="9">
        <v>0.0</v>
      </c>
      <c r="CE17" s="9">
        <v>0.0</v>
      </c>
      <c r="CF17" s="9">
        <v>0.0</v>
      </c>
      <c r="CG17" s="9">
        <v>0.0</v>
      </c>
      <c r="CH17" s="9">
        <v>12341.6</v>
      </c>
      <c r="CI17" s="9">
        <v>1609.77</v>
      </c>
      <c r="CJ17" s="9">
        <v>10731.83</v>
      </c>
      <c r="CK17" s="9">
        <v>5.73</v>
      </c>
      <c r="CL17" s="6">
        <v>0.0</v>
      </c>
      <c r="CM17" s="6">
        <v>0.0</v>
      </c>
      <c r="CN17" s="6">
        <v>0.0</v>
      </c>
      <c r="CO17" s="6">
        <v>100.0</v>
      </c>
      <c r="CP17" s="8"/>
      <c r="CQ17" s="6">
        <v>0.0</v>
      </c>
      <c r="CR17" s="6">
        <v>0.0</v>
      </c>
      <c r="CS17" s="6">
        <v>0.0</v>
      </c>
      <c r="CT17" s="6">
        <v>-5856.0</v>
      </c>
      <c r="CU17" s="8">
        <v>47149.0</v>
      </c>
      <c r="CV17" s="8">
        <v>47149.0</v>
      </c>
      <c r="CW17" s="6">
        <v>180599.0</v>
      </c>
      <c r="CX17" s="6" t="s">
        <v>122</v>
      </c>
      <c r="CY17" s="6" t="s">
        <v>123</v>
      </c>
      <c r="CZ17" s="9">
        <v>0.0</v>
      </c>
      <c r="DA17" s="9">
        <v>0.0</v>
      </c>
      <c r="DB17" s="9">
        <v>-3059.76</v>
      </c>
      <c r="DC17" s="9">
        <v>0.57</v>
      </c>
      <c r="DD17" s="9">
        <v>0.0</v>
      </c>
      <c r="DE17" s="9">
        <v>0.0</v>
      </c>
      <c r="DF17" s="6"/>
    </row>
    <row r="18" ht="13.5" customHeight="1">
      <c r="A18" s="6" t="s">
        <v>175</v>
      </c>
      <c r="B18" s="7">
        <v>43831.0</v>
      </c>
      <c r="C18" s="6" t="s">
        <v>124</v>
      </c>
      <c r="D18" s="6" t="s">
        <v>125</v>
      </c>
      <c r="E18" s="6" t="s">
        <v>126</v>
      </c>
      <c r="F18" s="6" t="s">
        <v>176</v>
      </c>
      <c r="G18" s="6" t="s">
        <v>140</v>
      </c>
      <c r="H18" s="6" t="s">
        <v>129</v>
      </c>
      <c r="I18" s="8">
        <v>43847.0</v>
      </c>
      <c r="J18" s="8">
        <v>43849.0</v>
      </c>
      <c r="K18" s="6">
        <f t="shared" si="1"/>
        <v>2</v>
      </c>
      <c r="L18" s="6">
        <v>1.0</v>
      </c>
      <c r="M18" s="6">
        <f t="shared" si="2"/>
        <v>1</v>
      </c>
      <c r="N18" s="8">
        <v>43861.0</v>
      </c>
      <c r="O18" s="8">
        <v>43871.0</v>
      </c>
      <c r="P18" s="6">
        <f t="shared" si="3"/>
        <v>10</v>
      </c>
      <c r="Q18" s="6">
        <v>90.0</v>
      </c>
      <c r="R18" s="6">
        <f t="shared" si="4"/>
        <v>-80</v>
      </c>
      <c r="S18" s="6" t="s">
        <v>188</v>
      </c>
      <c r="T18" s="6" t="s">
        <v>189</v>
      </c>
      <c r="U18" s="6" t="s">
        <v>117</v>
      </c>
      <c r="V18" s="6" t="s">
        <v>190</v>
      </c>
      <c r="W18" s="6" t="s">
        <v>119</v>
      </c>
      <c r="X18" s="6" t="s">
        <v>191</v>
      </c>
      <c r="Y18" s="6">
        <v>2020.0</v>
      </c>
      <c r="Z18" s="6" t="s">
        <v>121</v>
      </c>
      <c r="AA18" s="6">
        <v>1498.0</v>
      </c>
      <c r="AB18" s="6">
        <v>16.0</v>
      </c>
      <c r="AC18" s="6">
        <v>16.0</v>
      </c>
      <c r="AD18" s="9">
        <v>220869.57</v>
      </c>
      <c r="AE18" s="9">
        <v>45823.1</v>
      </c>
      <c r="AF18" s="10">
        <v>0.21</v>
      </c>
      <c r="AG18" s="9">
        <v>10524.58</v>
      </c>
      <c r="AH18" s="9">
        <v>1895.0</v>
      </c>
      <c r="AI18" s="6">
        <v>7.75</v>
      </c>
      <c r="AJ18" s="9">
        <v>92765.0</v>
      </c>
      <c r="AK18" s="6">
        <v>42.0</v>
      </c>
      <c r="AL18" s="8">
        <v>43871.0</v>
      </c>
      <c r="AM18" s="8">
        <v>45698.0</v>
      </c>
      <c r="AN18" s="6">
        <v>60.0</v>
      </c>
      <c r="AO18" s="6">
        <v>2500.0</v>
      </c>
      <c r="AP18" s="6">
        <v>150000.0</v>
      </c>
      <c r="AQ18" s="8">
        <v>46022.0</v>
      </c>
      <c r="AR18" s="6">
        <v>86625.0</v>
      </c>
      <c r="AS18" s="6">
        <v>87826.0</v>
      </c>
      <c r="AT18" s="6">
        <v>1201.0</v>
      </c>
      <c r="AU18" s="6">
        <v>87181.0</v>
      </c>
      <c r="AV18" s="6">
        <v>1585.0</v>
      </c>
      <c r="AW18" s="9">
        <v>3169.29</v>
      </c>
      <c r="AX18" s="9">
        <v>857.6</v>
      </c>
      <c r="AY18" s="9">
        <v>115.0</v>
      </c>
      <c r="AZ18" s="9">
        <v>291.0</v>
      </c>
      <c r="BA18" s="9">
        <v>1106.3</v>
      </c>
      <c r="BB18" s="9">
        <v>5539.19</v>
      </c>
      <c r="BC18" s="9">
        <v>830.88</v>
      </c>
      <c r="BD18" s="9">
        <v>6370.07</v>
      </c>
      <c r="BE18" s="8">
        <v>45748.0</v>
      </c>
      <c r="BF18" s="8">
        <v>45838.0</v>
      </c>
      <c r="BG18" s="6">
        <v>83188.0</v>
      </c>
      <c r="BH18" s="6">
        <v>87826.0</v>
      </c>
      <c r="BI18" s="6">
        <v>4638.0</v>
      </c>
      <c r="BJ18" s="6">
        <v>7500.0</v>
      </c>
      <c r="BK18" s="6">
        <v>-2862.0</v>
      </c>
      <c r="BL18" s="9">
        <v>0.38</v>
      </c>
      <c r="BM18" s="9">
        <v>1.01</v>
      </c>
      <c r="BN18" s="9">
        <v>0.0</v>
      </c>
      <c r="BO18" s="9">
        <v>0.0</v>
      </c>
      <c r="BP18" s="9">
        <v>0.0</v>
      </c>
      <c r="BQ18" s="9">
        <v>-145.96</v>
      </c>
      <c r="BR18" s="9">
        <v>0.0</v>
      </c>
      <c r="BS18" s="9">
        <v>0.0</v>
      </c>
      <c r="BT18" s="9">
        <v>8446.88</v>
      </c>
      <c r="BU18" s="9">
        <v>0.0</v>
      </c>
      <c r="BV18" s="9">
        <v>0.0</v>
      </c>
      <c r="BW18" s="9">
        <v>0.0</v>
      </c>
      <c r="BX18" s="9">
        <v>0.0</v>
      </c>
      <c r="BY18" s="9">
        <v>0.0</v>
      </c>
      <c r="BZ18" s="6">
        <v>0.0</v>
      </c>
      <c r="CA18" s="9">
        <v>0.0</v>
      </c>
      <c r="CB18" s="6">
        <v>0.0</v>
      </c>
      <c r="CC18" s="9">
        <v>0.0</v>
      </c>
      <c r="CD18" s="9">
        <v>0.0</v>
      </c>
      <c r="CE18" s="9">
        <v>8446.88</v>
      </c>
      <c r="CF18" s="9">
        <v>1267.03</v>
      </c>
      <c r="CG18" s="9">
        <v>9713.91</v>
      </c>
      <c r="CH18" s="9">
        <v>14964.94</v>
      </c>
      <c r="CI18" s="9">
        <v>1951.95</v>
      </c>
      <c r="CJ18" s="9">
        <v>13012.99</v>
      </c>
      <c r="CK18" s="9">
        <v>10.84</v>
      </c>
      <c r="CL18" s="6">
        <v>0.0</v>
      </c>
      <c r="CM18" s="6">
        <v>62.0</v>
      </c>
      <c r="CN18" s="6">
        <v>0.0</v>
      </c>
      <c r="CO18" s="6">
        <v>100.0</v>
      </c>
      <c r="CP18" s="8"/>
      <c r="CQ18" s="6">
        <v>0.0</v>
      </c>
      <c r="CR18" s="6">
        <v>0.0</v>
      </c>
      <c r="CS18" s="6">
        <v>0.0</v>
      </c>
      <c r="CT18" s="6">
        <v>-50319.0</v>
      </c>
      <c r="CU18" s="8">
        <v>45991.0</v>
      </c>
      <c r="CV18" s="8">
        <v>45991.0</v>
      </c>
      <c r="CW18" s="6">
        <v>150645.0</v>
      </c>
      <c r="CX18" s="6" t="s">
        <v>122</v>
      </c>
      <c r="CY18" s="6" t="s">
        <v>123</v>
      </c>
      <c r="CZ18" s="9">
        <v>193.42</v>
      </c>
      <c r="DA18" s="9">
        <v>514.09</v>
      </c>
      <c r="DB18" s="9">
        <v>-4206.82</v>
      </c>
      <c r="DC18" s="9">
        <v>0.34</v>
      </c>
      <c r="DD18" s="9">
        <v>-973.08</v>
      </c>
      <c r="DE18" s="9">
        <v>-1119.04</v>
      </c>
      <c r="DF18" s="6"/>
    </row>
    <row r="19" ht="13.5" customHeight="1">
      <c r="A19" s="6" t="s">
        <v>175</v>
      </c>
      <c r="B19" s="7">
        <v>43831.0</v>
      </c>
      <c r="C19" s="6" t="s">
        <v>109</v>
      </c>
      <c r="D19" s="6" t="s">
        <v>137</v>
      </c>
      <c r="E19" s="6" t="s">
        <v>138</v>
      </c>
      <c r="F19" s="6" t="s">
        <v>179</v>
      </c>
      <c r="G19" s="6" t="s">
        <v>140</v>
      </c>
      <c r="H19" s="6" t="s">
        <v>141</v>
      </c>
      <c r="I19" s="8">
        <v>43848.0</v>
      </c>
      <c r="J19" s="8">
        <v>43849.0</v>
      </c>
      <c r="K19" s="6">
        <f t="shared" si="1"/>
        <v>1</v>
      </c>
      <c r="L19" s="6">
        <v>1.0</v>
      </c>
      <c r="M19" s="6">
        <f t="shared" si="2"/>
        <v>0</v>
      </c>
      <c r="N19" s="8">
        <v>43831.0</v>
      </c>
      <c r="O19" s="8">
        <v>43872.0</v>
      </c>
      <c r="P19" s="6">
        <f t="shared" si="3"/>
        <v>41</v>
      </c>
      <c r="Q19" s="6">
        <v>90.0</v>
      </c>
      <c r="R19" s="6">
        <f t="shared" si="4"/>
        <v>-49</v>
      </c>
      <c r="S19" s="6" t="s">
        <v>192</v>
      </c>
      <c r="T19" s="6" t="s">
        <v>193</v>
      </c>
      <c r="U19" s="6" t="s">
        <v>117</v>
      </c>
      <c r="V19" s="6" t="s">
        <v>190</v>
      </c>
      <c r="W19" s="6" t="s">
        <v>194</v>
      </c>
      <c r="X19" s="6" t="s">
        <v>195</v>
      </c>
      <c r="Y19" s="6">
        <v>2024.0</v>
      </c>
      <c r="Z19" s="6" t="s">
        <v>121</v>
      </c>
      <c r="AA19" s="6">
        <v>1198.0</v>
      </c>
      <c r="AB19" s="6">
        <v>16.0</v>
      </c>
      <c r="AC19" s="6">
        <v>0.0</v>
      </c>
      <c r="AD19" s="9">
        <v>195565.22</v>
      </c>
      <c r="AE19" s="9">
        <v>15600.0</v>
      </c>
      <c r="AF19" s="10">
        <v>0.08</v>
      </c>
      <c r="AG19" s="9">
        <v>7270.59</v>
      </c>
      <c r="AH19" s="9">
        <v>1650.0</v>
      </c>
      <c r="AI19" s="6">
        <v>7.75</v>
      </c>
      <c r="AJ19" s="9">
        <v>105902.0</v>
      </c>
      <c r="AK19" s="6">
        <v>54.15</v>
      </c>
      <c r="AL19" s="8">
        <v>43872.0</v>
      </c>
      <c r="AM19" s="8">
        <v>45699.0</v>
      </c>
      <c r="AN19" s="6">
        <v>60.0</v>
      </c>
      <c r="AO19" s="6">
        <v>1500.0</v>
      </c>
      <c r="AP19" s="6">
        <v>90000.0</v>
      </c>
      <c r="AQ19" s="8">
        <v>46022.0</v>
      </c>
      <c r="AR19" s="6">
        <v>19983.0</v>
      </c>
      <c r="AS19" s="6">
        <v>21248.0</v>
      </c>
      <c r="AT19" s="6">
        <v>1265.0</v>
      </c>
      <c r="AU19" s="6">
        <v>20829.0</v>
      </c>
      <c r="AV19" s="6">
        <v>1225.0</v>
      </c>
      <c r="AW19" s="9">
        <v>3064.49</v>
      </c>
      <c r="AX19" s="9">
        <v>570.0</v>
      </c>
      <c r="AY19" s="9">
        <v>115.0</v>
      </c>
      <c r="AZ19" s="9">
        <v>290.98</v>
      </c>
      <c r="BA19" s="9">
        <v>1066.91</v>
      </c>
      <c r="BB19" s="9">
        <v>5107.38</v>
      </c>
      <c r="BC19" s="9">
        <v>766.11</v>
      </c>
      <c r="BD19" s="9">
        <v>5873.49</v>
      </c>
      <c r="BE19" s="8">
        <v>45748.0</v>
      </c>
      <c r="BF19" s="8">
        <v>45838.0</v>
      </c>
      <c r="BG19" s="6">
        <v>17104.0</v>
      </c>
      <c r="BH19" s="6">
        <v>21248.0</v>
      </c>
      <c r="BI19" s="6">
        <v>4144.0</v>
      </c>
      <c r="BJ19" s="6">
        <v>4500.0</v>
      </c>
      <c r="BK19" s="6">
        <v>-356.0</v>
      </c>
      <c r="BL19" s="9">
        <v>0.44</v>
      </c>
      <c r="BM19" s="9">
        <v>1.0</v>
      </c>
      <c r="BN19" s="9">
        <v>0.0</v>
      </c>
      <c r="BO19" s="9">
        <v>0.0</v>
      </c>
      <c r="BP19" s="9">
        <v>0.0</v>
      </c>
      <c r="BQ19" s="9">
        <v>-20.29</v>
      </c>
      <c r="BR19" s="9">
        <v>0.0</v>
      </c>
      <c r="BS19" s="9">
        <v>0.0</v>
      </c>
      <c r="BT19" s="9">
        <v>0.0</v>
      </c>
      <c r="BU19" s="9">
        <v>0.0</v>
      </c>
      <c r="BV19" s="9">
        <v>0.0</v>
      </c>
      <c r="BW19" s="9">
        <v>0.0</v>
      </c>
      <c r="BX19" s="9">
        <v>0.0</v>
      </c>
      <c r="BY19" s="9">
        <v>1316.88</v>
      </c>
      <c r="BZ19" s="6">
        <v>0.0</v>
      </c>
      <c r="CA19" s="9">
        <v>0.0</v>
      </c>
      <c r="CB19" s="6">
        <v>0.0</v>
      </c>
      <c r="CC19" s="9">
        <v>0.0</v>
      </c>
      <c r="CD19" s="9">
        <v>0.0</v>
      </c>
      <c r="CE19" s="9">
        <v>0.0</v>
      </c>
      <c r="CF19" s="9">
        <v>0.0</v>
      </c>
      <c r="CG19" s="9">
        <v>0.0</v>
      </c>
      <c r="CH19" s="9">
        <v>5717.92</v>
      </c>
      <c r="CI19" s="9">
        <v>745.82</v>
      </c>
      <c r="CJ19" s="9">
        <v>4972.1</v>
      </c>
      <c r="CK19" s="9">
        <v>3.93</v>
      </c>
      <c r="CL19" s="6">
        <v>0.0</v>
      </c>
      <c r="CM19" s="6">
        <v>0.0</v>
      </c>
      <c r="CN19" s="6">
        <v>0.0</v>
      </c>
      <c r="CO19" s="6">
        <v>100.0</v>
      </c>
      <c r="CP19" s="8"/>
      <c r="CQ19" s="6">
        <v>0.0</v>
      </c>
      <c r="CR19" s="6">
        <v>0.0</v>
      </c>
      <c r="CS19" s="6">
        <v>0.0</v>
      </c>
      <c r="CT19" s="6">
        <v>-4769.0</v>
      </c>
      <c r="CU19" s="8">
        <v>47149.0</v>
      </c>
      <c r="CV19" s="8">
        <v>47149.0</v>
      </c>
      <c r="CW19" s="6">
        <v>90419.0</v>
      </c>
      <c r="CX19" s="6" t="s">
        <v>122</v>
      </c>
      <c r="CY19" s="6" t="s">
        <v>123</v>
      </c>
      <c r="CZ19" s="9">
        <v>0.0</v>
      </c>
      <c r="DA19" s="9">
        <v>0.0</v>
      </c>
      <c r="DB19" s="9">
        <v>-1812.22</v>
      </c>
      <c r="DC19" s="9">
        <v>0.38</v>
      </c>
      <c r="DD19" s="9">
        <v>-135.28</v>
      </c>
      <c r="DE19" s="9">
        <v>-155.57</v>
      </c>
      <c r="DF19" s="6"/>
    </row>
    <row r="20" ht="13.5" customHeight="1">
      <c r="A20" s="6" t="s">
        <v>175</v>
      </c>
      <c r="B20" s="7">
        <v>43831.0</v>
      </c>
      <c r="C20" s="6" t="s">
        <v>124</v>
      </c>
      <c r="D20" s="6" t="s">
        <v>110</v>
      </c>
      <c r="E20" s="6" t="s">
        <v>111</v>
      </c>
      <c r="F20" s="6" t="s">
        <v>196</v>
      </c>
      <c r="G20" s="6" t="s">
        <v>140</v>
      </c>
      <c r="H20" s="6" t="s">
        <v>114</v>
      </c>
      <c r="I20" s="8">
        <v>43849.0</v>
      </c>
      <c r="J20" s="8">
        <v>43850.0</v>
      </c>
      <c r="K20" s="6">
        <f t="shared" si="1"/>
        <v>1</v>
      </c>
      <c r="L20" s="6">
        <v>1.0</v>
      </c>
      <c r="M20" s="6">
        <f t="shared" si="2"/>
        <v>0</v>
      </c>
      <c r="N20" s="8">
        <v>43832.0</v>
      </c>
      <c r="O20" s="8">
        <v>43873.0</v>
      </c>
      <c r="P20" s="6">
        <f t="shared" si="3"/>
        <v>41</v>
      </c>
      <c r="Q20" s="6">
        <v>90.0</v>
      </c>
      <c r="R20" s="6">
        <f t="shared" si="4"/>
        <v>-49</v>
      </c>
      <c r="S20" s="6" t="s">
        <v>197</v>
      </c>
      <c r="T20" s="6" t="s">
        <v>198</v>
      </c>
      <c r="U20" s="6" t="s">
        <v>117</v>
      </c>
      <c r="V20" s="6" t="s">
        <v>132</v>
      </c>
      <c r="W20" s="6" t="s">
        <v>199</v>
      </c>
      <c r="X20" s="6" t="s">
        <v>200</v>
      </c>
      <c r="Y20" s="6">
        <v>2024.0</v>
      </c>
      <c r="Z20" s="6" t="s">
        <v>135</v>
      </c>
      <c r="AA20" s="6">
        <v>2398.0</v>
      </c>
      <c r="AB20" s="6">
        <v>16.0</v>
      </c>
      <c r="AC20" s="6">
        <v>0.0</v>
      </c>
      <c r="AD20" s="9">
        <v>358957.0</v>
      </c>
      <c r="AE20" s="9">
        <v>46664.41</v>
      </c>
      <c r="AF20" s="10">
        <v>0.13</v>
      </c>
      <c r="AG20" s="9">
        <v>34060.48</v>
      </c>
      <c r="AH20" s="9">
        <v>2184.0</v>
      </c>
      <c r="AI20" s="6">
        <v>7.75</v>
      </c>
      <c r="AJ20" s="9">
        <v>150762.0</v>
      </c>
      <c r="AK20" s="6">
        <v>42.0</v>
      </c>
      <c r="AL20" s="8">
        <v>43873.0</v>
      </c>
      <c r="AM20" s="8">
        <v>45700.0</v>
      </c>
      <c r="AN20" s="6">
        <v>60.0</v>
      </c>
      <c r="AO20" s="6">
        <v>3000.0</v>
      </c>
      <c r="AP20" s="6">
        <v>180000.0</v>
      </c>
      <c r="AQ20" s="8">
        <v>46022.0</v>
      </c>
      <c r="AR20" s="6">
        <v>31353.0</v>
      </c>
      <c r="AS20" s="6">
        <v>35603.0</v>
      </c>
      <c r="AT20" s="6">
        <v>4250.0</v>
      </c>
      <c r="AU20" s="6">
        <v>35179.0</v>
      </c>
      <c r="AV20" s="6">
        <v>2069.0</v>
      </c>
      <c r="AW20" s="9">
        <v>5743.81</v>
      </c>
      <c r="AX20" s="9">
        <v>1650.0</v>
      </c>
      <c r="AY20" s="9">
        <v>125.0</v>
      </c>
      <c r="AZ20" s="9">
        <v>290.99</v>
      </c>
      <c r="BA20" s="9">
        <v>1033.63</v>
      </c>
      <c r="BB20" s="9">
        <v>8843.43</v>
      </c>
      <c r="BC20" s="9">
        <v>1326.51</v>
      </c>
      <c r="BD20" s="9">
        <v>10169.94</v>
      </c>
      <c r="BE20" s="8">
        <v>45748.0</v>
      </c>
      <c r="BF20" s="8">
        <v>45838.0</v>
      </c>
      <c r="BG20" s="6">
        <v>28285.0</v>
      </c>
      <c r="BH20" s="6">
        <v>35603.0</v>
      </c>
      <c r="BI20" s="6">
        <v>7318.0</v>
      </c>
      <c r="BJ20" s="6">
        <v>9000.0</v>
      </c>
      <c r="BK20" s="6">
        <v>-1682.0</v>
      </c>
      <c r="BL20" s="9">
        <v>0.63</v>
      </c>
      <c r="BM20" s="9">
        <v>1.16</v>
      </c>
      <c r="BN20" s="9">
        <v>0.0</v>
      </c>
      <c r="BO20" s="9">
        <v>0.0</v>
      </c>
      <c r="BP20" s="9">
        <v>0.0</v>
      </c>
      <c r="BQ20" s="9">
        <v>-138.77</v>
      </c>
      <c r="BR20" s="9">
        <v>0.0</v>
      </c>
      <c r="BS20" s="9">
        <v>0.0</v>
      </c>
      <c r="BT20" s="9">
        <v>0.0</v>
      </c>
      <c r="BU20" s="9">
        <v>0.0</v>
      </c>
      <c r="BV20" s="9">
        <v>0.0</v>
      </c>
      <c r="BW20" s="9">
        <v>0.0</v>
      </c>
      <c r="BX20" s="9">
        <v>0.0</v>
      </c>
      <c r="BY20" s="9">
        <v>7562.44</v>
      </c>
      <c r="BZ20" s="6">
        <v>0.0</v>
      </c>
      <c r="CA20" s="9">
        <v>0.0</v>
      </c>
      <c r="CB20" s="6">
        <v>0.0</v>
      </c>
      <c r="CC20" s="9">
        <v>0.0</v>
      </c>
      <c r="CD20" s="9">
        <v>0.0</v>
      </c>
      <c r="CE20" s="9">
        <v>0.0</v>
      </c>
      <c r="CF20" s="9">
        <v>0.0</v>
      </c>
      <c r="CG20" s="9">
        <v>0.0</v>
      </c>
      <c r="CH20" s="9">
        <v>9106.07</v>
      </c>
      <c r="CI20" s="9">
        <v>1187.74</v>
      </c>
      <c r="CJ20" s="9">
        <v>7918.33</v>
      </c>
      <c r="CK20" s="9">
        <v>1.86</v>
      </c>
      <c r="CL20" s="6">
        <v>0.0</v>
      </c>
      <c r="CM20" s="6">
        <v>0.0</v>
      </c>
      <c r="CN20" s="6">
        <v>0.0</v>
      </c>
      <c r="CO20" s="6">
        <v>100.0</v>
      </c>
      <c r="CP20" s="8"/>
      <c r="CQ20" s="6">
        <v>0.0</v>
      </c>
      <c r="CR20" s="6">
        <v>0.0</v>
      </c>
      <c r="CS20" s="6">
        <v>0.0</v>
      </c>
      <c r="CT20" s="6">
        <v>-15919.0</v>
      </c>
      <c r="CU20" s="8">
        <v>47149.0</v>
      </c>
      <c r="CV20" s="8">
        <v>47149.0</v>
      </c>
      <c r="CW20" s="6">
        <v>180424.0</v>
      </c>
      <c r="CX20" s="6" t="s">
        <v>122</v>
      </c>
      <c r="CY20" s="6" t="s">
        <v>123</v>
      </c>
      <c r="CZ20" s="9">
        <v>0.0</v>
      </c>
      <c r="DA20" s="9">
        <v>0.0</v>
      </c>
      <c r="DB20" s="9">
        <v>-8755.45</v>
      </c>
      <c r="DC20" s="9">
        <v>0.55</v>
      </c>
      <c r="DD20" s="9">
        <v>-925.1</v>
      </c>
      <c r="DE20" s="9">
        <v>-1063.87</v>
      </c>
      <c r="DF20" s="6"/>
    </row>
    <row r="21" ht="13.5" customHeight="1">
      <c r="A21" s="6" t="s">
        <v>175</v>
      </c>
      <c r="B21" s="7">
        <v>43831.0</v>
      </c>
      <c r="C21" s="6" t="s">
        <v>136</v>
      </c>
      <c r="D21" s="6" t="s">
        <v>125</v>
      </c>
      <c r="E21" s="6" t="s">
        <v>126</v>
      </c>
      <c r="F21" s="6" t="s">
        <v>196</v>
      </c>
      <c r="G21" s="6" t="s">
        <v>140</v>
      </c>
      <c r="H21" s="6" t="s">
        <v>129</v>
      </c>
      <c r="I21" s="8">
        <v>43850.0</v>
      </c>
      <c r="J21" s="8">
        <v>43851.0</v>
      </c>
      <c r="K21" s="6">
        <f t="shared" si="1"/>
        <v>1</v>
      </c>
      <c r="L21" s="6">
        <v>1.0</v>
      </c>
      <c r="M21" s="6">
        <f t="shared" si="2"/>
        <v>0</v>
      </c>
      <c r="N21" s="8">
        <v>43833.0</v>
      </c>
      <c r="O21" s="8">
        <v>43874.0</v>
      </c>
      <c r="P21" s="6">
        <f t="shared" si="3"/>
        <v>41</v>
      </c>
      <c r="Q21" s="6">
        <v>90.0</v>
      </c>
      <c r="R21" s="6">
        <f t="shared" si="4"/>
        <v>-49</v>
      </c>
      <c r="S21" s="6" t="s">
        <v>201</v>
      </c>
      <c r="T21" s="6" t="s">
        <v>202</v>
      </c>
      <c r="U21" s="6" t="s">
        <v>117</v>
      </c>
      <c r="V21" s="6" t="s">
        <v>132</v>
      </c>
      <c r="W21" s="6" t="s">
        <v>199</v>
      </c>
      <c r="X21" s="6" t="s">
        <v>200</v>
      </c>
      <c r="Y21" s="6">
        <v>2024.0</v>
      </c>
      <c r="Z21" s="6" t="s">
        <v>135</v>
      </c>
      <c r="AA21" s="6">
        <v>2398.0</v>
      </c>
      <c r="AB21" s="6">
        <v>16.0</v>
      </c>
      <c r="AC21" s="6">
        <v>0.0</v>
      </c>
      <c r="AD21" s="9">
        <v>358957.0</v>
      </c>
      <c r="AE21" s="9">
        <v>46664.41</v>
      </c>
      <c r="AF21" s="10">
        <v>0.13</v>
      </c>
      <c r="AG21" s="9">
        <v>34085.19</v>
      </c>
      <c r="AH21" s="9">
        <v>2184.0</v>
      </c>
      <c r="AI21" s="6">
        <v>7.75</v>
      </c>
      <c r="AJ21" s="9">
        <v>150762.0</v>
      </c>
      <c r="AK21" s="6">
        <v>42.0</v>
      </c>
      <c r="AL21" s="8">
        <v>43874.0</v>
      </c>
      <c r="AM21" s="8">
        <v>45701.0</v>
      </c>
      <c r="AN21" s="6">
        <v>60.0</v>
      </c>
      <c r="AO21" s="6">
        <v>3000.0</v>
      </c>
      <c r="AP21" s="6">
        <v>180000.0</v>
      </c>
      <c r="AQ21" s="8">
        <v>46022.0</v>
      </c>
      <c r="AR21" s="6">
        <v>30867.0</v>
      </c>
      <c r="AS21" s="6">
        <v>33199.0</v>
      </c>
      <c r="AT21" s="6">
        <v>2332.0</v>
      </c>
      <c r="AU21" s="6">
        <v>32773.0</v>
      </c>
      <c r="AV21" s="6">
        <v>1928.0</v>
      </c>
      <c r="AW21" s="9">
        <v>5744.31</v>
      </c>
      <c r="AX21" s="9">
        <v>1650.0</v>
      </c>
      <c r="AY21" s="9">
        <v>125.0</v>
      </c>
      <c r="AZ21" s="9">
        <v>290.99</v>
      </c>
      <c r="BA21" s="9">
        <v>1033.63</v>
      </c>
      <c r="BB21" s="9">
        <v>8843.93</v>
      </c>
      <c r="BC21" s="9">
        <v>1326.59</v>
      </c>
      <c r="BD21" s="9">
        <v>10170.52</v>
      </c>
      <c r="BE21" s="8">
        <v>45748.0</v>
      </c>
      <c r="BF21" s="8">
        <v>45838.0</v>
      </c>
      <c r="BG21" s="6">
        <v>28656.0</v>
      </c>
      <c r="BH21" s="6">
        <v>33199.0</v>
      </c>
      <c r="BI21" s="6">
        <v>4543.0</v>
      </c>
      <c r="BJ21" s="6">
        <v>9000.0</v>
      </c>
      <c r="BK21" s="6">
        <v>-4457.0</v>
      </c>
      <c r="BL21" s="9">
        <v>0.63</v>
      </c>
      <c r="BM21" s="9">
        <v>1.16</v>
      </c>
      <c r="BN21" s="9">
        <v>0.0</v>
      </c>
      <c r="BO21" s="9">
        <v>0.0</v>
      </c>
      <c r="BP21" s="9">
        <v>0.0</v>
      </c>
      <c r="BQ21" s="9">
        <v>-367.7</v>
      </c>
      <c r="BR21" s="9">
        <v>0.0</v>
      </c>
      <c r="BS21" s="9">
        <v>0.0</v>
      </c>
      <c r="BT21" s="9">
        <v>0.0</v>
      </c>
      <c r="BU21" s="9">
        <v>0.0</v>
      </c>
      <c r="BV21" s="9">
        <v>0.0</v>
      </c>
      <c r="BW21" s="9">
        <v>0.0</v>
      </c>
      <c r="BX21" s="9">
        <v>0.0</v>
      </c>
      <c r="BY21" s="9">
        <v>3952.62</v>
      </c>
      <c r="BZ21" s="6">
        <v>0.0</v>
      </c>
      <c r="CA21" s="9">
        <v>0.0</v>
      </c>
      <c r="CB21" s="6">
        <v>0.0</v>
      </c>
      <c r="CC21" s="9">
        <v>0.0</v>
      </c>
      <c r="CD21" s="9">
        <v>0.0</v>
      </c>
      <c r="CE21" s="9">
        <v>0.0</v>
      </c>
      <c r="CF21" s="9">
        <v>0.0</v>
      </c>
      <c r="CG21" s="9">
        <v>0.0</v>
      </c>
      <c r="CH21" s="9">
        <v>7351.47</v>
      </c>
      <c r="CI21" s="9">
        <v>958.89</v>
      </c>
      <c r="CJ21" s="9">
        <v>6392.58</v>
      </c>
      <c r="CK21" s="9">
        <v>2.74</v>
      </c>
      <c r="CL21" s="6">
        <v>0.0</v>
      </c>
      <c r="CM21" s="6">
        <v>0.0</v>
      </c>
      <c r="CN21" s="6">
        <v>0.0</v>
      </c>
      <c r="CO21" s="6">
        <v>100.0</v>
      </c>
      <c r="CP21" s="8"/>
      <c r="CQ21" s="6">
        <v>0.0</v>
      </c>
      <c r="CR21" s="6">
        <v>0.0</v>
      </c>
      <c r="CS21" s="6">
        <v>0.0</v>
      </c>
      <c r="CT21" s="6">
        <v>-18325.0</v>
      </c>
      <c r="CU21" s="8">
        <v>47149.0</v>
      </c>
      <c r="CV21" s="8">
        <v>47149.0</v>
      </c>
      <c r="CW21" s="6">
        <v>180426.0</v>
      </c>
      <c r="CX21" s="6" t="s">
        <v>122</v>
      </c>
      <c r="CY21" s="6" t="s">
        <v>123</v>
      </c>
      <c r="CZ21" s="9">
        <v>0.0</v>
      </c>
      <c r="DA21" s="9">
        <v>0.0</v>
      </c>
      <c r="DB21" s="9">
        <v>-10078.75</v>
      </c>
      <c r="DC21" s="9">
        <v>0.55</v>
      </c>
      <c r="DD21" s="9">
        <v>-2451.35</v>
      </c>
      <c r="DE21" s="9">
        <v>-2819.05</v>
      </c>
      <c r="DF21" s="6"/>
    </row>
    <row r="22" ht="13.5" customHeight="1">
      <c r="A22" s="6" t="s">
        <v>203</v>
      </c>
      <c r="B22" s="7">
        <v>43831.0</v>
      </c>
      <c r="C22" s="6" t="s">
        <v>109</v>
      </c>
      <c r="D22" s="6" t="s">
        <v>137</v>
      </c>
      <c r="E22" s="6" t="s">
        <v>138</v>
      </c>
      <c r="F22" s="6" t="s">
        <v>204</v>
      </c>
      <c r="G22" s="6" t="s">
        <v>161</v>
      </c>
      <c r="H22" s="6" t="s">
        <v>141</v>
      </c>
      <c r="I22" s="8">
        <v>43851.0</v>
      </c>
      <c r="J22" s="8">
        <v>43857.0</v>
      </c>
      <c r="K22" s="6">
        <f t="shared" si="1"/>
        <v>6</v>
      </c>
      <c r="L22" s="6">
        <v>1.0</v>
      </c>
      <c r="M22" s="6">
        <f t="shared" si="2"/>
        <v>5</v>
      </c>
      <c r="N22" s="8">
        <v>43834.0</v>
      </c>
      <c r="O22" s="8">
        <v>43875.0</v>
      </c>
      <c r="P22" s="6">
        <f t="shared" si="3"/>
        <v>41</v>
      </c>
      <c r="Q22" s="6">
        <v>90.0</v>
      </c>
      <c r="R22" s="6">
        <f t="shared" si="4"/>
        <v>-49</v>
      </c>
      <c r="S22" s="6" t="s">
        <v>205</v>
      </c>
      <c r="T22" s="6" t="s">
        <v>206</v>
      </c>
      <c r="U22" s="6" t="s">
        <v>117</v>
      </c>
      <c r="V22" s="6" t="s">
        <v>207</v>
      </c>
      <c r="W22" s="6" t="s">
        <v>208</v>
      </c>
      <c r="X22" s="6" t="s">
        <v>209</v>
      </c>
      <c r="Y22" s="6">
        <v>2024.0</v>
      </c>
      <c r="Z22" s="6" t="s">
        <v>135</v>
      </c>
      <c r="AA22" s="6">
        <v>1998.0</v>
      </c>
      <c r="AB22" s="6">
        <v>16.0</v>
      </c>
      <c r="AC22" s="6">
        <v>13.0</v>
      </c>
      <c r="AD22" s="9">
        <v>771217.39</v>
      </c>
      <c r="AE22" s="9">
        <v>44275.33</v>
      </c>
      <c r="AF22" s="10">
        <v>0.06</v>
      </c>
      <c r="AG22" s="9">
        <v>8147.3</v>
      </c>
      <c r="AH22" s="9">
        <v>2124.0</v>
      </c>
      <c r="AI22" s="6">
        <v>7.75</v>
      </c>
      <c r="AJ22" s="9">
        <v>339336.0</v>
      </c>
      <c r="AK22" s="6">
        <v>44.0</v>
      </c>
      <c r="AL22" s="8">
        <v>43875.0</v>
      </c>
      <c r="AM22" s="8">
        <v>45702.0</v>
      </c>
      <c r="AN22" s="6">
        <v>60.0</v>
      </c>
      <c r="AO22" s="6">
        <v>10000.0</v>
      </c>
      <c r="AP22" s="6">
        <v>220000.0</v>
      </c>
      <c r="AQ22" s="8">
        <v>46022.0</v>
      </c>
      <c r="AR22" s="6">
        <v>80118.0</v>
      </c>
      <c r="AS22" s="6">
        <v>85107.0</v>
      </c>
      <c r="AT22" s="6">
        <v>4989.0</v>
      </c>
      <c r="AU22" s="6">
        <v>84680.0</v>
      </c>
      <c r="AV22" s="6">
        <v>4981.0</v>
      </c>
      <c r="AW22" s="9">
        <v>21889.88</v>
      </c>
      <c r="AX22" s="9">
        <v>4500.0</v>
      </c>
      <c r="AY22" s="9">
        <v>190.0</v>
      </c>
      <c r="AZ22" s="9">
        <v>290.99</v>
      </c>
      <c r="BA22" s="9">
        <v>1405.42</v>
      </c>
      <c r="BB22" s="9">
        <v>28276.29</v>
      </c>
      <c r="BC22" s="9">
        <v>4241.44</v>
      </c>
      <c r="BD22" s="9">
        <v>32517.73</v>
      </c>
      <c r="BE22" s="8">
        <v>45748.0</v>
      </c>
      <c r="BF22" s="8">
        <v>45838.0</v>
      </c>
      <c r="BG22" s="6">
        <v>71704.0</v>
      </c>
      <c r="BH22" s="6">
        <v>85107.0</v>
      </c>
      <c r="BI22" s="6">
        <v>13403.0</v>
      </c>
      <c r="BJ22" s="6">
        <v>30000.0</v>
      </c>
      <c r="BK22" s="6">
        <v>-16597.0</v>
      </c>
      <c r="BL22" s="9">
        <v>0.52</v>
      </c>
      <c r="BM22" s="9">
        <v>1.96</v>
      </c>
      <c r="BN22" s="9">
        <v>0.0</v>
      </c>
      <c r="BO22" s="9">
        <v>0.0</v>
      </c>
      <c r="BP22" s="9">
        <v>0.0</v>
      </c>
      <c r="BQ22" s="9">
        <v>-1120.3</v>
      </c>
      <c r="BR22" s="9">
        <v>0.0</v>
      </c>
      <c r="BS22" s="9">
        <v>0.0</v>
      </c>
      <c r="BT22" s="9">
        <v>0.0</v>
      </c>
      <c r="BU22" s="9">
        <v>0.0</v>
      </c>
      <c r="BV22" s="9">
        <v>0.0</v>
      </c>
      <c r="BW22" s="9">
        <v>0.0</v>
      </c>
      <c r="BX22" s="9">
        <v>0.0</v>
      </c>
      <c r="BY22" s="9">
        <v>8976.68</v>
      </c>
      <c r="BZ22" s="6">
        <v>0.0</v>
      </c>
      <c r="CA22" s="9">
        <v>0.0</v>
      </c>
      <c r="CB22" s="6">
        <v>0.0</v>
      </c>
      <c r="CC22" s="9">
        <v>0.0</v>
      </c>
      <c r="CD22" s="9">
        <v>0.0</v>
      </c>
      <c r="CE22" s="9">
        <v>0.0</v>
      </c>
      <c r="CF22" s="9">
        <v>0.0</v>
      </c>
      <c r="CG22" s="9">
        <v>0.0</v>
      </c>
      <c r="CH22" s="9">
        <v>23928.78</v>
      </c>
      <c r="CI22" s="9">
        <v>3121.14</v>
      </c>
      <c r="CJ22" s="9">
        <v>20807.64</v>
      </c>
      <c r="CK22" s="9">
        <v>4.17</v>
      </c>
      <c r="CL22" s="6">
        <v>0.0</v>
      </c>
      <c r="CM22" s="6">
        <v>0.0</v>
      </c>
      <c r="CN22" s="6">
        <v>0.0</v>
      </c>
      <c r="CO22" s="6">
        <v>100.0</v>
      </c>
      <c r="CP22" s="8"/>
      <c r="CQ22" s="6">
        <v>0.0</v>
      </c>
      <c r="CR22" s="6">
        <v>0.0</v>
      </c>
      <c r="CS22" s="6">
        <v>0.0</v>
      </c>
      <c r="CT22" s="6">
        <v>-85648.0</v>
      </c>
      <c r="CU22" s="8">
        <v>45991.0</v>
      </c>
      <c r="CV22" s="8">
        <v>45991.0</v>
      </c>
      <c r="CW22" s="6">
        <v>220427.0</v>
      </c>
      <c r="CX22" s="6" t="s">
        <v>122</v>
      </c>
      <c r="CY22" s="6" t="s">
        <v>123</v>
      </c>
      <c r="CZ22" s="9">
        <v>0.0</v>
      </c>
      <c r="DA22" s="9">
        <v>0.0</v>
      </c>
      <c r="DB22" s="9">
        <v>-38541.6</v>
      </c>
      <c r="DC22" s="9">
        <v>0.45</v>
      </c>
      <c r="DD22" s="9">
        <v>-7468.65</v>
      </c>
      <c r="DE22" s="9">
        <v>-8588.95</v>
      </c>
      <c r="DF22" s="6"/>
    </row>
    <row r="23" ht="13.5" customHeight="1">
      <c r="A23" s="6" t="s">
        <v>203</v>
      </c>
      <c r="B23" s="7">
        <v>43831.0</v>
      </c>
      <c r="C23" s="6" t="s">
        <v>124</v>
      </c>
      <c r="D23" s="6" t="s">
        <v>110</v>
      </c>
      <c r="E23" s="6" t="s">
        <v>111</v>
      </c>
      <c r="F23" s="6" t="s">
        <v>210</v>
      </c>
      <c r="G23" s="6" t="s">
        <v>140</v>
      </c>
      <c r="H23" s="6" t="s">
        <v>114</v>
      </c>
      <c r="I23" s="8">
        <v>43852.0</v>
      </c>
      <c r="J23" s="8">
        <v>43853.0</v>
      </c>
      <c r="K23" s="6">
        <f t="shared" si="1"/>
        <v>1</v>
      </c>
      <c r="L23" s="6">
        <v>1.0</v>
      </c>
      <c r="M23" s="6">
        <f t="shared" si="2"/>
        <v>0</v>
      </c>
      <c r="N23" s="8">
        <v>43835.0</v>
      </c>
      <c r="O23" s="8">
        <v>43876.0</v>
      </c>
      <c r="P23" s="6">
        <f t="shared" si="3"/>
        <v>41</v>
      </c>
      <c r="Q23" s="6">
        <v>90.0</v>
      </c>
      <c r="R23" s="6">
        <f t="shared" si="4"/>
        <v>-49</v>
      </c>
      <c r="S23" s="6" t="s">
        <v>211</v>
      </c>
      <c r="T23" s="6" t="s">
        <v>212</v>
      </c>
      <c r="U23" s="6" t="s">
        <v>117</v>
      </c>
      <c r="V23" s="6" t="s">
        <v>207</v>
      </c>
      <c r="W23" s="6" t="s">
        <v>208</v>
      </c>
      <c r="X23" s="6" t="s">
        <v>209</v>
      </c>
      <c r="Y23" s="6">
        <v>2024.0</v>
      </c>
      <c r="Z23" s="6" t="s">
        <v>135</v>
      </c>
      <c r="AA23" s="6">
        <v>1998.0</v>
      </c>
      <c r="AB23" s="6">
        <v>16.0</v>
      </c>
      <c r="AC23" s="6">
        <v>4.0</v>
      </c>
      <c r="AD23" s="9">
        <v>771217.39</v>
      </c>
      <c r="AE23" s="9">
        <v>44275.33</v>
      </c>
      <c r="AF23" s="10">
        <v>0.06</v>
      </c>
      <c r="AG23" s="9">
        <v>8500.74</v>
      </c>
      <c r="AH23" s="9">
        <v>2417.0</v>
      </c>
      <c r="AI23" s="6">
        <v>7.75</v>
      </c>
      <c r="AJ23" s="9">
        <v>300775.0</v>
      </c>
      <c r="AK23" s="6">
        <v>39.0</v>
      </c>
      <c r="AL23" s="8">
        <v>43876.0</v>
      </c>
      <c r="AM23" s="8">
        <v>45703.0</v>
      </c>
      <c r="AN23" s="6">
        <v>60.0</v>
      </c>
      <c r="AO23" s="6">
        <v>3500.0</v>
      </c>
      <c r="AP23" s="6">
        <v>210000.0</v>
      </c>
      <c r="AQ23" s="8">
        <v>46022.0</v>
      </c>
      <c r="AR23" s="6">
        <v>37857.0</v>
      </c>
      <c r="AS23" s="6">
        <v>40158.0</v>
      </c>
      <c r="AT23" s="6">
        <v>2301.0</v>
      </c>
      <c r="AU23" s="6">
        <v>39542.0</v>
      </c>
      <c r="AV23" s="6">
        <v>2326.0</v>
      </c>
      <c r="AW23" s="9">
        <v>10515.69</v>
      </c>
      <c r="AX23" s="9">
        <v>1575.0</v>
      </c>
      <c r="AY23" s="9">
        <v>190.0</v>
      </c>
      <c r="AZ23" s="9">
        <v>290.98</v>
      </c>
      <c r="BA23" s="9">
        <v>1350.59</v>
      </c>
      <c r="BB23" s="9">
        <v>13922.26</v>
      </c>
      <c r="BC23" s="9">
        <v>2088.34</v>
      </c>
      <c r="BD23" s="9">
        <v>16010.6</v>
      </c>
      <c r="BE23" s="8">
        <v>45748.0</v>
      </c>
      <c r="BF23" s="8">
        <v>45838.0</v>
      </c>
      <c r="BG23" s="6">
        <v>32487.0</v>
      </c>
      <c r="BH23" s="6">
        <v>40158.0</v>
      </c>
      <c r="BI23" s="6">
        <v>7671.0</v>
      </c>
      <c r="BJ23" s="6">
        <v>10500.0</v>
      </c>
      <c r="BK23" s="6">
        <v>-2829.0</v>
      </c>
      <c r="BL23" s="9">
        <v>0.52</v>
      </c>
      <c r="BM23" s="9">
        <v>2.24</v>
      </c>
      <c r="BN23" s="9">
        <v>0.0</v>
      </c>
      <c r="BO23" s="9">
        <v>0.0</v>
      </c>
      <c r="BP23" s="9">
        <v>0.0</v>
      </c>
      <c r="BQ23" s="9">
        <v>-190.96</v>
      </c>
      <c r="BR23" s="9">
        <v>0.0</v>
      </c>
      <c r="BS23" s="9">
        <v>0.0</v>
      </c>
      <c r="BT23" s="9">
        <v>0.0</v>
      </c>
      <c r="BU23" s="9">
        <v>0.0</v>
      </c>
      <c r="BV23" s="9">
        <v>0.0</v>
      </c>
      <c r="BW23" s="9">
        <v>0.0</v>
      </c>
      <c r="BX23" s="9">
        <v>0.0</v>
      </c>
      <c r="BY23" s="9">
        <v>6412.21</v>
      </c>
      <c r="BZ23" s="6">
        <v>0.0</v>
      </c>
      <c r="CA23" s="9">
        <v>0.0</v>
      </c>
      <c r="CB23" s="6">
        <v>0.0</v>
      </c>
      <c r="CC23" s="9">
        <v>0.0</v>
      </c>
      <c r="CD23" s="9">
        <v>0.0</v>
      </c>
      <c r="CE23" s="9">
        <v>0.0</v>
      </c>
      <c r="CF23" s="9">
        <v>0.0</v>
      </c>
      <c r="CG23" s="9">
        <v>0.0</v>
      </c>
      <c r="CH23" s="9">
        <v>14546.59</v>
      </c>
      <c r="CI23" s="9">
        <v>1897.38</v>
      </c>
      <c r="CJ23" s="9">
        <v>12649.21</v>
      </c>
      <c r="CK23" s="9">
        <v>5.5</v>
      </c>
      <c r="CL23" s="6">
        <v>0.0</v>
      </c>
      <c r="CM23" s="6">
        <v>0.0</v>
      </c>
      <c r="CN23" s="6">
        <v>0.0</v>
      </c>
      <c r="CO23" s="6">
        <v>100.0</v>
      </c>
      <c r="CP23" s="8"/>
      <c r="CQ23" s="6">
        <v>0.0</v>
      </c>
      <c r="CR23" s="6">
        <v>0.0</v>
      </c>
      <c r="CS23" s="6">
        <v>0.0</v>
      </c>
      <c r="CT23" s="6">
        <v>-20073.0</v>
      </c>
      <c r="CU23" s="8">
        <v>47149.0</v>
      </c>
      <c r="CV23" s="8">
        <v>47149.0</v>
      </c>
      <c r="CW23" s="6">
        <v>210616.0</v>
      </c>
      <c r="CX23" s="6" t="s">
        <v>122</v>
      </c>
      <c r="CY23" s="6" t="s">
        <v>123</v>
      </c>
      <c r="CZ23" s="9">
        <v>0.0</v>
      </c>
      <c r="DA23" s="9">
        <v>0.0</v>
      </c>
      <c r="DB23" s="9">
        <v>-9032.85</v>
      </c>
      <c r="DC23" s="9">
        <v>0.45</v>
      </c>
      <c r="DD23" s="9">
        <v>-1273.05</v>
      </c>
      <c r="DE23" s="9">
        <v>-1464.01</v>
      </c>
      <c r="DF23" s="6"/>
    </row>
    <row r="24" ht="13.5" customHeight="1">
      <c r="A24" s="6" t="s">
        <v>203</v>
      </c>
      <c r="B24" s="7">
        <v>43831.0</v>
      </c>
      <c r="C24" s="6" t="s">
        <v>136</v>
      </c>
      <c r="D24" s="6" t="s">
        <v>125</v>
      </c>
      <c r="E24" s="6" t="s">
        <v>126</v>
      </c>
      <c r="F24" s="6" t="s">
        <v>169</v>
      </c>
      <c r="G24" s="6" t="s">
        <v>128</v>
      </c>
      <c r="H24" s="6" t="s">
        <v>129</v>
      </c>
      <c r="I24" s="8">
        <v>43853.0</v>
      </c>
      <c r="J24" s="8">
        <v>43854.0</v>
      </c>
      <c r="K24" s="6">
        <f t="shared" si="1"/>
        <v>1</v>
      </c>
      <c r="L24" s="6">
        <v>1.0</v>
      </c>
      <c r="M24" s="6">
        <f t="shared" si="2"/>
        <v>0</v>
      </c>
      <c r="N24" s="8">
        <v>43836.0</v>
      </c>
      <c r="O24" s="8">
        <v>43877.0</v>
      </c>
      <c r="P24" s="6">
        <f t="shared" si="3"/>
        <v>41</v>
      </c>
      <c r="Q24" s="6">
        <v>90.0</v>
      </c>
      <c r="R24" s="6">
        <f t="shared" si="4"/>
        <v>-49</v>
      </c>
      <c r="S24" s="6" t="s">
        <v>213</v>
      </c>
      <c r="T24" s="6" t="s">
        <v>214</v>
      </c>
      <c r="U24" s="6" t="s">
        <v>117</v>
      </c>
      <c r="V24" s="6" t="s">
        <v>147</v>
      </c>
      <c r="W24" s="6" t="s">
        <v>133</v>
      </c>
      <c r="X24" s="6" t="s">
        <v>215</v>
      </c>
      <c r="Y24" s="6">
        <v>2024.0</v>
      </c>
      <c r="Z24" s="6" t="s">
        <v>135</v>
      </c>
      <c r="AA24" s="6">
        <v>1898.0</v>
      </c>
      <c r="AB24" s="6">
        <v>16.0</v>
      </c>
      <c r="AC24" s="6">
        <v>0.0</v>
      </c>
      <c r="AD24" s="9">
        <v>463304.35</v>
      </c>
      <c r="AE24" s="9">
        <v>80354.39</v>
      </c>
      <c r="AF24" s="10">
        <v>0.17</v>
      </c>
      <c r="AG24" s="9">
        <v>23048.67</v>
      </c>
      <c r="AH24" s="9">
        <v>2417.0</v>
      </c>
      <c r="AI24" s="6">
        <v>7.75</v>
      </c>
      <c r="AJ24" s="9">
        <v>239130.0</v>
      </c>
      <c r="AK24" s="6">
        <v>51.61</v>
      </c>
      <c r="AL24" s="8">
        <v>43877.0</v>
      </c>
      <c r="AM24" s="8">
        <v>45704.0</v>
      </c>
      <c r="AN24" s="6">
        <v>60.0</v>
      </c>
      <c r="AO24" s="6">
        <v>3500.0</v>
      </c>
      <c r="AP24" s="6">
        <v>210000.0</v>
      </c>
      <c r="AQ24" s="8">
        <v>46022.0</v>
      </c>
      <c r="AR24" s="6">
        <v>38054.0</v>
      </c>
      <c r="AS24" s="6">
        <v>42219.0</v>
      </c>
      <c r="AT24" s="6">
        <v>4165.0</v>
      </c>
      <c r="AU24" s="6">
        <v>41618.0</v>
      </c>
      <c r="AV24" s="6">
        <v>2601.0</v>
      </c>
      <c r="AW24" s="9">
        <v>5826.19</v>
      </c>
      <c r="AX24" s="9">
        <v>2100.0</v>
      </c>
      <c r="AY24" s="9">
        <v>125.0</v>
      </c>
      <c r="AZ24" s="9">
        <v>290.98</v>
      </c>
      <c r="BA24" s="9">
        <v>1453.23</v>
      </c>
      <c r="BB24" s="9">
        <v>9795.4</v>
      </c>
      <c r="BC24" s="9">
        <v>1469.31</v>
      </c>
      <c r="BD24" s="9">
        <v>11264.71</v>
      </c>
      <c r="BE24" s="8">
        <v>45748.0</v>
      </c>
      <c r="BF24" s="8">
        <v>45838.0</v>
      </c>
      <c r="BG24" s="6">
        <v>34223.0</v>
      </c>
      <c r="BH24" s="6">
        <v>42219.0</v>
      </c>
      <c r="BI24" s="6">
        <v>7996.0</v>
      </c>
      <c r="BJ24" s="6">
        <v>10500.0</v>
      </c>
      <c r="BK24" s="6">
        <v>-2504.0</v>
      </c>
      <c r="BL24" s="9">
        <v>0.69</v>
      </c>
      <c r="BM24" s="9">
        <v>1.07</v>
      </c>
      <c r="BN24" s="9">
        <v>0.0</v>
      </c>
      <c r="BO24" s="9">
        <v>0.0</v>
      </c>
      <c r="BP24" s="9">
        <v>0.0</v>
      </c>
      <c r="BQ24" s="9">
        <v>-225.36</v>
      </c>
      <c r="BR24" s="9">
        <v>0.0</v>
      </c>
      <c r="BS24" s="9">
        <v>0.0</v>
      </c>
      <c r="BT24" s="9">
        <v>0.0</v>
      </c>
      <c r="BU24" s="9">
        <v>0.0</v>
      </c>
      <c r="BV24" s="9">
        <v>0.0</v>
      </c>
      <c r="BW24" s="9">
        <v>0.0</v>
      </c>
      <c r="BX24" s="9">
        <v>0.0</v>
      </c>
      <c r="BY24" s="9">
        <v>8755.54</v>
      </c>
      <c r="BZ24" s="6">
        <v>0.0</v>
      </c>
      <c r="CA24" s="9">
        <v>0.0</v>
      </c>
      <c r="CB24" s="6">
        <v>0.0</v>
      </c>
      <c r="CC24" s="9">
        <v>0.0</v>
      </c>
      <c r="CD24" s="9">
        <v>0.0</v>
      </c>
      <c r="CE24" s="9">
        <v>0.0</v>
      </c>
      <c r="CF24" s="9">
        <v>0.0</v>
      </c>
      <c r="CG24" s="9">
        <v>0.0</v>
      </c>
      <c r="CH24" s="9">
        <v>9536.95</v>
      </c>
      <c r="CI24" s="9">
        <v>1243.95</v>
      </c>
      <c r="CJ24" s="9">
        <v>8293.0</v>
      </c>
      <c r="CK24" s="9">
        <v>1.99</v>
      </c>
      <c r="CL24" s="6">
        <v>0.0</v>
      </c>
      <c r="CM24" s="6">
        <v>0.0</v>
      </c>
      <c r="CN24" s="6">
        <v>0.0</v>
      </c>
      <c r="CO24" s="6">
        <v>100.0</v>
      </c>
      <c r="CP24" s="8"/>
      <c r="CQ24" s="6">
        <v>0.0</v>
      </c>
      <c r="CR24" s="6">
        <v>0.0</v>
      </c>
      <c r="CS24" s="6">
        <v>0.0</v>
      </c>
      <c r="CT24" s="6">
        <v>-17603.0</v>
      </c>
      <c r="CU24" s="8">
        <v>47177.0</v>
      </c>
      <c r="CV24" s="8">
        <v>47177.0</v>
      </c>
      <c r="CW24" s="6">
        <v>210601.0</v>
      </c>
      <c r="CX24" s="6" t="s">
        <v>122</v>
      </c>
      <c r="CY24" s="6" t="s">
        <v>123</v>
      </c>
      <c r="CZ24" s="9">
        <v>2224.56</v>
      </c>
      <c r="DA24" s="9">
        <v>3449.68</v>
      </c>
      <c r="DB24" s="9">
        <v>-12496.2</v>
      </c>
      <c r="DC24" s="9">
        <v>0.6</v>
      </c>
      <c r="DD24" s="9">
        <v>-1502.4</v>
      </c>
      <c r="DE24" s="9">
        <v>-1727.76</v>
      </c>
      <c r="DF24" s="6"/>
    </row>
    <row r="25" ht="13.5" customHeight="1">
      <c r="A25" s="6" t="s">
        <v>203</v>
      </c>
      <c r="B25" s="7">
        <v>43831.0</v>
      </c>
      <c r="C25" s="6" t="s">
        <v>109</v>
      </c>
      <c r="D25" s="6" t="s">
        <v>137</v>
      </c>
      <c r="E25" s="6" t="s">
        <v>138</v>
      </c>
      <c r="F25" s="6" t="s">
        <v>172</v>
      </c>
      <c r="G25" s="6" t="s">
        <v>140</v>
      </c>
      <c r="H25" s="6" t="s">
        <v>141</v>
      </c>
      <c r="I25" s="8">
        <v>43854.0</v>
      </c>
      <c r="J25" s="8">
        <v>43855.0</v>
      </c>
      <c r="K25" s="6">
        <f t="shared" si="1"/>
        <v>1</v>
      </c>
      <c r="L25" s="6">
        <v>1.0</v>
      </c>
      <c r="M25" s="6">
        <f t="shared" si="2"/>
        <v>0</v>
      </c>
      <c r="N25" s="8">
        <v>43837.0</v>
      </c>
      <c r="O25" s="8">
        <v>43878.0</v>
      </c>
      <c r="P25" s="6">
        <f t="shared" si="3"/>
        <v>41</v>
      </c>
      <c r="Q25" s="6">
        <v>90.0</v>
      </c>
      <c r="R25" s="6">
        <f t="shared" si="4"/>
        <v>-49</v>
      </c>
      <c r="S25" s="6" t="s">
        <v>216</v>
      </c>
      <c r="T25" s="6" t="s">
        <v>217</v>
      </c>
      <c r="U25" s="6" t="s">
        <v>117</v>
      </c>
      <c r="V25" s="6" t="s">
        <v>132</v>
      </c>
      <c r="W25" s="6" t="s">
        <v>133</v>
      </c>
      <c r="X25" s="6" t="s">
        <v>164</v>
      </c>
      <c r="Y25" s="6">
        <v>2024.0</v>
      </c>
      <c r="Z25" s="6" t="s">
        <v>135</v>
      </c>
      <c r="AA25" s="6">
        <v>2498.0</v>
      </c>
      <c r="AB25" s="6">
        <v>16.0</v>
      </c>
      <c r="AC25" s="6">
        <v>0.0</v>
      </c>
      <c r="AD25" s="9">
        <v>365565.22</v>
      </c>
      <c r="AE25" s="9">
        <v>71993.18</v>
      </c>
      <c r="AF25" s="10">
        <v>0.2</v>
      </c>
      <c r="AG25" s="9">
        <v>17423.66</v>
      </c>
      <c r="AH25" s="9">
        <v>1986.0</v>
      </c>
      <c r="AI25" s="6">
        <v>7.75</v>
      </c>
      <c r="AJ25" s="9">
        <v>168160.0</v>
      </c>
      <c r="AK25" s="6">
        <v>46.0</v>
      </c>
      <c r="AL25" s="8">
        <v>43878.0</v>
      </c>
      <c r="AM25" s="8">
        <v>45705.0</v>
      </c>
      <c r="AN25" s="6">
        <v>60.0</v>
      </c>
      <c r="AO25" s="6">
        <v>5000.0</v>
      </c>
      <c r="AP25" s="6">
        <v>220000.0</v>
      </c>
      <c r="AQ25" s="8">
        <v>46022.0</v>
      </c>
      <c r="AR25" s="6">
        <v>51715.0</v>
      </c>
      <c r="AS25" s="6">
        <v>56246.0</v>
      </c>
      <c r="AT25" s="6">
        <v>4531.0</v>
      </c>
      <c r="AU25" s="6">
        <v>55643.0</v>
      </c>
      <c r="AV25" s="6">
        <v>3273.0</v>
      </c>
      <c r="AW25" s="9">
        <v>5657.65</v>
      </c>
      <c r="AX25" s="9">
        <v>1900.0</v>
      </c>
      <c r="AY25" s="9">
        <v>125.0</v>
      </c>
      <c r="AZ25" s="9">
        <v>291.0</v>
      </c>
      <c r="BA25" s="9">
        <v>1039.28</v>
      </c>
      <c r="BB25" s="9">
        <v>9012.93</v>
      </c>
      <c r="BC25" s="9">
        <v>1351.94</v>
      </c>
      <c r="BD25" s="9">
        <v>10364.87</v>
      </c>
      <c r="BE25" s="8">
        <v>45748.0</v>
      </c>
      <c r="BF25" s="8">
        <v>45838.0</v>
      </c>
      <c r="BG25" s="6">
        <v>46288.0</v>
      </c>
      <c r="BH25" s="6">
        <v>56246.0</v>
      </c>
      <c r="BI25" s="6">
        <v>9958.0</v>
      </c>
      <c r="BJ25" s="6">
        <v>15000.0</v>
      </c>
      <c r="BK25" s="6">
        <v>-5042.0</v>
      </c>
      <c r="BL25" s="9">
        <v>0.44</v>
      </c>
      <c r="BM25" s="9">
        <v>0.9</v>
      </c>
      <c r="BN25" s="9">
        <v>0.0</v>
      </c>
      <c r="BO25" s="9">
        <v>0.0</v>
      </c>
      <c r="BP25" s="9">
        <v>0.0</v>
      </c>
      <c r="BQ25" s="9">
        <v>-287.39</v>
      </c>
      <c r="BR25" s="9">
        <v>0.0</v>
      </c>
      <c r="BS25" s="9">
        <v>0.0</v>
      </c>
      <c r="BT25" s="9">
        <v>0.0</v>
      </c>
      <c r="BU25" s="9">
        <v>0.0</v>
      </c>
      <c r="BV25" s="9">
        <v>0.0</v>
      </c>
      <c r="BW25" s="9">
        <v>0.0</v>
      </c>
      <c r="BX25" s="9">
        <v>0.0</v>
      </c>
      <c r="BY25" s="9">
        <v>8499.22</v>
      </c>
      <c r="BZ25" s="6">
        <v>0.0</v>
      </c>
      <c r="CA25" s="9">
        <v>0.0</v>
      </c>
      <c r="CB25" s="6">
        <v>0.0</v>
      </c>
      <c r="CC25" s="9">
        <v>0.0</v>
      </c>
      <c r="CD25" s="9">
        <v>0.0</v>
      </c>
      <c r="CE25" s="9">
        <v>0.0</v>
      </c>
      <c r="CF25" s="9">
        <v>0.0</v>
      </c>
      <c r="CG25" s="9">
        <v>0.0</v>
      </c>
      <c r="CH25" s="9">
        <v>8161.52</v>
      </c>
      <c r="CI25" s="9">
        <v>1064.55</v>
      </c>
      <c r="CJ25" s="9">
        <v>7096.97</v>
      </c>
      <c r="CK25" s="9">
        <v>1.57</v>
      </c>
      <c r="CL25" s="6">
        <v>0.0</v>
      </c>
      <c r="CM25" s="6">
        <v>0.0</v>
      </c>
      <c r="CN25" s="6">
        <v>0.0</v>
      </c>
      <c r="CO25" s="6">
        <v>100.0</v>
      </c>
      <c r="CP25" s="8"/>
      <c r="CQ25" s="6">
        <v>0.0</v>
      </c>
      <c r="CR25" s="6">
        <v>0.0</v>
      </c>
      <c r="CS25" s="6">
        <v>0.0</v>
      </c>
      <c r="CT25" s="6">
        <v>-29357.0</v>
      </c>
      <c r="CU25" s="8">
        <v>46660.0</v>
      </c>
      <c r="CV25" s="8">
        <v>46660.0</v>
      </c>
      <c r="CW25" s="6">
        <v>220603.0</v>
      </c>
      <c r="CX25" s="6" t="s">
        <v>122</v>
      </c>
      <c r="CY25" s="6" t="s">
        <v>123</v>
      </c>
      <c r="CZ25" s="9">
        <v>2802.12</v>
      </c>
      <c r="DA25" s="9">
        <v>0.0</v>
      </c>
      <c r="DB25" s="9">
        <v>-13957.78</v>
      </c>
      <c r="DC25" s="9">
        <v>0.38</v>
      </c>
      <c r="DD25" s="9">
        <v>-1915.96</v>
      </c>
      <c r="DE25" s="9">
        <v>-2203.35</v>
      </c>
      <c r="DF25" s="6"/>
    </row>
    <row r="26" ht="13.5" customHeight="1">
      <c r="A26" s="6" t="s">
        <v>203</v>
      </c>
      <c r="B26" s="7">
        <v>43831.0</v>
      </c>
      <c r="C26" s="6" t="s">
        <v>124</v>
      </c>
      <c r="D26" s="6" t="s">
        <v>110</v>
      </c>
      <c r="E26" s="6" t="s">
        <v>111</v>
      </c>
      <c r="F26" s="6" t="s">
        <v>218</v>
      </c>
      <c r="G26" s="6" t="s">
        <v>140</v>
      </c>
      <c r="H26" s="6" t="s">
        <v>114</v>
      </c>
      <c r="I26" s="8">
        <v>43855.0</v>
      </c>
      <c r="J26" s="8">
        <v>43856.0</v>
      </c>
      <c r="K26" s="6">
        <f t="shared" si="1"/>
        <v>1</v>
      </c>
      <c r="L26" s="6">
        <v>1.0</v>
      </c>
      <c r="M26" s="6">
        <f t="shared" si="2"/>
        <v>0</v>
      </c>
      <c r="N26" s="8">
        <v>43838.0</v>
      </c>
      <c r="O26" s="8">
        <v>43879.0</v>
      </c>
      <c r="P26" s="6">
        <f t="shared" si="3"/>
        <v>41</v>
      </c>
      <c r="Q26" s="6">
        <v>90.0</v>
      </c>
      <c r="R26" s="6">
        <f t="shared" si="4"/>
        <v>-49</v>
      </c>
      <c r="S26" s="6" t="s">
        <v>219</v>
      </c>
      <c r="T26" s="6" t="s">
        <v>220</v>
      </c>
      <c r="U26" s="6" t="s">
        <v>117</v>
      </c>
      <c r="V26" s="6" t="s">
        <v>207</v>
      </c>
      <c r="W26" s="6" t="s">
        <v>221</v>
      </c>
      <c r="X26" s="6" t="s">
        <v>222</v>
      </c>
      <c r="Y26" s="6">
        <v>2023.0</v>
      </c>
      <c r="Z26" s="6" t="s">
        <v>135</v>
      </c>
      <c r="AA26" s="6">
        <v>2198.0</v>
      </c>
      <c r="AB26" s="6">
        <v>16.0</v>
      </c>
      <c r="AC26" s="11">
        <v>40.0</v>
      </c>
      <c r="AD26" s="9">
        <v>741652.17</v>
      </c>
      <c r="AE26" s="9">
        <v>66748.7</v>
      </c>
      <c r="AF26" s="10">
        <v>0.09</v>
      </c>
      <c r="AG26" s="9">
        <v>6795.0</v>
      </c>
      <c r="AH26" s="9">
        <v>1992.0</v>
      </c>
      <c r="AI26" s="6">
        <v>7.75</v>
      </c>
      <c r="AJ26" s="9">
        <v>283238.2</v>
      </c>
      <c r="AK26" s="6">
        <v>46.86</v>
      </c>
      <c r="AL26" s="8">
        <v>43879.0</v>
      </c>
      <c r="AM26" s="8">
        <v>45706.0</v>
      </c>
      <c r="AN26" s="6">
        <v>60.0</v>
      </c>
      <c r="AO26" s="6">
        <v>2700.0</v>
      </c>
      <c r="AP26" s="6">
        <v>169306.0</v>
      </c>
      <c r="AQ26" s="8">
        <v>46112.0</v>
      </c>
      <c r="AR26" s="6">
        <v>76937.0</v>
      </c>
      <c r="AS26" s="6">
        <v>85727.0</v>
      </c>
      <c r="AT26" s="6">
        <v>8790.0</v>
      </c>
      <c r="AU26" s="6">
        <v>85677.0</v>
      </c>
      <c r="AV26" s="6">
        <v>5355.0</v>
      </c>
      <c r="AW26" s="9">
        <v>10184.67</v>
      </c>
      <c r="AX26" s="9">
        <v>1863.0</v>
      </c>
      <c r="AY26" s="9">
        <v>125.0</v>
      </c>
      <c r="AZ26" s="9">
        <v>290.99</v>
      </c>
      <c r="BA26" s="9">
        <v>1522.99</v>
      </c>
      <c r="BB26" s="9">
        <v>13986.65</v>
      </c>
      <c r="BC26" s="9">
        <v>2098.0</v>
      </c>
      <c r="BD26" s="9">
        <v>16084.65</v>
      </c>
      <c r="BE26" s="8">
        <v>45748.0</v>
      </c>
      <c r="BF26" s="8">
        <v>45838.0</v>
      </c>
      <c r="BG26" s="6">
        <v>66849.0</v>
      </c>
      <c r="BH26" s="6">
        <v>85727.0</v>
      </c>
      <c r="BI26" s="6">
        <v>18878.0</v>
      </c>
      <c r="BJ26" s="6">
        <v>8100.0</v>
      </c>
      <c r="BK26" s="6">
        <v>10778.0</v>
      </c>
      <c r="BL26" s="9">
        <v>0.79</v>
      </c>
      <c r="BM26" s="9">
        <v>2.29</v>
      </c>
      <c r="BN26" s="9">
        <v>8514.62</v>
      </c>
      <c r="BO26" s="9">
        <v>24681.62</v>
      </c>
      <c r="BP26" s="9">
        <v>33196.24</v>
      </c>
      <c r="BQ26" s="9">
        <v>4979.44</v>
      </c>
      <c r="BR26" s="9">
        <v>38175.68</v>
      </c>
      <c r="BS26" s="9">
        <v>0.0</v>
      </c>
      <c r="BT26" s="9">
        <v>0.0</v>
      </c>
      <c r="BU26" s="9">
        <v>0.0</v>
      </c>
      <c r="BV26" s="9">
        <v>0.0</v>
      </c>
      <c r="BW26" s="9">
        <v>0.0</v>
      </c>
      <c r="BX26" s="9">
        <v>0.0</v>
      </c>
      <c r="BY26" s="9">
        <v>6102.92</v>
      </c>
      <c r="BZ26" s="6">
        <v>0.0</v>
      </c>
      <c r="CA26" s="9">
        <v>0.0</v>
      </c>
      <c r="CB26" s="6">
        <v>0.0</v>
      </c>
      <c r="CC26" s="9">
        <v>0.0</v>
      </c>
      <c r="CD26" s="9">
        <v>0.0</v>
      </c>
      <c r="CE26" s="9">
        <v>0.0</v>
      </c>
      <c r="CF26" s="9">
        <v>0.0</v>
      </c>
      <c r="CG26" s="9">
        <v>0.0</v>
      </c>
      <c r="CH26" s="9">
        <v>54260.33</v>
      </c>
      <c r="CI26" s="9">
        <v>7077.44</v>
      </c>
      <c r="CJ26" s="9">
        <v>47182.89</v>
      </c>
      <c r="CK26" s="9">
        <v>5.37</v>
      </c>
      <c r="CL26" s="6">
        <v>0.0</v>
      </c>
      <c r="CM26" s="6">
        <v>0.0</v>
      </c>
      <c r="CN26" s="6">
        <v>0.0</v>
      </c>
      <c r="CO26" s="6">
        <v>100.0</v>
      </c>
      <c r="CP26" s="8"/>
      <c r="CQ26" s="6">
        <v>0.0</v>
      </c>
      <c r="CR26" s="6">
        <v>0.0</v>
      </c>
      <c r="CS26" s="6">
        <v>0.0</v>
      </c>
      <c r="CT26" s="6">
        <v>11432.0</v>
      </c>
      <c r="CU26" s="8">
        <v>47177.0</v>
      </c>
      <c r="CV26" s="8">
        <v>47177.0</v>
      </c>
      <c r="CW26" s="6">
        <v>195026.0</v>
      </c>
      <c r="CX26" s="6" t="s">
        <v>122</v>
      </c>
      <c r="CY26" s="6" t="s">
        <v>123</v>
      </c>
      <c r="CZ26" s="9">
        <v>11230.22</v>
      </c>
      <c r="DA26" s="9">
        <v>36113.42</v>
      </c>
      <c r="DB26" s="9">
        <v>-2447.43</v>
      </c>
      <c r="DC26" s="9">
        <v>0.69</v>
      </c>
      <c r="DD26" s="9">
        <v>0.0</v>
      </c>
      <c r="DE26" s="9">
        <v>0.0</v>
      </c>
      <c r="DF26" s="6"/>
    </row>
    <row r="27" ht="13.5" customHeight="1">
      <c r="A27" s="6" t="s">
        <v>203</v>
      </c>
      <c r="B27" s="7">
        <v>43831.0</v>
      </c>
      <c r="C27" s="6" t="s">
        <v>136</v>
      </c>
      <c r="D27" s="6" t="s">
        <v>125</v>
      </c>
      <c r="E27" s="6" t="s">
        <v>126</v>
      </c>
      <c r="F27" s="6" t="s">
        <v>176</v>
      </c>
      <c r="G27" s="6" t="s">
        <v>140</v>
      </c>
      <c r="H27" s="6" t="s">
        <v>129</v>
      </c>
      <c r="I27" s="8">
        <v>43856.0</v>
      </c>
      <c r="J27" s="8">
        <v>43859.0</v>
      </c>
      <c r="K27" s="6">
        <f t="shared" si="1"/>
        <v>3</v>
      </c>
      <c r="L27" s="6">
        <v>1.0</v>
      </c>
      <c r="M27" s="6">
        <f t="shared" si="2"/>
        <v>2</v>
      </c>
      <c r="N27" s="8">
        <v>43839.0</v>
      </c>
      <c r="O27" s="8">
        <v>43880.0</v>
      </c>
      <c r="P27" s="6">
        <f t="shared" si="3"/>
        <v>41</v>
      </c>
      <c r="Q27" s="6">
        <v>90.0</v>
      </c>
      <c r="R27" s="6">
        <f t="shared" si="4"/>
        <v>-49</v>
      </c>
      <c r="S27" s="6" t="s">
        <v>223</v>
      </c>
      <c r="T27" s="6" t="s">
        <v>224</v>
      </c>
      <c r="U27" s="6" t="s">
        <v>117</v>
      </c>
      <c r="V27" s="6" t="s">
        <v>207</v>
      </c>
      <c r="W27" s="6" t="s">
        <v>199</v>
      </c>
      <c r="X27" s="6" t="s">
        <v>225</v>
      </c>
      <c r="Y27" s="6">
        <v>2024.0</v>
      </c>
      <c r="Z27" s="6" t="s">
        <v>135</v>
      </c>
      <c r="AA27" s="6">
        <v>2498.0</v>
      </c>
      <c r="AB27" s="6">
        <v>16.0</v>
      </c>
      <c r="AC27" s="6">
        <v>9.0</v>
      </c>
      <c r="AD27" s="9">
        <v>628087.0</v>
      </c>
      <c r="AE27" s="9">
        <v>75370.44</v>
      </c>
      <c r="AF27" s="10">
        <v>0.12</v>
      </c>
      <c r="AG27" s="9">
        <v>24609.06</v>
      </c>
      <c r="AH27" s="9">
        <v>2912.0</v>
      </c>
      <c r="AI27" s="6">
        <v>7.75</v>
      </c>
      <c r="AJ27" s="9">
        <v>301482.0</v>
      </c>
      <c r="AK27" s="6">
        <v>48.0</v>
      </c>
      <c r="AL27" s="8">
        <v>43880.0</v>
      </c>
      <c r="AM27" s="8">
        <v>45707.0</v>
      </c>
      <c r="AN27" s="6">
        <v>60.0</v>
      </c>
      <c r="AO27" s="6">
        <v>2500.0</v>
      </c>
      <c r="AP27" s="6">
        <v>150000.0</v>
      </c>
      <c r="AQ27" s="8">
        <v>46053.0</v>
      </c>
      <c r="AR27" s="6">
        <v>46862.0</v>
      </c>
      <c r="AS27" s="6">
        <v>50214.0</v>
      </c>
      <c r="AT27" s="6">
        <v>3352.0</v>
      </c>
      <c r="AU27" s="6">
        <v>49596.0</v>
      </c>
      <c r="AV27" s="6">
        <v>3100.0</v>
      </c>
      <c r="AW27" s="9">
        <v>8505.65</v>
      </c>
      <c r="AX27" s="9">
        <v>1575.0</v>
      </c>
      <c r="AY27" s="9">
        <v>190.0</v>
      </c>
      <c r="AZ27" s="9">
        <v>291.0</v>
      </c>
      <c r="BA27" s="9">
        <v>1453.23</v>
      </c>
      <c r="BB27" s="9">
        <v>12014.88</v>
      </c>
      <c r="BC27" s="9">
        <v>1802.23</v>
      </c>
      <c r="BD27" s="9">
        <v>13817.11</v>
      </c>
      <c r="BE27" s="8">
        <v>45748.0</v>
      </c>
      <c r="BF27" s="8">
        <v>45838.0</v>
      </c>
      <c r="BG27" s="6">
        <v>39595.0</v>
      </c>
      <c r="BH27" s="6">
        <v>50214.0</v>
      </c>
      <c r="BI27" s="6">
        <v>10619.0</v>
      </c>
      <c r="BJ27" s="6">
        <v>7500.0</v>
      </c>
      <c r="BK27" s="6">
        <v>3119.0</v>
      </c>
      <c r="BL27" s="9">
        <v>0.72</v>
      </c>
      <c r="BM27" s="9">
        <v>2.18</v>
      </c>
      <c r="BN27" s="9">
        <v>2245.68</v>
      </c>
      <c r="BO27" s="9">
        <v>6799.42</v>
      </c>
      <c r="BP27" s="9">
        <v>9045.1</v>
      </c>
      <c r="BQ27" s="9">
        <v>1356.77</v>
      </c>
      <c r="BR27" s="9">
        <v>10401.87</v>
      </c>
      <c r="BS27" s="9">
        <v>0.0</v>
      </c>
      <c r="BT27" s="9">
        <v>0.0</v>
      </c>
      <c r="BU27" s="9">
        <v>0.0</v>
      </c>
      <c r="BV27" s="9">
        <v>0.0</v>
      </c>
      <c r="BW27" s="9">
        <v>0.0</v>
      </c>
      <c r="BX27" s="9">
        <v>0.0</v>
      </c>
      <c r="BY27" s="9">
        <v>9451.04</v>
      </c>
      <c r="BZ27" s="6">
        <v>0.0</v>
      </c>
      <c r="CA27" s="9">
        <v>71.0</v>
      </c>
      <c r="CB27" s="6">
        <v>0.0</v>
      </c>
      <c r="CC27" s="9">
        <v>0.0</v>
      </c>
      <c r="CD27" s="9">
        <v>0.0</v>
      </c>
      <c r="CE27" s="9">
        <v>0.0</v>
      </c>
      <c r="CF27" s="9">
        <v>0.0</v>
      </c>
      <c r="CG27" s="9">
        <v>0.0</v>
      </c>
      <c r="CH27" s="9">
        <v>24218.98</v>
      </c>
      <c r="CI27" s="9">
        <v>3159.0</v>
      </c>
      <c r="CJ27" s="9">
        <v>21059.98</v>
      </c>
      <c r="CK27" s="9">
        <v>6.28</v>
      </c>
      <c r="CL27" s="6">
        <v>0.0</v>
      </c>
      <c r="CM27" s="6">
        <v>0.0</v>
      </c>
      <c r="CN27" s="6">
        <v>0.0</v>
      </c>
      <c r="CO27" s="6">
        <v>100.0</v>
      </c>
      <c r="CP27" s="8"/>
      <c r="CQ27" s="6">
        <v>0.0</v>
      </c>
      <c r="CR27" s="6">
        <v>0.0</v>
      </c>
      <c r="CS27" s="6">
        <v>0.0</v>
      </c>
      <c r="CT27" s="6">
        <v>8281.0</v>
      </c>
      <c r="CU27" s="8">
        <v>47177.0</v>
      </c>
      <c r="CV27" s="8">
        <v>47177.0</v>
      </c>
      <c r="CW27" s="6">
        <v>150618.0</v>
      </c>
      <c r="CX27" s="6" t="s">
        <v>122</v>
      </c>
      <c r="CY27" s="6" t="s">
        <v>123</v>
      </c>
      <c r="CZ27" s="9">
        <v>7932.24</v>
      </c>
      <c r="DA27" s="9">
        <v>24017.06</v>
      </c>
      <c r="DB27" s="9">
        <v>-1723.68</v>
      </c>
      <c r="DC27" s="9">
        <v>0.63</v>
      </c>
      <c r="DD27" s="9">
        <v>0.0</v>
      </c>
      <c r="DE27" s="9">
        <v>0.0</v>
      </c>
      <c r="DF27" s="6"/>
    </row>
    <row r="28" ht="13.5" customHeight="1">
      <c r="A28" s="6" t="s">
        <v>203</v>
      </c>
      <c r="B28" s="7">
        <v>43831.0</v>
      </c>
      <c r="C28" s="6" t="s">
        <v>109</v>
      </c>
      <c r="D28" s="6" t="s">
        <v>137</v>
      </c>
      <c r="E28" s="6" t="s">
        <v>138</v>
      </c>
      <c r="F28" s="6" t="s">
        <v>176</v>
      </c>
      <c r="G28" s="6" t="s">
        <v>140</v>
      </c>
      <c r="H28" s="6" t="s">
        <v>141</v>
      </c>
      <c r="I28" s="8">
        <v>43857.0</v>
      </c>
      <c r="J28" s="8">
        <v>43858.0</v>
      </c>
      <c r="K28" s="6">
        <f t="shared" si="1"/>
        <v>1</v>
      </c>
      <c r="L28" s="6">
        <v>1.0</v>
      </c>
      <c r="M28" s="6">
        <f t="shared" si="2"/>
        <v>0</v>
      </c>
      <c r="N28" s="8">
        <v>43840.0</v>
      </c>
      <c r="O28" s="8">
        <v>43881.0</v>
      </c>
      <c r="P28" s="6">
        <f t="shared" si="3"/>
        <v>41</v>
      </c>
      <c r="Q28" s="6">
        <v>90.0</v>
      </c>
      <c r="R28" s="6">
        <f t="shared" si="4"/>
        <v>-49</v>
      </c>
      <c r="S28" s="6" t="s">
        <v>226</v>
      </c>
      <c r="T28" s="6" t="s">
        <v>227</v>
      </c>
      <c r="U28" s="6" t="s">
        <v>117</v>
      </c>
      <c r="V28" s="6" t="s">
        <v>207</v>
      </c>
      <c r="W28" s="6" t="s">
        <v>199</v>
      </c>
      <c r="X28" s="6" t="s">
        <v>225</v>
      </c>
      <c r="Y28" s="6">
        <v>2024.0</v>
      </c>
      <c r="Z28" s="6" t="s">
        <v>135</v>
      </c>
      <c r="AA28" s="6">
        <v>2498.0</v>
      </c>
      <c r="AB28" s="6">
        <v>16.0</v>
      </c>
      <c r="AC28" s="6">
        <v>9.0</v>
      </c>
      <c r="AD28" s="9">
        <v>628087.0</v>
      </c>
      <c r="AE28" s="9">
        <v>75370.44</v>
      </c>
      <c r="AF28" s="10">
        <v>0.12</v>
      </c>
      <c r="AG28" s="9">
        <v>25507.33</v>
      </c>
      <c r="AH28" s="9">
        <v>2617.5</v>
      </c>
      <c r="AI28" s="6">
        <v>7.75</v>
      </c>
      <c r="AJ28" s="9">
        <v>301482.0</v>
      </c>
      <c r="AK28" s="6">
        <v>48.0</v>
      </c>
      <c r="AL28" s="8">
        <v>43881.0</v>
      </c>
      <c r="AM28" s="8">
        <v>45708.0</v>
      </c>
      <c r="AN28" s="6">
        <v>60.0</v>
      </c>
      <c r="AO28" s="6">
        <v>2500.0</v>
      </c>
      <c r="AP28" s="6">
        <v>150000.0</v>
      </c>
      <c r="AQ28" s="8">
        <v>46053.0</v>
      </c>
      <c r="AR28" s="6">
        <v>43046.0</v>
      </c>
      <c r="AS28" s="6">
        <v>43654.0</v>
      </c>
      <c r="AT28" s="6">
        <v>608.0</v>
      </c>
      <c r="AU28" s="6">
        <v>43037.0</v>
      </c>
      <c r="AV28" s="6">
        <v>2690.0</v>
      </c>
      <c r="AW28" s="9">
        <v>8324.99</v>
      </c>
      <c r="AX28" s="9">
        <v>1650.0</v>
      </c>
      <c r="AY28" s="9">
        <v>190.0</v>
      </c>
      <c r="AZ28" s="9">
        <v>291.0</v>
      </c>
      <c r="BA28" s="9">
        <v>1453.23</v>
      </c>
      <c r="BB28" s="9">
        <v>11909.22</v>
      </c>
      <c r="BC28" s="9">
        <v>1786.38</v>
      </c>
      <c r="BD28" s="9">
        <v>13695.6</v>
      </c>
      <c r="BE28" s="8">
        <v>45748.0</v>
      </c>
      <c r="BF28" s="8">
        <v>45838.0</v>
      </c>
      <c r="BG28" s="6">
        <v>39669.0</v>
      </c>
      <c r="BH28" s="6">
        <v>43654.0</v>
      </c>
      <c r="BI28" s="6">
        <v>3985.0</v>
      </c>
      <c r="BJ28" s="6">
        <v>7500.0</v>
      </c>
      <c r="BK28" s="6">
        <v>-3515.0</v>
      </c>
      <c r="BL28" s="9">
        <v>0.76</v>
      </c>
      <c r="BM28" s="9">
        <v>2.18</v>
      </c>
      <c r="BN28" s="9">
        <v>0.0</v>
      </c>
      <c r="BO28" s="9">
        <v>0.0</v>
      </c>
      <c r="BP28" s="9">
        <v>0.0</v>
      </c>
      <c r="BQ28" s="9">
        <v>-347.99</v>
      </c>
      <c r="BR28" s="9">
        <v>0.0</v>
      </c>
      <c r="BS28" s="9">
        <v>0.0</v>
      </c>
      <c r="BT28" s="9">
        <v>0.0</v>
      </c>
      <c r="BU28" s="9">
        <v>0.0</v>
      </c>
      <c r="BV28" s="9">
        <v>0.0</v>
      </c>
      <c r="BW28" s="9">
        <v>0.0</v>
      </c>
      <c r="BX28" s="9">
        <v>0.0</v>
      </c>
      <c r="BY28" s="9">
        <v>0.0</v>
      </c>
      <c r="BZ28" s="6">
        <v>0.0</v>
      </c>
      <c r="CA28" s="9">
        <v>0.0</v>
      </c>
      <c r="CB28" s="6">
        <v>0.0</v>
      </c>
      <c r="CC28" s="9">
        <v>0.0</v>
      </c>
      <c r="CD28" s="9">
        <v>0.0</v>
      </c>
      <c r="CE28" s="9">
        <v>0.0</v>
      </c>
      <c r="CF28" s="9">
        <v>0.0</v>
      </c>
      <c r="CG28" s="9">
        <v>0.0</v>
      </c>
      <c r="CH28" s="9">
        <v>11027.71</v>
      </c>
      <c r="CI28" s="9">
        <v>1438.39</v>
      </c>
      <c r="CJ28" s="9">
        <v>9589.32</v>
      </c>
      <c r="CK28" s="9">
        <v>15.77</v>
      </c>
      <c r="CL28" s="6">
        <v>0.0</v>
      </c>
      <c r="CM28" s="6">
        <v>0.0</v>
      </c>
      <c r="CN28" s="6">
        <v>0.0</v>
      </c>
      <c r="CO28" s="6">
        <v>100.0</v>
      </c>
      <c r="CP28" s="8"/>
      <c r="CQ28" s="6">
        <v>0.0</v>
      </c>
      <c r="CR28" s="6">
        <v>0.0</v>
      </c>
      <c r="CS28" s="6">
        <v>0.0</v>
      </c>
      <c r="CT28" s="6">
        <v>1722.0</v>
      </c>
      <c r="CU28" s="8">
        <v>47177.0</v>
      </c>
      <c r="CV28" s="8">
        <v>47177.0</v>
      </c>
      <c r="CW28" s="6">
        <v>150617.0</v>
      </c>
      <c r="CX28" s="6" t="s">
        <v>122</v>
      </c>
      <c r="CY28" s="6" t="s">
        <v>123</v>
      </c>
      <c r="CZ28" s="9">
        <v>9123.04</v>
      </c>
      <c r="DA28" s="9">
        <v>26168.72</v>
      </c>
      <c r="DB28" s="9">
        <v>-6786.12</v>
      </c>
      <c r="DC28" s="9">
        <v>0.66</v>
      </c>
      <c r="DD28" s="9">
        <v>-2319.9</v>
      </c>
      <c r="DE28" s="9">
        <v>-2667.89</v>
      </c>
      <c r="DF28" s="6"/>
    </row>
    <row r="29" ht="13.5" customHeight="1">
      <c r="A29" s="6" t="s">
        <v>228</v>
      </c>
      <c r="B29" s="7">
        <v>43831.0</v>
      </c>
      <c r="C29" s="6" t="s">
        <v>124</v>
      </c>
      <c r="D29" s="6" t="s">
        <v>110</v>
      </c>
      <c r="E29" s="6" t="s">
        <v>111</v>
      </c>
      <c r="F29" s="6" t="s">
        <v>176</v>
      </c>
      <c r="G29" s="6" t="s">
        <v>161</v>
      </c>
      <c r="H29" s="6" t="s">
        <v>114</v>
      </c>
      <c r="I29" s="8">
        <v>43858.0</v>
      </c>
      <c r="J29" s="8">
        <v>43859.0</v>
      </c>
      <c r="K29" s="6">
        <f t="shared" si="1"/>
        <v>1</v>
      </c>
      <c r="L29" s="6">
        <v>1.0</v>
      </c>
      <c r="M29" s="6">
        <f t="shared" si="2"/>
        <v>0</v>
      </c>
      <c r="N29" s="8">
        <v>43841.0</v>
      </c>
      <c r="O29" s="8">
        <v>43972.0</v>
      </c>
      <c r="P29" s="6">
        <f t="shared" si="3"/>
        <v>131</v>
      </c>
      <c r="Q29" s="6">
        <v>90.0</v>
      </c>
      <c r="R29" s="6">
        <f t="shared" si="4"/>
        <v>41</v>
      </c>
      <c r="S29" s="6" t="s">
        <v>229</v>
      </c>
      <c r="T29" s="6" t="s">
        <v>230</v>
      </c>
      <c r="U29" s="6" t="s">
        <v>117</v>
      </c>
      <c r="V29" s="6" t="s">
        <v>207</v>
      </c>
      <c r="W29" s="6" t="s">
        <v>199</v>
      </c>
      <c r="X29" s="6" t="s">
        <v>225</v>
      </c>
      <c r="Y29" s="6">
        <v>2024.0</v>
      </c>
      <c r="Z29" s="6" t="s">
        <v>135</v>
      </c>
      <c r="AA29" s="6">
        <v>2498.0</v>
      </c>
      <c r="AB29" s="6">
        <v>16.0</v>
      </c>
      <c r="AC29" s="6">
        <v>1.0</v>
      </c>
      <c r="AD29" s="9">
        <v>628087.0</v>
      </c>
      <c r="AE29" s="9">
        <v>75370.44</v>
      </c>
      <c r="AF29" s="10">
        <v>0.12</v>
      </c>
      <c r="AG29" s="9">
        <v>24592.31</v>
      </c>
      <c r="AH29" s="9">
        <v>2603.0</v>
      </c>
      <c r="AI29" s="6">
        <v>7.75</v>
      </c>
      <c r="AJ29" s="9">
        <v>301482.0</v>
      </c>
      <c r="AK29" s="6">
        <v>48.0</v>
      </c>
      <c r="AL29" s="8">
        <v>43972.0</v>
      </c>
      <c r="AM29" s="8">
        <v>45798.0</v>
      </c>
      <c r="AN29" s="6">
        <v>60.0</v>
      </c>
      <c r="AO29" s="6">
        <v>2500.0</v>
      </c>
      <c r="AP29" s="6">
        <v>150000.0</v>
      </c>
      <c r="AQ29" s="8">
        <v>46053.0</v>
      </c>
      <c r="AR29" s="6">
        <v>9501.0</v>
      </c>
      <c r="AS29" s="6">
        <v>9516.0</v>
      </c>
      <c r="AT29" s="6">
        <v>15.0</v>
      </c>
      <c r="AU29" s="6">
        <v>8896.0</v>
      </c>
      <c r="AV29" s="6">
        <v>556.0</v>
      </c>
      <c r="AW29" s="9">
        <v>8306.34</v>
      </c>
      <c r="AX29" s="9">
        <v>1650.0</v>
      </c>
      <c r="AY29" s="9">
        <v>190.0</v>
      </c>
      <c r="AZ29" s="9">
        <v>291.0</v>
      </c>
      <c r="BA29" s="9">
        <v>1522.99</v>
      </c>
      <c r="BB29" s="9">
        <v>11960.33</v>
      </c>
      <c r="BC29" s="9">
        <v>1794.05</v>
      </c>
      <c r="BD29" s="9">
        <v>13754.38</v>
      </c>
      <c r="BE29" s="8">
        <v>45748.0</v>
      </c>
      <c r="BF29" s="8">
        <v>45838.0</v>
      </c>
      <c r="BG29" s="6">
        <v>6813.0</v>
      </c>
      <c r="BH29" s="6">
        <v>9516.0</v>
      </c>
      <c r="BI29" s="6">
        <v>2703.0</v>
      </c>
      <c r="BJ29" s="6">
        <v>7500.0</v>
      </c>
      <c r="BK29" s="6">
        <v>-4797.0</v>
      </c>
      <c r="BL29" s="9">
        <v>0.76</v>
      </c>
      <c r="BM29" s="9">
        <v>2.18</v>
      </c>
      <c r="BN29" s="9">
        <v>0.0</v>
      </c>
      <c r="BO29" s="9">
        <v>0.0</v>
      </c>
      <c r="BP29" s="9">
        <v>0.0</v>
      </c>
      <c r="BQ29" s="9">
        <v>-474.9</v>
      </c>
      <c r="BR29" s="9">
        <v>0.0</v>
      </c>
      <c r="BS29" s="9">
        <v>0.0</v>
      </c>
      <c r="BT29" s="9">
        <v>0.0</v>
      </c>
      <c r="BU29" s="9">
        <v>0.0</v>
      </c>
      <c r="BV29" s="9">
        <v>0.0</v>
      </c>
      <c r="BW29" s="9">
        <v>0.0</v>
      </c>
      <c r="BX29" s="9">
        <v>0.0</v>
      </c>
      <c r="BY29" s="9">
        <v>0.0</v>
      </c>
      <c r="BZ29" s="6">
        <v>0.0</v>
      </c>
      <c r="CA29" s="9">
        <v>0.0</v>
      </c>
      <c r="CB29" s="6">
        <v>0.0</v>
      </c>
      <c r="CC29" s="9">
        <v>0.0</v>
      </c>
      <c r="CD29" s="9">
        <v>0.0</v>
      </c>
      <c r="CE29" s="9">
        <v>0.0</v>
      </c>
      <c r="CF29" s="9">
        <v>0.0</v>
      </c>
      <c r="CG29" s="9">
        <v>0.0</v>
      </c>
      <c r="CH29" s="9">
        <v>10113.46</v>
      </c>
      <c r="CI29" s="9">
        <v>1319.15</v>
      </c>
      <c r="CJ29" s="9">
        <v>8794.31</v>
      </c>
      <c r="CK29" s="9">
        <v>586.29</v>
      </c>
      <c r="CL29" s="6">
        <v>0.0</v>
      </c>
      <c r="CM29" s="6">
        <v>0.0</v>
      </c>
      <c r="CN29" s="6">
        <v>0.0</v>
      </c>
      <c r="CO29" s="6">
        <v>100.0</v>
      </c>
      <c r="CP29" s="8"/>
      <c r="CQ29" s="6">
        <v>0.0</v>
      </c>
      <c r="CR29" s="6">
        <v>0.0</v>
      </c>
      <c r="CS29" s="6">
        <v>0.0</v>
      </c>
      <c r="CT29" s="6">
        <v>-32254.0</v>
      </c>
      <c r="CU29" s="8">
        <v>47177.0</v>
      </c>
      <c r="CV29" s="8">
        <v>47177.0</v>
      </c>
      <c r="CW29" s="6">
        <v>150620.0</v>
      </c>
      <c r="CX29" s="6" t="s">
        <v>122</v>
      </c>
      <c r="CY29" s="6" t="s">
        <v>123</v>
      </c>
      <c r="CZ29" s="9">
        <v>0.0</v>
      </c>
      <c r="DA29" s="9">
        <v>0.0</v>
      </c>
      <c r="DB29" s="9">
        <v>-21287.64</v>
      </c>
      <c r="DC29" s="9">
        <v>0.66</v>
      </c>
      <c r="DD29" s="9">
        <v>-3166.02</v>
      </c>
      <c r="DE29" s="9">
        <v>-3640.92</v>
      </c>
      <c r="DF29" s="6"/>
    </row>
    <row r="30" ht="13.5" customHeight="1">
      <c r="A30" s="6" t="s">
        <v>228</v>
      </c>
      <c r="B30" s="7">
        <v>43831.0</v>
      </c>
      <c r="C30" s="6" t="s">
        <v>136</v>
      </c>
      <c r="D30" s="6" t="s">
        <v>125</v>
      </c>
      <c r="E30" s="6" t="s">
        <v>126</v>
      </c>
      <c r="F30" s="6" t="s">
        <v>231</v>
      </c>
      <c r="G30" s="6" t="s">
        <v>113</v>
      </c>
      <c r="H30" s="6" t="s">
        <v>129</v>
      </c>
      <c r="I30" s="8">
        <v>43859.0</v>
      </c>
      <c r="J30" s="8">
        <v>43860.0</v>
      </c>
      <c r="K30" s="6">
        <f t="shared" si="1"/>
        <v>1</v>
      </c>
      <c r="L30" s="6">
        <v>1.0</v>
      </c>
      <c r="M30" s="6">
        <f t="shared" si="2"/>
        <v>0</v>
      </c>
      <c r="N30" s="8">
        <v>43842.0</v>
      </c>
      <c r="O30" s="8">
        <v>43883.0</v>
      </c>
      <c r="P30" s="6">
        <f t="shared" si="3"/>
        <v>41</v>
      </c>
      <c r="Q30" s="6">
        <v>90.0</v>
      </c>
      <c r="R30" s="6">
        <f t="shared" si="4"/>
        <v>-49</v>
      </c>
      <c r="S30" s="6" t="s">
        <v>232</v>
      </c>
      <c r="T30" s="6" t="s">
        <v>233</v>
      </c>
      <c r="U30" s="6" t="s">
        <v>117</v>
      </c>
      <c r="V30" s="6" t="s">
        <v>132</v>
      </c>
      <c r="W30" s="6" t="s">
        <v>199</v>
      </c>
      <c r="X30" s="6" t="s">
        <v>234</v>
      </c>
      <c r="Y30" s="6">
        <v>2024.0</v>
      </c>
      <c r="Z30" s="6" t="s">
        <v>135</v>
      </c>
      <c r="AA30" s="6">
        <v>2398.0</v>
      </c>
      <c r="AB30" s="6">
        <v>16.0</v>
      </c>
      <c r="AC30" s="11">
        <v>0.0</v>
      </c>
      <c r="AD30" s="9">
        <v>349565.0</v>
      </c>
      <c r="AE30" s="9">
        <v>44394.75</v>
      </c>
      <c r="AF30" s="10">
        <v>0.13</v>
      </c>
      <c r="AG30" s="9">
        <v>55158.97</v>
      </c>
      <c r="AH30" s="9">
        <v>1986.0</v>
      </c>
      <c r="AI30" s="6">
        <v>7.75</v>
      </c>
      <c r="AJ30" s="9">
        <v>152521.0</v>
      </c>
      <c r="AK30" s="6">
        <v>49.74</v>
      </c>
      <c r="AL30" s="8">
        <v>43883.0</v>
      </c>
      <c r="AM30" s="8">
        <v>45710.0</v>
      </c>
      <c r="AN30" s="6">
        <v>60.0</v>
      </c>
      <c r="AO30" s="6">
        <v>3500.0</v>
      </c>
      <c r="AP30" s="6">
        <v>192500.0</v>
      </c>
      <c r="AQ30" s="8">
        <v>46053.0</v>
      </c>
      <c r="AR30" s="6">
        <v>29610.0</v>
      </c>
      <c r="AS30" s="6">
        <v>31524.0</v>
      </c>
      <c r="AT30" s="6">
        <v>1914.0</v>
      </c>
      <c r="AU30" s="6">
        <v>31474.0</v>
      </c>
      <c r="AV30" s="6">
        <v>7869.0</v>
      </c>
      <c r="AW30" s="9">
        <v>5103.91</v>
      </c>
      <c r="AX30" s="9">
        <v>1960.0</v>
      </c>
      <c r="AY30" s="9">
        <v>125.0</v>
      </c>
      <c r="AZ30" s="9">
        <v>290.99</v>
      </c>
      <c r="BA30" s="9">
        <v>1083.24</v>
      </c>
      <c r="BB30" s="9">
        <v>8563.14</v>
      </c>
      <c r="BC30" s="9">
        <v>1284.47</v>
      </c>
      <c r="BD30" s="9">
        <v>9847.61</v>
      </c>
      <c r="BE30" s="8">
        <v>45748.0</v>
      </c>
      <c r="BF30" s="8">
        <v>45838.0</v>
      </c>
      <c r="BG30" s="6">
        <v>24475.0</v>
      </c>
      <c r="BH30" s="6">
        <v>31524.0</v>
      </c>
      <c r="BI30" s="6">
        <v>7049.0</v>
      </c>
      <c r="BJ30" s="6">
        <v>10500.0</v>
      </c>
      <c r="BK30" s="6">
        <v>-3451.0</v>
      </c>
      <c r="BL30" s="9">
        <v>0.64</v>
      </c>
      <c r="BM30" s="9">
        <v>0.67</v>
      </c>
      <c r="BN30" s="9">
        <v>0.0</v>
      </c>
      <c r="BO30" s="9">
        <v>0.0</v>
      </c>
      <c r="BP30" s="9">
        <v>0.0</v>
      </c>
      <c r="BQ30" s="9">
        <v>-289.88</v>
      </c>
      <c r="BR30" s="9">
        <v>0.0</v>
      </c>
      <c r="BS30" s="9">
        <v>0.0</v>
      </c>
      <c r="BT30" s="9">
        <v>0.0</v>
      </c>
      <c r="BU30" s="9">
        <v>0.0</v>
      </c>
      <c r="BV30" s="9">
        <v>0.0</v>
      </c>
      <c r="BW30" s="9">
        <v>0.0</v>
      </c>
      <c r="BX30" s="9">
        <v>0.0</v>
      </c>
      <c r="BY30" s="9">
        <v>0.0</v>
      </c>
      <c r="BZ30" s="9">
        <v>0.0</v>
      </c>
      <c r="CA30" s="9">
        <v>0.0</v>
      </c>
      <c r="CB30" s="9">
        <v>0.0</v>
      </c>
      <c r="CC30" s="9">
        <v>0.0</v>
      </c>
      <c r="CD30" s="9">
        <v>0.0</v>
      </c>
      <c r="CE30" s="9">
        <v>0.0</v>
      </c>
      <c r="CF30" s="9">
        <v>0.0</v>
      </c>
      <c r="CG30" s="9">
        <v>0.0</v>
      </c>
      <c r="CH30" s="9">
        <v>7625.17</v>
      </c>
      <c r="CI30" s="9">
        <v>994.59</v>
      </c>
      <c r="CJ30" s="9">
        <v>6630.58</v>
      </c>
      <c r="CK30" s="9">
        <v>3.46</v>
      </c>
      <c r="CL30" s="6">
        <v>0.0</v>
      </c>
      <c r="CM30" s="6">
        <v>0.0</v>
      </c>
      <c r="CN30" s="6">
        <v>0.0</v>
      </c>
      <c r="CO30" s="6">
        <v>100.0</v>
      </c>
      <c r="CP30" s="8"/>
      <c r="CQ30" s="6">
        <v>0.0</v>
      </c>
      <c r="CR30" s="6">
        <v>0.0</v>
      </c>
      <c r="CS30" s="6">
        <v>0.0</v>
      </c>
      <c r="CT30" s="6">
        <v>-5535.0</v>
      </c>
      <c r="CU30" s="8">
        <v>47391.0</v>
      </c>
      <c r="CV30" s="8">
        <v>47391.0</v>
      </c>
      <c r="CW30" s="6">
        <v>215559.0</v>
      </c>
      <c r="CX30" s="6" t="s">
        <v>122</v>
      </c>
      <c r="CY30" s="6" t="s">
        <v>123</v>
      </c>
      <c r="CZ30" s="9">
        <v>0.0</v>
      </c>
      <c r="DA30" s="9">
        <v>0.0</v>
      </c>
      <c r="DB30" s="9">
        <v>-3099.6</v>
      </c>
      <c r="DC30" s="9">
        <v>0.56</v>
      </c>
      <c r="DD30" s="9">
        <v>-1932.56</v>
      </c>
      <c r="DE30" s="9">
        <v>-2222.44</v>
      </c>
      <c r="DF30" s="6"/>
    </row>
    <row r="31" ht="13.5" customHeight="1">
      <c r="A31" s="12" t="s">
        <v>108</v>
      </c>
      <c r="B31" s="13">
        <v>43862.0</v>
      </c>
      <c r="C31" s="12" t="s">
        <v>136</v>
      </c>
      <c r="D31" s="12" t="s">
        <v>125</v>
      </c>
      <c r="E31" s="12" t="s">
        <v>126</v>
      </c>
      <c r="F31" s="12" t="s">
        <v>235</v>
      </c>
      <c r="G31" s="12" t="s">
        <v>128</v>
      </c>
      <c r="H31" s="12" t="s">
        <v>129</v>
      </c>
      <c r="I31" s="14">
        <v>43862.0</v>
      </c>
      <c r="J31" s="14">
        <v>43866.0</v>
      </c>
      <c r="K31" s="12">
        <f t="shared" si="1"/>
        <v>4</v>
      </c>
      <c r="L31" s="12">
        <v>1.0</v>
      </c>
      <c r="M31" s="12">
        <f t="shared" si="2"/>
        <v>3</v>
      </c>
      <c r="N31" s="14">
        <v>43876.0</v>
      </c>
      <c r="O31" s="14">
        <v>43886.0</v>
      </c>
      <c r="P31" s="12">
        <f t="shared" si="3"/>
        <v>10</v>
      </c>
      <c r="Q31" s="12">
        <v>90.0</v>
      </c>
      <c r="R31" s="12">
        <f t="shared" si="4"/>
        <v>-80</v>
      </c>
      <c r="S31" s="12" t="s">
        <v>236</v>
      </c>
      <c r="T31" s="12" t="s">
        <v>237</v>
      </c>
      <c r="U31" s="12" t="s">
        <v>117</v>
      </c>
      <c r="V31" s="12" t="s">
        <v>190</v>
      </c>
      <c r="W31" s="12" t="s">
        <v>208</v>
      </c>
      <c r="X31" s="12" t="s">
        <v>238</v>
      </c>
      <c r="Y31" s="12">
        <v>2024.0</v>
      </c>
      <c r="Z31" s="12" t="s">
        <v>121</v>
      </c>
      <c r="AA31" s="12">
        <v>1598.0</v>
      </c>
      <c r="AB31" s="12">
        <v>16.0</v>
      </c>
      <c r="AC31" s="12">
        <v>0.0</v>
      </c>
      <c r="AD31" s="15">
        <v>369900.0</v>
      </c>
      <c r="AE31" s="15">
        <v>53998.52</v>
      </c>
      <c r="AF31" s="16">
        <v>0.15</v>
      </c>
      <c r="AG31" s="15">
        <v>4838.25</v>
      </c>
      <c r="AH31" s="15">
        <v>2021.0</v>
      </c>
      <c r="AI31" s="12">
        <v>7.75</v>
      </c>
      <c r="AJ31" s="15">
        <v>184950.0</v>
      </c>
      <c r="AK31" s="12">
        <v>50.0</v>
      </c>
      <c r="AL31" s="14">
        <v>43886.0</v>
      </c>
      <c r="AM31" s="14">
        <v>45713.0</v>
      </c>
      <c r="AN31" s="12">
        <v>60.0</v>
      </c>
      <c r="AO31" s="12">
        <v>2000.0</v>
      </c>
      <c r="AP31" s="12">
        <v>120000.0</v>
      </c>
      <c r="AQ31" s="14">
        <v>46053.0</v>
      </c>
      <c r="AR31" s="12">
        <v>11252.0</v>
      </c>
      <c r="AS31" s="12">
        <v>12188.0</v>
      </c>
      <c r="AT31" s="12">
        <v>936.0</v>
      </c>
      <c r="AU31" s="12">
        <v>11577.0</v>
      </c>
      <c r="AV31" s="12">
        <v>772.0</v>
      </c>
      <c r="AW31" s="15">
        <v>4767.51</v>
      </c>
      <c r="AX31" s="15">
        <v>800.0</v>
      </c>
      <c r="AY31" s="15">
        <v>125.0</v>
      </c>
      <c r="AZ31" s="15">
        <v>290.99</v>
      </c>
      <c r="BA31" s="15">
        <v>1083.24</v>
      </c>
      <c r="BB31" s="15">
        <v>7066.74</v>
      </c>
      <c r="BC31" s="15">
        <v>1060.01</v>
      </c>
      <c r="BD31" s="15">
        <v>8126.75</v>
      </c>
      <c r="BE31" s="14">
        <v>45748.0</v>
      </c>
      <c r="BF31" s="14">
        <v>45838.0</v>
      </c>
      <c r="BG31" s="12">
        <v>10617.0</v>
      </c>
      <c r="BH31" s="12">
        <v>12188.0</v>
      </c>
      <c r="BI31" s="12">
        <v>1571.0</v>
      </c>
      <c r="BJ31" s="12">
        <v>6000.0</v>
      </c>
      <c r="BK31" s="12">
        <v>-4429.0</v>
      </c>
      <c r="BL31" s="15">
        <v>0.46</v>
      </c>
      <c r="BM31" s="15">
        <v>1.54</v>
      </c>
      <c r="BN31" s="15">
        <v>0.0</v>
      </c>
      <c r="BO31" s="15">
        <v>0.0</v>
      </c>
      <c r="BP31" s="15">
        <v>0.0</v>
      </c>
      <c r="BQ31" s="15">
        <v>-265.74</v>
      </c>
      <c r="BR31" s="15">
        <v>0.0</v>
      </c>
      <c r="BS31" s="15">
        <v>0.0</v>
      </c>
      <c r="BT31" s="15">
        <v>0.0</v>
      </c>
      <c r="BU31" s="15">
        <v>0.0</v>
      </c>
      <c r="BV31" s="15">
        <v>0.0</v>
      </c>
      <c r="BW31" s="15">
        <v>0.0</v>
      </c>
      <c r="BX31" s="15">
        <v>0.0</v>
      </c>
      <c r="BY31" s="15">
        <v>1849.15</v>
      </c>
      <c r="BZ31" s="12">
        <v>0.0</v>
      </c>
      <c r="CA31" s="15">
        <v>0.0</v>
      </c>
      <c r="CB31" s="12">
        <v>0.0</v>
      </c>
      <c r="CC31" s="15">
        <v>0.0</v>
      </c>
      <c r="CD31" s="15">
        <v>0.0</v>
      </c>
      <c r="CE31" s="15">
        <v>0.0</v>
      </c>
      <c r="CF31" s="15">
        <v>0.0</v>
      </c>
      <c r="CG31" s="15">
        <v>0.0</v>
      </c>
      <c r="CH31" s="15">
        <v>6089.41</v>
      </c>
      <c r="CI31" s="15">
        <v>794.27</v>
      </c>
      <c r="CJ31" s="15">
        <v>5295.14</v>
      </c>
      <c r="CK31" s="15">
        <v>5.66</v>
      </c>
      <c r="CL31" s="12">
        <v>0.0</v>
      </c>
      <c r="CM31" s="12">
        <v>0.0</v>
      </c>
      <c r="CN31" s="12">
        <v>0.0</v>
      </c>
      <c r="CO31" s="12">
        <v>100.0</v>
      </c>
      <c r="CP31" s="14"/>
      <c r="CQ31" s="12">
        <v>0.0</v>
      </c>
      <c r="CR31" s="12">
        <v>0.0</v>
      </c>
      <c r="CS31" s="12">
        <v>0.0</v>
      </c>
      <c r="CT31" s="12">
        <v>-20132.0</v>
      </c>
      <c r="CU31" s="14">
        <v>47208.0</v>
      </c>
      <c r="CV31" s="14">
        <v>47208.0</v>
      </c>
      <c r="CW31" s="12">
        <v>120611.0</v>
      </c>
      <c r="CX31" s="12" t="s">
        <v>122</v>
      </c>
      <c r="CY31" s="12" t="s">
        <v>123</v>
      </c>
      <c r="CZ31" s="15">
        <v>0.0</v>
      </c>
      <c r="DA31" s="15">
        <v>0.0</v>
      </c>
      <c r="DB31" s="15">
        <v>-8052.8</v>
      </c>
      <c r="DC31" s="15">
        <v>0.4</v>
      </c>
      <c r="DD31" s="15">
        <v>-1771.6</v>
      </c>
      <c r="DE31" s="15">
        <v>-2037.34</v>
      </c>
      <c r="DF31" s="12"/>
    </row>
    <row r="32" ht="13.5" customHeight="1">
      <c r="A32" s="12" t="s">
        <v>144</v>
      </c>
      <c r="B32" s="13">
        <v>43862.0</v>
      </c>
      <c r="C32" s="12" t="s">
        <v>109</v>
      </c>
      <c r="D32" s="12" t="s">
        <v>137</v>
      </c>
      <c r="E32" s="12" t="s">
        <v>138</v>
      </c>
      <c r="F32" s="12" t="s">
        <v>179</v>
      </c>
      <c r="G32" s="12" t="s">
        <v>140</v>
      </c>
      <c r="H32" s="12" t="s">
        <v>141</v>
      </c>
      <c r="I32" s="14">
        <v>43863.0</v>
      </c>
      <c r="J32" s="14">
        <v>43864.0</v>
      </c>
      <c r="K32" s="12">
        <f t="shared" si="1"/>
        <v>1</v>
      </c>
      <c r="L32" s="12">
        <v>1.0</v>
      </c>
      <c r="M32" s="12">
        <f t="shared" si="2"/>
        <v>0</v>
      </c>
      <c r="N32" s="14">
        <v>43877.0</v>
      </c>
      <c r="O32" s="14">
        <v>43887.0</v>
      </c>
      <c r="P32" s="12">
        <f t="shared" si="3"/>
        <v>10</v>
      </c>
      <c r="Q32" s="12">
        <v>90.0</v>
      </c>
      <c r="R32" s="12">
        <f t="shared" si="4"/>
        <v>-80</v>
      </c>
      <c r="S32" s="12" t="s">
        <v>239</v>
      </c>
      <c r="T32" s="12" t="s">
        <v>240</v>
      </c>
      <c r="U32" s="12" t="s">
        <v>117</v>
      </c>
      <c r="V32" s="12" t="s">
        <v>132</v>
      </c>
      <c r="W32" s="12" t="s">
        <v>133</v>
      </c>
      <c r="X32" s="12" t="s">
        <v>164</v>
      </c>
      <c r="Y32" s="12">
        <v>2024.0</v>
      </c>
      <c r="Z32" s="12" t="s">
        <v>135</v>
      </c>
      <c r="AA32" s="12">
        <v>2498.0</v>
      </c>
      <c r="AB32" s="12">
        <v>16.0</v>
      </c>
      <c r="AC32" s="12">
        <v>4.0</v>
      </c>
      <c r="AD32" s="15">
        <v>365565.22</v>
      </c>
      <c r="AE32" s="15">
        <v>71993.18</v>
      </c>
      <c r="AF32" s="16">
        <v>0.2</v>
      </c>
      <c r="AG32" s="15">
        <v>13946.58</v>
      </c>
      <c r="AH32" s="15">
        <v>1986.0</v>
      </c>
      <c r="AI32" s="12">
        <v>7.75</v>
      </c>
      <c r="AJ32" s="15">
        <v>168160.0</v>
      </c>
      <c r="AK32" s="12">
        <v>46.0</v>
      </c>
      <c r="AL32" s="14">
        <v>43887.0</v>
      </c>
      <c r="AM32" s="14">
        <v>45714.0</v>
      </c>
      <c r="AN32" s="12">
        <v>60.0</v>
      </c>
      <c r="AO32" s="12">
        <v>5000.0</v>
      </c>
      <c r="AP32" s="12">
        <v>220000.0</v>
      </c>
      <c r="AQ32" s="14">
        <v>46053.0</v>
      </c>
      <c r="AR32" s="12">
        <v>39839.0</v>
      </c>
      <c r="AS32" s="12">
        <v>41132.0</v>
      </c>
      <c r="AT32" s="12">
        <v>1293.0</v>
      </c>
      <c r="AU32" s="12">
        <v>40716.0</v>
      </c>
      <c r="AV32" s="12">
        <v>2714.0</v>
      </c>
      <c r="AW32" s="15">
        <v>5572.74</v>
      </c>
      <c r="AX32" s="15">
        <v>2000.0</v>
      </c>
      <c r="AY32" s="15">
        <v>125.0</v>
      </c>
      <c r="AZ32" s="15">
        <v>290.99</v>
      </c>
      <c r="BA32" s="15">
        <v>1089.17</v>
      </c>
      <c r="BB32" s="15">
        <v>9077.9</v>
      </c>
      <c r="BC32" s="15">
        <v>1361.69</v>
      </c>
      <c r="BD32" s="15">
        <v>10439.59</v>
      </c>
      <c r="BE32" s="14">
        <v>45748.0</v>
      </c>
      <c r="BF32" s="14">
        <v>45838.0</v>
      </c>
      <c r="BG32" s="12">
        <v>36303.0</v>
      </c>
      <c r="BH32" s="12">
        <v>41132.0</v>
      </c>
      <c r="BI32" s="12">
        <v>4829.0</v>
      </c>
      <c r="BJ32" s="12">
        <v>15000.0</v>
      </c>
      <c r="BK32" s="12">
        <v>-10171.0</v>
      </c>
      <c r="BL32" s="15">
        <v>0.46</v>
      </c>
      <c r="BM32" s="15">
        <v>0.9</v>
      </c>
      <c r="BN32" s="15">
        <v>0.0</v>
      </c>
      <c r="BO32" s="15">
        <v>0.0</v>
      </c>
      <c r="BP32" s="15">
        <v>0.0</v>
      </c>
      <c r="BQ32" s="15">
        <v>-610.26</v>
      </c>
      <c r="BR32" s="15">
        <v>0.0</v>
      </c>
      <c r="BS32" s="15">
        <v>4300.0</v>
      </c>
      <c r="BT32" s="15">
        <v>0.0</v>
      </c>
      <c r="BU32" s="15">
        <v>0.0</v>
      </c>
      <c r="BV32" s="15">
        <v>0.0</v>
      </c>
      <c r="BW32" s="15">
        <v>0.0</v>
      </c>
      <c r="BX32" s="15">
        <v>0.0</v>
      </c>
      <c r="BY32" s="15">
        <v>1594.68</v>
      </c>
      <c r="BZ32" s="12">
        <v>0.0</v>
      </c>
      <c r="CA32" s="15">
        <v>0.0</v>
      </c>
      <c r="CB32" s="12">
        <v>0.0</v>
      </c>
      <c r="CC32" s="15">
        <v>0.0</v>
      </c>
      <c r="CD32" s="15">
        <v>0.0</v>
      </c>
      <c r="CE32" s="15">
        <v>4300.0</v>
      </c>
      <c r="CF32" s="15">
        <v>645.0</v>
      </c>
      <c r="CG32" s="15">
        <v>4945.0</v>
      </c>
      <c r="CH32" s="15">
        <v>10705.93</v>
      </c>
      <c r="CI32" s="15">
        <v>1396.43</v>
      </c>
      <c r="CJ32" s="15">
        <v>9309.5</v>
      </c>
      <c r="CK32" s="15">
        <v>7.2</v>
      </c>
      <c r="CL32" s="12">
        <v>37.0</v>
      </c>
      <c r="CM32" s="12">
        <v>0.0</v>
      </c>
      <c r="CN32" s="12">
        <v>0.0</v>
      </c>
      <c r="CO32" s="12">
        <v>100.0</v>
      </c>
      <c r="CP32" s="14"/>
      <c r="CQ32" s="12">
        <v>0.0</v>
      </c>
      <c r="CR32" s="12">
        <v>0.0</v>
      </c>
      <c r="CS32" s="12">
        <v>0.0</v>
      </c>
      <c r="CT32" s="12">
        <v>-38393.0</v>
      </c>
      <c r="CU32" s="14">
        <v>46721.0</v>
      </c>
      <c r="CV32" s="14">
        <v>46721.0</v>
      </c>
      <c r="CW32" s="12">
        <v>220416.0</v>
      </c>
      <c r="CX32" s="12" t="s">
        <v>122</v>
      </c>
      <c r="CY32" s="12" t="s">
        <v>123</v>
      </c>
      <c r="CZ32" s="15">
        <v>0.0</v>
      </c>
      <c r="DA32" s="15">
        <v>0.0</v>
      </c>
      <c r="DB32" s="15">
        <v>-15357.2</v>
      </c>
      <c r="DC32" s="15">
        <v>0.4</v>
      </c>
      <c r="DD32" s="15">
        <v>-4068.4</v>
      </c>
      <c r="DE32" s="15">
        <v>-4678.66</v>
      </c>
      <c r="DF32" s="12"/>
    </row>
    <row r="33" ht="13.5" customHeight="1">
      <c r="A33" s="12" t="s">
        <v>144</v>
      </c>
      <c r="B33" s="13">
        <v>43862.0</v>
      </c>
      <c r="C33" s="12" t="s">
        <v>124</v>
      </c>
      <c r="D33" s="12" t="s">
        <v>110</v>
      </c>
      <c r="E33" s="12" t="s">
        <v>111</v>
      </c>
      <c r="F33" s="12" t="s">
        <v>176</v>
      </c>
      <c r="G33" s="12" t="s">
        <v>140</v>
      </c>
      <c r="H33" s="12" t="s">
        <v>114</v>
      </c>
      <c r="I33" s="14">
        <v>43864.0</v>
      </c>
      <c r="J33" s="14">
        <v>43865.0</v>
      </c>
      <c r="K33" s="12">
        <f t="shared" si="1"/>
        <v>1</v>
      </c>
      <c r="L33" s="12">
        <v>1.0</v>
      </c>
      <c r="M33" s="12">
        <f t="shared" si="2"/>
        <v>0</v>
      </c>
      <c r="N33" s="14">
        <v>43878.0</v>
      </c>
      <c r="O33" s="14">
        <v>44101.0</v>
      </c>
      <c r="P33" s="12">
        <f t="shared" si="3"/>
        <v>223</v>
      </c>
      <c r="Q33" s="12">
        <v>90.0</v>
      </c>
      <c r="R33" s="12">
        <f t="shared" si="4"/>
        <v>133</v>
      </c>
      <c r="S33" s="12" t="s">
        <v>241</v>
      </c>
      <c r="T33" s="12" t="s">
        <v>242</v>
      </c>
      <c r="U33" s="12" t="s">
        <v>117</v>
      </c>
      <c r="V33" s="12" t="s">
        <v>207</v>
      </c>
      <c r="W33" s="12" t="s">
        <v>199</v>
      </c>
      <c r="X33" s="12" t="s">
        <v>225</v>
      </c>
      <c r="Y33" s="12">
        <v>2024.0</v>
      </c>
      <c r="Z33" s="12" t="s">
        <v>135</v>
      </c>
      <c r="AA33" s="12">
        <v>2498.0</v>
      </c>
      <c r="AB33" s="12">
        <v>16.0</v>
      </c>
      <c r="AC33" s="12">
        <v>9.0</v>
      </c>
      <c r="AD33" s="15">
        <v>628087.0</v>
      </c>
      <c r="AE33" s="15">
        <v>75370.44</v>
      </c>
      <c r="AF33" s="16">
        <v>0.12</v>
      </c>
      <c r="AG33" s="15">
        <v>24281.41</v>
      </c>
      <c r="AH33" s="15">
        <v>2603.0</v>
      </c>
      <c r="AI33" s="12">
        <v>7.75</v>
      </c>
      <c r="AJ33" s="15">
        <v>301482.0</v>
      </c>
      <c r="AK33" s="12">
        <v>48.0</v>
      </c>
      <c r="AL33" s="14">
        <v>44101.0</v>
      </c>
      <c r="AM33" s="14">
        <v>45927.0</v>
      </c>
      <c r="AN33" s="12">
        <v>60.0</v>
      </c>
      <c r="AO33" s="12">
        <v>2500.0</v>
      </c>
      <c r="AP33" s="12">
        <v>150000.0</v>
      </c>
      <c r="AQ33" s="14">
        <v>46053.0</v>
      </c>
      <c r="AR33" s="12">
        <v>38544.0</v>
      </c>
      <c r="AS33" s="12">
        <v>40742.0</v>
      </c>
      <c r="AT33" s="12">
        <v>2198.0</v>
      </c>
      <c r="AU33" s="12">
        <v>40118.0</v>
      </c>
      <c r="AV33" s="12">
        <v>2675.0</v>
      </c>
      <c r="AW33" s="15">
        <v>8136.71</v>
      </c>
      <c r="AX33" s="15">
        <v>1575.0</v>
      </c>
      <c r="AY33" s="15">
        <v>190.0</v>
      </c>
      <c r="AZ33" s="15">
        <v>290.99</v>
      </c>
      <c r="BA33" s="15">
        <v>1453.23</v>
      </c>
      <c r="BB33" s="15">
        <v>11645.93</v>
      </c>
      <c r="BC33" s="15">
        <v>1746.89</v>
      </c>
      <c r="BD33" s="15">
        <v>13392.82</v>
      </c>
      <c r="BE33" s="14">
        <v>45748.0</v>
      </c>
      <c r="BF33" s="14">
        <v>45838.0</v>
      </c>
      <c r="BG33" s="12">
        <v>32576.0</v>
      </c>
      <c r="BH33" s="12">
        <v>40742.0</v>
      </c>
      <c r="BI33" s="12">
        <v>8166.0</v>
      </c>
      <c r="BJ33" s="12">
        <v>7500.0</v>
      </c>
      <c r="BK33" s="12">
        <v>666.0</v>
      </c>
      <c r="BL33" s="15">
        <v>0.72</v>
      </c>
      <c r="BM33" s="15">
        <v>2.18</v>
      </c>
      <c r="BN33" s="15">
        <v>479.52</v>
      </c>
      <c r="BO33" s="15">
        <v>1451.88</v>
      </c>
      <c r="BP33" s="15">
        <v>1931.4</v>
      </c>
      <c r="BQ33" s="15">
        <v>289.71</v>
      </c>
      <c r="BR33" s="15">
        <v>2221.11</v>
      </c>
      <c r="BS33" s="15">
        <v>0.0</v>
      </c>
      <c r="BT33" s="15">
        <v>0.0</v>
      </c>
      <c r="BU33" s="15">
        <v>0.0</v>
      </c>
      <c r="BV33" s="15">
        <v>0.0</v>
      </c>
      <c r="BW33" s="15">
        <v>0.0</v>
      </c>
      <c r="BX33" s="15">
        <v>0.0</v>
      </c>
      <c r="BY33" s="15">
        <v>5347.64</v>
      </c>
      <c r="BZ33" s="12">
        <v>0.0</v>
      </c>
      <c r="CA33" s="15">
        <v>0.0</v>
      </c>
      <c r="CB33" s="12">
        <v>0.0</v>
      </c>
      <c r="CC33" s="15">
        <v>0.0</v>
      </c>
      <c r="CD33" s="15">
        <v>0.0</v>
      </c>
      <c r="CE33" s="15">
        <v>0.0</v>
      </c>
      <c r="CF33" s="15">
        <v>0.0</v>
      </c>
      <c r="CG33" s="15">
        <v>0.0</v>
      </c>
      <c r="CH33" s="15">
        <v>15613.93</v>
      </c>
      <c r="CI33" s="15">
        <v>2036.6</v>
      </c>
      <c r="CJ33" s="15">
        <v>13577.33</v>
      </c>
      <c r="CK33" s="15">
        <v>6.18</v>
      </c>
      <c r="CL33" s="12">
        <v>0.0</v>
      </c>
      <c r="CM33" s="12">
        <v>0.0</v>
      </c>
      <c r="CN33" s="12">
        <v>0.0</v>
      </c>
      <c r="CO33" s="12">
        <v>100.0</v>
      </c>
      <c r="CP33" s="14"/>
      <c r="CQ33" s="12">
        <v>0.0</v>
      </c>
      <c r="CR33" s="12">
        <v>0.0</v>
      </c>
      <c r="CS33" s="12">
        <v>0.0</v>
      </c>
      <c r="CT33" s="12">
        <v>399.0</v>
      </c>
      <c r="CU33" s="14">
        <v>47208.0</v>
      </c>
      <c r="CV33" s="14">
        <v>47208.0</v>
      </c>
      <c r="CW33" s="12">
        <v>150624.0</v>
      </c>
      <c r="CX33" s="12" t="s">
        <v>122</v>
      </c>
      <c r="CY33" s="12" t="s">
        <v>123</v>
      </c>
      <c r="CZ33" s="15">
        <v>7704.0</v>
      </c>
      <c r="DA33" s="15">
        <v>23326.0</v>
      </c>
      <c r="DB33" s="15">
        <v>-6489.63</v>
      </c>
      <c r="DC33" s="15">
        <v>0.63</v>
      </c>
      <c r="DD33" s="15">
        <v>0.0</v>
      </c>
      <c r="DE33" s="15">
        <v>0.0</v>
      </c>
      <c r="DF33" s="12"/>
    </row>
    <row r="34" ht="13.5" customHeight="1">
      <c r="A34" s="12" t="s">
        <v>144</v>
      </c>
      <c r="B34" s="13">
        <v>43862.0</v>
      </c>
      <c r="C34" s="12" t="s">
        <v>136</v>
      </c>
      <c r="D34" s="12" t="s">
        <v>125</v>
      </c>
      <c r="E34" s="12" t="s">
        <v>126</v>
      </c>
      <c r="F34" s="12" t="s">
        <v>176</v>
      </c>
      <c r="G34" s="12" t="s">
        <v>140</v>
      </c>
      <c r="H34" s="12" t="s">
        <v>129</v>
      </c>
      <c r="I34" s="14">
        <v>43865.0</v>
      </c>
      <c r="J34" s="14">
        <v>43866.0</v>
      </c>
      <c r="K34" s="12">
        <f t="shared" si="1"/>
        <v>1</v>
      </c>
      <c r="L34" s="12">
        <v>1.0</v>
      </c>
      <c r="M34" s="12">
        <f t="shared" si="2"/>
        <v>0</v>
      </c>
      <c r="N34" s="14">
        <v>43879.0</v>
      </c>
      <c r="O34" s="14">
        <v>43889.0</v>
      </c>
      <c r="P34" s="12">
        <f t="shared" si="3"/>
        <v>10</v>
      </c>
      <c r="Q34" s="12">
        <v>90.0</v>
      </c>
      <c r="R34" s="12">
        <f t="shared" si="4"/>
        <v>-80</v>
      </c>
      <c r="S34" s="12" t="s">
        <v>243</v>
      </c>
      <c r="T34" s="12" t="s">
        <v>244</v>
      </c>
      <c r="U34" s="12" t="s">
        <v>117</v>
      </c>
      <c r="V34" s="12" t="s">
        <v>207</v>
      </c>
      <c r="W34" s="12" t="s">
        <v>199</v>
      </c>
      <c r="X34" s="12" t="s">
        <v>225</v>
      </c>
      <c r="Y34" s="12">
        <v>2024.0</v>
      </c>
      <c r="Z34" s="12" t="s">
        <v>135</v>
      </c>
      <c r="AA34" s="12">
        <v>2498.0</v>
      </c>
      <c r="AB34" s="12">
        <v>16.0</v>
      </c>
      <c r="AC34" s="12">
        <v>7.0</v>
      </c>
      <c r="AD34" s="15">
        <v>628087.0</v>
      </c>
      <c r="AE34" s="15">
        <v>75370.44</v>
      </c>
      <c r="AF34" s="16">
        <v>0.12</v>
      </c>
      <c r="AG34" s="15">
        <v>24391.27</v>
      </c>
      <c r="AH34" s="15">
        <v>2621.0</v>
      </c>
      <c r="AI34" s="12">
        <v>7.75</v>
      </c>
      <c r="AJ34" s="15">
        <v>301482.0</v>
      </c>
      <c r="AK34" s="12">
        <v>48.0</v>
      </c>
      <c r="AL34" s="14">
        <v>43889.0</v>
      </c>
      <c r="AM34" s="14">
        <v>45716.0</v>
      </c>
      <c r="AN34" s="12">
        <v>60.0</v>
      </c>
      <c r="AO34" s="12">
        <v>2500.0</v>
      </c>
      <c r="AP34" s="12">
        <v>150000.0</v>
      </c>
      <c r="AQ34" s="14">
        <v>46053.0</v>
      </c>
      <c r="AR34" s="12">
        <v>28835.0</v>
      </c>
      <c r="AS34" s="12">
        <v>32286.0</v>
      </c>
      <c r="AT34" s="12">
        <v>3451.0</v>
      </c>
      <c r="AU34" s="12">
        <v>31670.0</v>
      </c>
      <c r="AV34" s="12">
        <v>2111.0</v>
      </c>
      <c r="AW34" s="15">
        <v>8493.29</v>
      </c>
      <c r="AX34" s="15">
        <v>1575.0</v>
      </c>
      <c r="AY34" s="15">
        <v>190.0</v>
      </c>
      <c r="AZ34" s="15">
        <v>290.99</v>
      </c>
      <c r="BA34" s="15">
        <v>1453.23</v>
      </c>
      <c r="BB34" s="15">
        <v>12002.51</v>
      </c>
      <c r="BC34" s="15">
        <v>1800.38</v>
      </c>
      <c r="BD34" s="15">
        <v>13802.89</v>
      </c>
      <c r="BE34" s="14">
        <v>45748.0</v>
      </c>
      <c r="BF34" s="14">
        <v>45838.0</v>
      </c>
      <c r="BG34" s="12">
        <v>19889.0</v>
      </c>
      <c r="BH34" s="12">
        <v>32286.0</v>
      </c>
      <c r="BI34" s="12">
        <v>12397.0</v>
      </c>
      <c r="BJ34" s="12">
        <v>7500.0</v>
      </c>
      <c r="BK34" s="12">
        <v>4897.0</v>
      </c>
      <c r="BL34" s="15">
        <v>0.72</v>
      </c>
      <c r="BM34" s="15">
        <v>2.18</v>
      </c>
      <c r="BN34" s="15">
        <v>3525.84</v>
      </c>
      <c r="BO34" s="15">
        <v>10675.46</v>
      </c>
      <c r="BP34" s="15">
        <v>14201.3</v>
      </c>
      <c r="BQ34" s="15">
        <v>2130.2</v>
      </c>
      <c r="BR34" s="15">
        <v>16331.5</v>
      </c>
      <c r="BS34" s="15">
        <v>0.0</v>
      </c>
      <c r="BT34" s="15">
        <v>0.0</v>
      </c>
      <c r="BU34" s="15">
        <v>0.0</v>
      </c>
      <c r="BV34" s="15">
        <v>0.0</v>
      </c>
      <c r="BW34" s="15">
        <v>0.0</v>
      </c>
      <c r="BX34" s="15">
        <v>0.0</v>
      </c>
      <c r="BY34" s="15">
        <v>10534.25</v>
      </c>
      <c r="BZ34" s="12">
        <v>0.0</v>
      </c>
      <c r="CA34" s="15">
        <v>0.0</v>
      </c>
      <c r="CB34" s="12">
        <v>0.0</v>
      </c>
      <c r="CC34" s="15">
        <v>0.0</v>
      </c>
      <c r="CD34" s="15">
        <v>0.0</v>
      </c>
      <c r="CE34" s="15">
        <v>0.0</v>
      </c>
      <c r="CF34" s="15">
        <v>0.0</v>
      </c>
      <c r="CG34" s="15">
        <v>0.0</v>
      </c>
      <c r="CH34" s="15">
        <v>30134.39</v>
      </c>
      <c r="CI34" s="15">
        <v>3930.58</v>
      </c>
      <c r="CJ34" s="15">
        <v>26203.81</v>
      </c>
      <c r="CK34" s="15">
        <v>7.59</v>
      </c>
      <c r="CL34" s="12">
        <v>0.0</v>
      </c>
      <c r="CM34" s="12">
        <v>0.0</v>
      </c>
      <c r="CN34" s="12">
        <v>0.0</v>
      </c>
      <c r="CO34" s="12">
        <v>100.0</v>
      </c>
      <c r="CP34" s="14"/>
      <c r="CQ34" s="12">
        <v>0.0</v>
      </c>
      <c r="CR34" s="12">
        <v>0.0</v>
      </c>
      <c r="CS34" s="12">
        <v>0.0</v>
      </c>
      <c r="CT34" s="12">
        <v>-8049.0</v>
      </c>
      <c r="CU34" s="14">
        <v>47208.0</v>
      </c>
      <c r="CV34" s="14">
        <v>47208.0</v>
      </c>
      <c r="CW34" s="12">
        <v>150616.0</v>
      </c>
      <c r="CX34" s="12" t="s">
        <v>122</v>
      </c>
      <c r="CY34" s="12" t="s">
        <v>123</v>
      </c>
      <c r="CZ34" s="15">
        <v>3525.84</v>
      </c>
      <c r="DA34" s="15">
        <v>10675.46</v>
      </c>
      <c r="DB34" s="15">
        <v>-8155.98</v>
      </c>
      <c r="DC34" s="15">
        <v>0.63</v>
      </c>
      <c r="DD34" s="15">
        <v>0.0</v>
      </c>
      <c r="DE34" s="15">
        <v>0.0</v>
      </c>
      <c r="DF34" s="12"/>
    </row>
    <row r="35" ht="13.5" customHeight="1">
      <c r="A35" s="12" t="s">
        <v>144</v>
      </c>
      <c r="B35" s="13">
        <v>43862.0</v>
      </c>
      <c r="C35" s="12" t="s">
        <v>109</v>
      </c>
      <c r="D35" s="12" t="s">
        <v>110</v>
      </c>
      <c r="E35" s="12" t="s">
        <v>111</v>
      </c>
      <c r="F35" s="12" t="s">
        <v>176</v>
      </c>
      <c r="G35" s="12" t="s">
        <v>140</v>
      </c>
      <c r="H35" s="12" t="s">
        <v>141</v>
      </c>
      <c r="I35" s="14">
        <v>43866.0</v>
      </c>
      <c r="J35" s="14">
        <v>43867.0</v>
      </c>
      <c r="K35" s="12">
        <f t="shared" si="1"/>
        <v>1</v>
      </c>
      <c r="L35" s="12">
        <v>1.0</v>
      </c>
      <c r="M35" s="12">
        <f t="shared" si="2"/>
        <v>0</v>
      </c>
      <c r="N35" s="14">
        <v>43880.0</v>
      </c>
      <c r="O35" s="14">
        <v>43890.0</v>
      </c>
      <c r="P35" s="12">
        <f t="shared" si="3"/>
        <v>10</v>
      </c>
      <c r="Q35" s="12">
        <v>90.0</v>
      </c>
      <c r="R35" s="12">
        <f t="shared" si="4"/>
        <v>-80</v>
      </c>
      <c r="S35" s="12" t="s">
        <v>245</v>
      </c>
      <c r="T35" s="12" t="s">
        <v>246</v>
      </c>
      <c r="U35" s="12" t="s">
        <v>117</v>
      </c>
      <c r="V35" s="12" t="s">
        <v>207</v>
      </c>
      <c r="W35" s="12" t="s">
        <v>199</v>
      </c>
      <c r="X35" s="12" t="s">
        <v>225</v>
      </c>
      <c r="Y35" s="12">
        <v>2024.0</v>
      </c>
      <c r="Z35" s="12" t="s">
        <v>135</v>
      </c>
      <c r="AA35" s="12">
        <v>2498.0</v>
      </c>
      <c r="AB35" s="12">
        <v>16.0</v>
      </c>
      <c r="AC35" s="12">
        <v>2.0</v>
      </c>
      <c r="AD35" s="15">
        <v>592067.0</v>
      </c>
      <c r="AE35" s="15">
        <v>95248.0</v>
      </c>
      <c r="AF35" s="16">
        <v>0.16</v>
      </c>
      <c r="AG35" s="15">
        <v>24242.28</v>
      </c>
      <c r="AH35" s="15">
        <v>2715.5</v>
      </c>
      <c r="AI35" s="12">
        <v>7.75</v>
      </c>
      <c r="AJ35" s="15">
        <v>284192.0</v>
      </c>
      <c r="AK35" s="12">
        <v>58.2</v>
      </c>
      <c r="AL35" s="14">
        <v>43890.0</v>
      </c>
      <c r="AM35" s="14" t="s">
        <v>247</v>
      </c>
      <c r="AN35" s="12">
        <v>60.0</v>
      </c>
      <c r="AO35" s="12">
        <v>2500.0</v>
      </c>
      <c r="AP35" s="12">
        <v>142725.0</v>
      </c>
      <c r="AQ35" s="14">
        <v>46081.0</v>
      </c>
      <c r="AR35" s="12">
        <v>15238.0</v>
      </c>
      <c r="AS35" s="12">
        <v>15360.0</v>
      </c>
      <c r="AT35" s="12">
        <v>122.0</v>
      </c>
      <c r="AU35" s="12">
        <v>14718.0</v>
      </c>
      <c r="AV35" s="12">
        <v>981.0</v>
      </c>
      <c r="AW35" s="15">
        <v>7623.68</v>
      </c>
      <c r="AX35" s="15">
        <v>1626.92</v>
      </c>
      <c r="AY35" s="15">
        <v>190.0</v>
      </c>
      <c r="AZ35" s="15">
        <v>290.99</v>
      </c>
      <c r="BA35" s="15">
        <v>1438.02</v>
      </c>
      <c r="BB35" s="15">
        <v>11169.61</v>
      </c>
      <c r="BC35" s="15">
        <v>1675.44</v>
      </c>
      <c r="BD35" s="15">
        <v>12845.05</v>
      </c>
      <c r="BE35" s="14">
        <v>45748.0</v>
      </c>
      <c r="BF35" s="14">
        <v>45838.0</v>
      </c>
      <c r="BG35" s="12">
        <v>14927.0</v>
      </c>
      <c r="BH35" s="12">
        <v>15360.0</v>
      </c>
      <c r="BI35" s="12">
        <v>433.0</v>
      </c>
      <c r="BJ35" s="12">
        <v>7500.0</v>
      </c>
      <c r="BK35" s="12">
        <v>-7067.0</v>
      </c>
      <c r="BL35" s="15">
        <v>0.72</v>
      </c>
      <c r="BM35" s="15">
        <v>2.15</v>
      </c>
      <c r="BN35" s="15">
        <v>0.0</v>
      </c>
      <c r="BO35" s="15">
        <v>0.0</v>
      </c>
      <c r="BP35" s="15">
        <v>0.0</v>
      </c>
      <c r="BQ35" s="15">
        <v>-667.83</v>
      </c>
      <c r="BR35" s="15">
        <v>0.0</v>
      </c>
      <c r="BS35" s="15">
        <v>0.0</v>
      </c>
      <c r="BT35" s="15">
        <v>0.0</v>
      </c>
      <c r="BU35" s="15">
        <v>0.0</v>
      </c>
      <c r="BV35" s="15">
        <v>0.0</v>
      </c>
      <c r="BW35" s="15">
        <v>0.0</v>
      </c>
      <c r="BX35" s="15">
        <v>0.0</v>
      </c>
      <c r="BY35" s="15">
        <v>0.0</v>
      </c>
      <c r="BZ35" s="12">
        <v>0.0</v>
      </c>
      <c r="CA35" s="15">
        <v>0.0</v>
      </c>
      <c r="CB35" s="12">
        <v>0.0</v>
      </c>
      <c r="CC35" s="15">
        <v>0.0</v>
      </c>
      <c r="CD35" s="15">
        <v>0.0</v>
      </c>
      <c r="CE35" s="15">
        <v>0.0</v>
      </c>
      <c r="CF35" s="15">
        <v>0.0</v>
      </c>
      <c r="CG35" s="15">
        <v>0.0</v>
      </c>
      <c r="CH35" s="15">
        <v>7725.01</v>
      </c>
      <c r="CI35" s="15">
        <v>1007.61</v>
      </c>
      <c r="CJ35" s="15">
        <v>6717.4</v>
      </c>
      <c r="CK35" s="15">
        <v>55.06</v>
      </c>
      <c r="CL35" s="12">
        <v>0.0</v>
      </c>
      <c r="CM35" s="12">
        <v>0.0</v>
      </c>
      <c r="CN35" s="12">
        <v>0.0</v>
      </c>
      <c r="CO35" s="12">
        <v>100.0</v>
      </c>
      <c r="CP35" s="14"/>
      <c r="CQ35" s="12">
        <v>0.0</v>
      </c>
      <c r="CR35" s="12">
        <v>0.0</v>
      </c>
      <c r="CS35" s="12">
        <v>0.0</v>
      </c>
      <c r="CT35" s="12">
        <v>-24343.0</v>
      </c>
      <c r="CU35" s="14">
        <v>47208.0</v>
      </c>
      <c r="CV35" s="14">
        <v>47208.0</v>
      </c>
      <c r="CW35" s="12">
        <v>143367.0</v>
      </c>
      <c r="CX35" s="12" t="s">
        <v>122</v>
      </c>
      <c r="CY35" s="12" t="s">
        <v>123</v>
      </c>
      <c r="CZ35" s="15">
        <v>0.0</v>
      </c>
      <c r="DA35" s="15">
        <v>0.0</v>
      </c>
      <c r="DB35" s="15">
        <v>-15477.84</v>
      </c>
      <c r="DC35" s="15">
        <v>0.63</v>
      </c>
      <c r="DD35" s="15">
        <v>-4452.21</v>
      </c>
      <c r="DE35" s="15">
        <v>-5120.04</v>
      </c>
      <c r="DF35" s="12"/>
    </row>
    <row r="36" ht="13.5" customHeight="1">
      <c r="A36" s="12" t="s">
        <v>157</v>
      </c>
      <c r="B36" s="13">
        <v>43862.0</v>
      </c>
      <c r="C36" s="12" t="s">
        <v>124</v>
      </c>
      <c r="D36" s="12" t="s">
        <v>125</v>
      </c>
      <c r="E36" s="12" t="s">
        <v>126</v>
      </c>
      <c r="F36" s="12" t="s">
        <v>176</v>
      </c>
      <c r="G36" s="12" t="s">
        <v>140</v>
      </c>
      <c r="H36" s="12" t="s">
        <v>114</v>
      </c>
      <c r="I36" s="14">
        <v>43867.0</v>
      </c>
      <c r="J36" s="14">
        <v>43868.0</v>
      </c>
      <c r="K36" s="12">
        <f t="shared" si="1"/>
        <v>1</v>
      </c>
      <c r="L36" s="12">
        <v>1.0</v>
      </c>
      <c r="M36" s="12">
        <f t="shared" si="2"/>
        <v>0</v>
      </c>
      <c r="N36" s="14">
        <v>43881.0</v>
      </c>
      <c r="O36" s="14">
        <v>43891.0</v>
      </c>
      <c r="P36" s="12">
        <f t="shared" si="3"/>
        <v>10</v>
      </c>
      <c r="Q36" s="12">
        <v>90.0</v>
      </c>
      <c r="R36" s="12">
        <f t="shared" si="4"/>
        <v>-80</v>
      </c>
      <c r="S36" s="12" t="s">
        <v>248</v>
      </c>
      <c r="T36" s="12" t="s">
        <v>249</v>
      </c>
      <c r="U36" s="12" t="s">
        <v>117</v>
      </c>
      <c r="V36" s="12" t="s">
        <v>207</v>
      </c>
      <c r="W36" s="12" t="s">
        <v>199</v>
      </c>
      <c r="X36" s="12" t="s">
        <v>225</v>
      </c>
      <c r="Y36" s="12">
        <v>2024.0</v>
      </c>
      <c r="Z36" s="12" t="s">
        <v>135</v>
      </c>
      <c r="AA36" s="12">
        <v>2498.0</v>
      </c>
      <c r="AB36" s="12">
        <v>16.0</v>
      </c>
      <c r="AC36" s="12">
        <v>0.0</v>
      </c>
      <c r="AD36" s="15">
        <v>628087.0</v>
      </c>
      <c r="AE36" s="15">
        <v>75370.44</v>
      </c>
      <c r="AF36" s="16">
        <v>0.12</v>
      </c>
      <c r="AG36" s="15">
        <v>24528.21</v>
      </c>
      <c r="AH36" s="15">
        <v>3171.0</v>
      </c>
      <c r="AI36" s="12">
        <v>7.75</v>
      </c>
      <c r="AJ36" s="15">
        <v>301482.0</v>
      </c>
      <c r="AK36" s="12">
        <v>48.0</v>
      </c>
      <c r="AL36" s="14">
        <v>43891.0</v>
      </c>
      <c r="AM36" s="14">
        <v>45717.0</v>
      </c>
      <c r="AN36" s="12">
        <v>60.0</v>
      </c>
      <c r="AO36" s="12">
        <v>2500.0</v>
      </c>
      <c r="AP36" s="12">
        <v>150000.0</v>
      </c>
      <c r="AQ36" s="14">
        <v>46081.0</v>
      </c>
      <c r="AR36" s="12">
        <v>14667.0</v>
      </c>
      <c r="AS36" s="12">
        <v>17658.0</v>
      </c>
      <c r="AT36" s="12">
        <v>2991.0</v>
      </c>
      <c r="AU36" s="12">
        <v>17032.0</v>
      </c>
      <c r="AV36" s="12">
        <v>1135.0</v>
      </c>
      <c r="AW36" s="15">
        <v>8314.36</v>
      </c>
      <c r="AX36" s="15">
        <v>1575.0</v>
      </c>
      <c r="AY36" s="15">
        <v>190.0</v>
      </c>
      <c r="AZ36" s="15">
        <v>290.99</v>
      </c>
      <c r="BA36" s="15">
        <v>1453.23</v>
      </c>
      <c r="BB36" s="15">
        <v>11823.58</v>
      </c>
      <c r="BC36" s="15">
        <v>1773.54</v>
      </c>
      <c r="BD36" s="15">
        <v>13597.12</v>
      </c>
      <c r="BE36" s="14">
        <v>45748.0</v>
      </c>
      <c r="BF36" s="14">
        <v>45838.0</v>
      </c>
      <c r="BG36" s="12">
        <v>10974.0</v>
      </c>
      <c r="BH36" s="12">
        <v>17658.0</v>
      </c>
      <c r="BI36" s="12">
        <v>6684.0</v>
      </c>
      <c r="BJ36" s="12">
        <v>7500.0</v>
      </c>
      <c r="BK36" s="12">
        <v>-816.0</v>
      </c>
      <c r="BL36" s="15">
        <v>0.72</v>
      </c>
      <c r="BM36" s="15">
        <v>2.18</v>
      </c>
      <c r="BN36" s="15">
        <v>0.0</v>
      </c>
      <c r="BO36" s="15">
        <v>0.0</v>
      </c>
      <c r="BP36" s="15">
        <v>0.0</v>
      </c>
      <c r="BQ36" s="15">
        <v>-77.11</v>
      </c>
      <c r="BR36" s="15">
        <v>0.0</v>
      </c>
      <c r="BS36" s="15">
        <v>0.0</v>
      </c>
      <c r="BT36" s="15">
        <v>0.0</v>
      </c>
      <c r="BU36" s="15">
        <v>0.0</v>
      </c>
      <c r="BV36" s="15">
        <v>0.0</v>
      </c>
      <c r="BW36" s="15">
        <v>0.0</v>
      </c>
      <c r="BX36" s="15">
        <v>0.0</v>
      </c>
      <c r="BY36" s="15">
        <v>7486.92</v>
      </c>
      <c r="BZ36" s="12">
        <v>0.0</v>
      </c>
      <c r="CA36" s="15">
        <v>0.0</v>
      </c>
      <c r="CB36" s="12">
        <v>0.0</v>
      </c>
      <c r="CC36" s="15">
        <v>0.0</v>
      </c>
      <c r="CD36" s="15">
        <v>0.0</v>
      </c>
      <c r="CE36" s="15">
        <v>0.0</v>
      </c>
      <c r="CF36" s="15">
        <v>0.0</v>
      </c>
      <c r="CG36" s="15">
        <v>0.0</v>
      </c>
      <c r="CH36" s="15">
        <v>13005.93</v>
      </c>
      <c r="CI36" s="15">
        <v>1696.43</v>
      </c>
      <c r="CJ36" s="15">
        <v>11309.5</v>
      </c>
      <c r="CK36" s="15">
        <v>3.78</v>
      </c>
      <c r="CL36" s="12">
        <v>0.0</v>
      </c>
      <c r="CM36" s="12">
        <v>0.0</v>
      </c>
      <c r="CN36" s="12">
        <v>0.0</v>
      </c>
      <c r="CO36" s="12">
        <v>100.0</v>
      </c>
      <c r="CP36" s="14"/>
      <c r="CQ36" s="12">
        <v>0.0</v>
      </c>
      <c r="CR36" s="12">
        <v>0.0</v>
      </c>
      <c r="CS36" s="12">
        <v>0.0</v>
      </c>
      <c r="CT36" s="12">
        <v>-21618.0</v>
      </c>
      <c r="CU36" s="14">
        <v>47208.0</v>
      </c>
      <c r="CV36" s="14">
        <v>47208.0</v>
      </c>
      <c r="CW36" s="12">
        <v>150626.0</v>
      </c>
      <c r="CX36" s="12" t="s">
        <v>122</v>
      </c>
      <c r="CY36" s="12" t="s">
        <v>123</v>
      </c>
      <c r="CZ36" s="15">
        <v>0.0</v>
      </c>
      <c r="DA36" s="15">
        <v>0.0</v>
      </c>
      <c r="DB36" s="15">
        <v>-13619.34</v>
      </c>
      <c r="DC36" s="15">
        <v>0.63</v>
      </c>
      <c r="DD36" s="15">
        <v>-514.08</v>
      </c>
      <c r="DE36" s="15">
        <v>-591.19</v>
      </c>
      <c r="DF36" s="12"/>
    </row>
    <row r="37" ht="13.5" customHeight="1">
      <c r="A37" s="12" t="s">
        <v>157</v>
      </c>
      <c r="B37" s="13">
        <v>43862.0</v>
      </c>
      <c r="C37" s="12" t="s">
        <v>136</v>
      </c>
      <c r="D37" s="12" t="s">
        <v>137</v>
      </c>
      <c r="E37" s="12" t="s">
        <v>138</v>
      </c>
      <c r="F37" s="12" t="s">
        <v>172</v>
      </c>
      <c r="G37" s="12" t="s">
        <v>140</v>
      </c>
      <c r="H37" s="12" t="s">
        <v>129</v>
      </c>
      <c r="I37" s="14">
        <v>43868.0</v>
      </c>
      <c r="J37" s="14">
        <v>43869.0</v>
      </c>
      <c r="K37" s="12">
        <f t="shared" si="1"/>
        <v>1</v>
      </c>
      <c r="L37" s="12">
        <v>1.0</v>
      </c>
      <c r="M37" s="12">
        <f t="shared" si="2"/>
        <v>0</v>
      </c>
      <c r="N37" s="14">
        <v>43882.0</v>
      </c>
      <c r="O37" s="14">
        <v>43892.0</v>
      </c>
      <c r="P37" s="12">
        <f t="shared" si="3"/>
        <v>10</v>
      </c>
      <c r="Q37" s="12">
        <v>90.0</v>
      </c>
      <c r="R37" s="12">
        <f t="shared" si="4"/>
        <v>-80</v>
      </c>
      <c r="S37" s="12" t="s">
        <v>250</v>
      </c>
      <c r="T37" s="12" t="s">
        <v>251</v>
      </c>
      <c r="U37" s="12" t="s">
        <v>117</v>
      </c>
      <c r="V37" s="12" t="s">
        <v>207</v>
      </c>
      <c r="W37" s="12" t="s">
        <v>221</v>
      </c>
      <c r="X37" s="12" t="s">
        <v>252</v>
      </c>
      <c r="Y37" s="12">
        <v>2024.0</v>
      </c>
      <c r="Z37" s="12" t="s">
        <v>135</v>
      </c>
      <c r="AA37" s="12">
        <v>2198.0</v>
      </c>
      <c r="AB37" s="12">
        <v>16.0</v>
      </c>
      <c r="AC37" s="12">
        <v>12.0</v>
      </c>
      <c r="AD37" s="15">
        <v>782173.91</v>
      </c>
      <c r="AE37" s="15">
        <v>69395.65</v>
      </c>
      <c r="AF37" s="16">
        <v>0.09</v>
      </c>
      <c r="AG37" s="15">
        <v>9991.96</v>
      </c>
      <c r="AH37" s="15">
        <v>2310.0</v>
      </c>
      <c r="AI37" s="12">
        <v>7.75</v>
      </c>
      <c r="AJ37" s="15">
        <v>302090.0</v>
      </c>
      <c r="AK37" s="12">
        <v>38.62</v>
      </c>
      <c r="AL37" s="14">
        <v>43892.0</v>
      </c>
      <c r="AM37" s="14">
        <v>45718.0</v>
      </c>
      <c r="AN37" s="12">
        <v>60.0</v>
      </c>
      <c r="AO37" s="12">
        <v>4000.0</v>
      </c>
      <c r="AP37" s="12">
        <v>220000.0</v>
      </c>
      <c r="AQ37" s="14">
        <v>46081.0</v>
      </c>
      <c r="AR37" s="12">
        <v>76515.0</v>
      </c>
      <c r="AS37" s="12">
        <v>81977.0</v>
      </c>
      <c r="AT37" s="12">
        <v>5462.0</v>
      </c>
      <c r="AU37" s="12">
        <v>81331.0</v>
      </c>
      <c r="AV37" s="12">
        <v>5422.0</v>
      </c>
      <c r="AW37" s="15">
        <v>12182.34</v>
      </c>
      <c r="AX37" s="15">
        <v>2520.0</v>
      </c>
      <c r="AY37" s="15">
        <v>190.0</v>
      </c>
      <c r="AZ37" s="15">
        <v>291.0</v>
      </c>
      <c r="BA37" s="15">
        <v>1522.99</v>
      </c>
      <c r="BB37" s="15">
        <v>16706.33</v>
      </c>
      <c r="BC37" s="15">
        <v>2505.95</v>
      </c>
      <c r="BD37" s="15">
        <v>19212.28</v>
      </c>
      <c r="BE37" s="14">
        <v>45748.0</v>
      </c>
      <c r="BF37" s="14">
        <v>45838.0</v>
      </c>
      <c r="BG37" s="12">
        <v>65171.0</v>
      </c>
      <c r="BH37" s="12">
        <v>81977.0</v>
      </c>
      <c r="BI37" s="12">
        <v>16806.0</v>
      </c>
      <c r="BJ37" s="12">
        <v>12000.0</v>
      </c>
      <c r="BK37" s="12">
        <v>4806.0</v>
      </c>
      <c r="BL37" s="15">
        <v>0.72</v>
      </c>
      <c r="BM37" s="15">
        <v>2.18</v>
      </c>
      <c r="BN37" s="15">
        <v>3460.32</v>
      </c>
      <c r="BO37" s="15">
        <v>10477.08</v>
      </c>
      <c r="BP37" s="15">
        <v>13937.4</v>
      </c>
      <c r="BQ37" s="15">
        <v>2090.61</v>
      </c>
      <c r="BR37" s="15">
        <v>16028.01</v>
      </c>
      <c r="BS37" s="15">
        <v>0.0</v>
      </c>
      <c r="BT37" s="15">
        <v>0.0</v>
      </c>
      <c r="BU37" s="15">
        <v>0.0</v>
      </c>
      <c r="BV37" s="15">
        <v>0.0</v>
      </c>
      <c r="BW37" s="15">
        <v>0.0</v>
      </c>
      <c r="BX37" s="15">
        <v>0.0</v>
      </c>
      <c r="BY37" s="15">
        <v>12321.1</v>
      </c>
      <c r="BZ37" s="12">
        <v>0.0</v>
      </c>
      <c r="CA37" s="15">
        <v>0.0</v>
      </c>
      <c r="CB37" s="12">
        <v>0.0</v>
      </c>
      <c r="CC37" s="15">
        <v>0.0</v>
      </c>
      <c r="CD37" s="15">
        <v>0.0</v>
      </c>
      <c r="CE37" s="15">
        <v>0.0</v>
      </c>
      <c r="CF37" s="15">
        <v>0.0</v>
      </c>
      <c r="CG37" s="15">
        <v>0.0</v>
      </c>
      <c r="CH37" s="15">
        <v>35240.29</v>
      </c>
      <c r="CI37" s="15">
        <v>4596.56</v>
      </c>
      <c r="CJ37" s="15">
        <v>30643.73</v>
      </c>
      <c r="CK37" s="15">
        <v>5.61</v>
      </c>
      <c r="CL37" s="12">
        <v>0.0</v>
      </c>
      <c r="CM37" s="12">
        <v>0.0</v>
      </c>
      <c r="CN37" s="12">
        <v>0.0</v>
      </c>
      <c r="CO37" s="12">
        <v>100.0</v>
      </c>
      <c r="CP37" s="14"/>
      <c r="CQ37" s="12">
        <v>0.0</v>
      </c>
      <c r="CR37" s="12">
        <v>0.0</v>
      </c>
      <c r="CS37" s="12">
        <v>0.0</v>
      </c>
      <c r="CT37" s="12">
        <v>19490.0</v>
      </c>
      <c r="CU37" s="14">
        <v>47057.0</v>
      </c>
      <c r="CV37" s="14">
        <v>47057.0</v>
      </c>
      <c r="CW37" s="12">
        <v>220646.0</v>
      </c>
      <c r="CX37" s="12" t="s">
        <v>122</v>
      </c>
      <c r="CY37" s="12" t="s">
        <v>123</v>
      </c>
      <c r="CZ37" s="15">
        <v>17626.32</v>
      </c>
      <c r="DA37" s="15">
        <v>53368.58</v>
      </c>
      <c r="DB37" s="15">
        <v>-3427.83</v>
      </c>
      <c r="DC37" s="15">
        <v>0.63</v>
      </c>
      <c r="DD37" s="15">
        <v>0.0</v>
      </c>
      <c r="DE37" s="15">
        <v>0.0</v>
      </c>
      <c r="DF37" s="12"/>
    </row>
    <row r="38" ht="13.5" customHeight="1">
      <c r="A38" s="12" t="s">
        <v>157</v>
      </c>
      <c r="B38" s="13">
        <v>43862.0</v>
      </c>
      <c r="C38" s="12" t="s">
        <v>109</v>
      </c>
      <c r="D38" s="12" t="s">
        <v>110</v>
      </c>
      <c r="E38" s="12" t="s">
        <v>111</v>
      </c>
      <c r="F38" s="12" t="s">
        <v>176</v>
      </c>
      <c r="G38" s="12" t="s">
        <v>140</v>
      </c>
      <c r="H38" s="12" t="s">
        <v>141</v>
      </c>
      <c r="I38" s="14">
        <v>43869.0</v>
      </c>
      <c r="J38" s="14">
        <v>43873.0</v>
      </c>
      <c r="K38" s="12">
        <f t="shared" si="1"/>
        <v>4</v>
      </c>
      <c r="L38" s="12">
        <v>1.0</v>
      </c>
      <c r="M38" s="12">
        <f t="shared" si="2"/>
        <v>3</v>
      </c>
      <c r="N38" s="14">
        <v>43883.0</v>
      </c>
      <c r="O38" s="14">
        <v>43893.0</v>
      </c>
      <c r="P38" s="12">
        <f t="shared" si="3"/>
        <v>10</v>
      </c>
      <c r="Q38" s="12">
        <v>90.0</v>
      </c>
      <c r="R38" s="12">
        <f t="shared" si="4"/>
        <v>-80</v>
      </c>
      <c r="S38" s="12" t="s">
        <v>253</v>
      </c>
      <c r="T38" s="12" t="s">
        <v>254</v>
      </c>
      <c r="U38" s="12" t="s">
        <v>117</v>
      </c>
      <c r="V38" s="12" t="s">
        <v>207</v>
      </c>
      <c r="W38" s="12" t="s">
        <v>199</v>
      </c>
      <c r="X38" s="12" t="s">
        <v>225</v>
      </c>
      <c r="Y38" s="12">
        <v>2024.0</v>
      </c>
      <c r="Z38" s="12" t="s">
        <v>135</v>
      </c>
      <c r="AA38" s="12">
        <v>2498.0</v>
      </c>
      <c r="AB38" s="12">
        <v>16.0</v>
      </c>
      <c r="AC38" s="12">
        <v>4.0</v>
      </c>
      <c r="AD38" s="15">
        <v>628087.0</v>
      </c>
      <c r="AE38" s="15">
        <v>75370.44</v>
      </c>
      <c r="AF38" s="16">
        <v>0.12</v>
      </c>
      <c r="AG38" s="15">
        <v>24564.84</v>
      </c>
      <c r="AH38" s="15">
        <v>3200.0</v>
      </c>
      <c r="AI38" s="12">
        <v>7.75</v>
      </c>
      <c r="AJ38" s="15">
        <v>301482.0</v>
      </c>
      <c r="AK38" s="12">
        <v>48.0</v>
      </c>
      <c r="AL38" s="14">
        <v>43893.0</v>
      </c>
      <c r="AM38" s="14">
        <v>45719.0</v>
      </c>
      <c r="AN38" s="12">
        <v>60.0</v>
      </c>
      <c r="AO38" s="12">
        <v>2500.0</v>
      </c>
      <c r="AP38" s="12">
        <v>150000.0</v>
      </c>
      <c r="AQ38" s="14">
        <v>46081.0</v>
      </c>
      <c r="AR38" s="12">
        <v>16686.0</v>
      </c>
      <c r="AS38" s="12">
        <v>20306.0</v>
      </c>
      <c r="AT38" s="12">
        <v>3620.0</v>
      </c>
      <c r="AU38" s="12">
        <v>19660.0</v>
      </c>
      <c r="AV38" s="12">
        <v>1404.0</v>
      </c>
      <c r="AW38" s="15">
        <v>8506.46</v>
      </c>
      <c r="AX38" s="15">
        <v>1575.0</v>
      </c>
      <c r="AY38" s="15">
        <v>190.0</v>
      </c>
      <c r="AZ38" s="15">
        <v>290.99</v>
      </c>
      <c r="BA38" s="15">
        <v>1453.23</v>
      </c>
      <c r="BB38" s="15">
        <v>12015.68</v>
      </c>
      <c r="BC38" s="15">
        <v>1802.35</v>
      </c>
      <c r="BD38" s="15">
        <v>13818.03</v>
      </c>
      <c r="BE38" s="14">
        <v>45748.0</v>
      </c>
      <c r="BF38" s="14">
        <v>45838.0</v>
      </c>
      <c r="BG38" s="12">
        <v>14333.0</v>
      </c>
      <c r="BH38" s="12">
        <v>20306.0</v>
      </c>
      <c r="BI38" s="12">
        <v>5973.0</v>
      </c>
      <c r="BJ38" s="12">
        <v>7500.0</v>
      </c>
      <c r="BK38" s="12">
        <v>-1527.0</v>
      </c>
      <c r="BL38" s="15">
        <v>0.72</v>
      </c>
      <c r="BM38" s="15">
        <v>2.18</v>
      </c>
      <c r="BN38" s="15">
        <v>0.0</v>
      </c>
      <c r="BO38" s="15">
        <v>0.0</v>
      </c>
      <c r="BP38" s="15">
        <v>0.0</v>
      </c>
      <c r="BQ38" s="15">
        <v>-144.3</v>
      </c>
      <c r="BR38" s="15">
        <v>0.0</v>
      </c>
      <c r="BS38" s="15">
        <v>0.0</v>
      </c>
      <c r="BT38" s="15">
        <v>0.0</v>
      </c>
      <c r="BU38" s="15">
        <v>0.0</v>
      </c>
      <c r="BV38" s="15">
        <v>0.0</v>
      </c>
      <c r="BW38" s="15">
        <v>0.0</v>
      </c>
      <c r="BX38" s="15">
        <v>0.0</v>
      </c>
      <c r="BY38" s="15">
        <v>10523.51</v>
      </c>
      <c r="BZ38" s="12">
        <v>0.0</v>
      </c>
      <c r="CA38" s="15">
        <v>0.0</v>
      </c>
      <c r="CB38" s="12">
        <v>0.0</v>
      </c>
      <c r="CC38" s="15">
        <v>0.0</v>
      </c>
      <c r="CD38" s="15">
        <v>0.0</v>
      </c>
      <c r="CE38" s="15">
        <v>0.0</v>
      </c>
      <c r="CF38" s="15">
        <v>0.0</v>
      </c>
      <c r="CG38" s="15">
        <v>0.0</v>
      </c>
      <c r="CH38" s="15">
        <v>12711.72</v>
      </c>
      <c r="CI38" s="15">
        <v>1658.05</v>
      </c>
      <c r="CJ38" s="15">
        <v>11053.67</v>
      </c>
      <c r="CK38" s="15">
        <v>3.05</v>
      </c>
      <c r="CL38" s="12">
        <v>0.0</v>
      </c>
      <c r="CM38" s="12">
        <v>0.0</v>
      </c>
      <c r="CN38" s="12">
        <v>0.0</v>
      </c>
      <c r="CO38" s="12">
        <v>100.0</v>
      </c>
      <c r="CP38" s="14"/>
      <c r="CQ38" s="12">
        <v>0.0</v>
      </c>
      <c r="CR38" s="12">
        <v>0.0</v>
      </c>
      <c r="CS38" s="12">
        <v>0.0</v>
      </c>
      <c r="CT38" s="12">
        <v>-17559.0</v>
      </c>
      <c r="CU38" s="14">
        <v>47238.0</v>
      </c>
      <c r="CV38" s="14">
        <v>47238.0</v>
      </c>
      <c r="CW38" s="12">
        <v>150646.0</v>
      </c>
      <c r="CX38" s="12" t="s">
        <v>122</v>
      </c>
      <c r="CY38" s="12" t="s">
        <v>123</v>
      </c>
      <c r="CZ38" s="15">
        <v>0.0</v>
      </c>
      <c r="DA38" s="15">
        <v>0.0</v>
      </c>
      <c r="DB38" s="15">
        <v>-11062.17</v>
      </c>
      <c r="DC38" s="15">
        <v>0.63</v>
      </c>
      <c r="DD38" s="15">
        <v>-962.01</v>
      </c>
      <c r="DE38" s="15">
        <v>-1106.31</v>
      </c>
      <c r="DF38" s="12"/>
    </row>
    <row r="39" ht="13.5" customHeight="1">
      <c r="A39" s="12" t="s">
        <v>157</v>
      </c>
      <c r="B39" s="13">
        <v>43862.0</v>
      </c>
      <c r="C39" s="12" t="s">
        <v>124</v>
      </c>
      <c r="D39" s="12" t="s">
        <v>125</v>
      </c>
      <c r="E39" s="12" t="s">
        <v>126</v>
      </c>
      <c r="F39" s="12" t="s">
        <v>176</v>
      </c>
      <c r="G39" s="12" t="s">
        <v>140</v>
      </c>
      <c r="H39" s="12" t="s">
        <v>114</v>
      </c>
      <c r="I39" s="14">
        <v>43870.0</v>
      </c>
      <c r="J39" s="14">
        <v>43871.0</v>
      </c>
      <c r="K39" s="12">
        <f t="shared" si="1"/>
        <v>1</v>
      </c>
      <c r="L39" s="12">
        <v>1.0</v>
      </c>
      <c r="M39" s="12">
        <f t="shared" si="2"/>
        <v>0</v>
      </c>
      <c r="N39" s="14">
        <v>43884.0</v>
      </c>
      <c r="O39" s="14">
        <v>43986.0</v>
      </c>
      <c r="P39" s="12">
        <f t="shared" si="3"/>
        <v>102</v>
      </c>
      <c r="Q39" s="12">
        <v>90.0</v>
      </c>
      <c r="R39" s="12">
        <f t="shared" si="4"/>
        <v>12</v>
      </c>
      <c r="S39" s="12" t="s">
        <v>255</v>
      </c>
      <c r="T39" s="12" t="s">
        <v>256</v>
      </c>
      <c r="U39" s="12" t="s">
        <v>117</v>
      </c>
      <c r="V39" s="12" t="s">
        <v>132</v>
      </c>
      <c r="W39" s="12" t="s">
        <v>133</v>
      </c>
      <c r="X39" s="12" t="s">
        <v>164</v>
      </c>
      <c r="Y39" s="12">
        <v>2024.0</v>
      </c>
      <c r="Z39" s="12" t="s">
        <v>135</v>
      </c>
      <c r="AA39" s="12">
        <v>2498.0</v>
      </c>
      <c r="AB39" s="12">
        <v>16.0</v>
      </c>
      <c r="AC39" s="12">
        <v>0.0</v>
      </c>
      <c r="AD39" s="15">
        <v>365565.22</v>
      </c>
      <c r="AE39" s="15">
        <v>71993.18</v>
      </c>
      <c r="AF39" s="16">
        <v>0.2</v>
      </c>
      <c r="AG39" s="15">
        <v>31604.48</v>
      </c>
      <c r="AH39" s="15">
        <v>2297.0</v>
      </c>
      <c r="AI39" s="12">
        <v>7.75</v>
      </c>
      <c r="AJ39" s="15">
        <v>164504.0</v>
      </c>
      <c r="AK39" s="12">
        <v>45.0</v>
      </c>
      <c r="AL39" s="14">
        <v>43986.0</v>
      </c>
      <c r="AM39" s="14">
        <v>45812.0</v>
      </c>
      <c r="AN39" s="12">
        <v>60.0</v>
      </c>
      <c r="AO39" s="12">
        <v>2000.0</v>
      </c>
      <c r="AP39" s="12">
        <v>72000.0</v>
      </c>
      <c r="AQ39" s="14">
        <v>46081.0</v>
      </c>
      <c r="AR39" s="12">
        <v>20204.0</v>
      </c>
      <c r="AS39" s="12">
        <v>25962.0</v>
      </c>
      <c r="AT39" s="12">
        <v>5758.0</v>
      </c>
      <c r="AU39" s="12">
        <v>25360.0</v>
      </c>
      <c r="AV39" s="12">
        <v>1691.0</v>
      </c>
      <c r="AW39" s="15">
        <v>6947.39</v>
      </c>
      <c r="AX39" s="15">
        <v>1600.0</v>
      </c>
      <c r="AY39" s="15">
        <v>125.0</v>
      </c>
      <c r="AZ39" s="15">
        <v>291.0</v>
      </c>
      <c r="BA39" s="15">
        <v>1083.24</v>
      </c>
      <c r="BB39" s="15">
        <v>10046.63</v>
      </c>
      <c r="BC39" s="15">
        <v>1506.99</v>
      </c>
      <c r="BD39" s="15">
        <v>11553.62</v>
      </c>
      <c r="BE39" s="14">
        <v>45748.0</v>
      </c>
      <c r="BF39" s="14">
        <v>45838.0</v>
      </c>
      <c r="BG39" s="12">
        <v>12101.0</v>
      </c>
      <c r="BH39" s="12">
        <v>25962.0</v>
      </c>
      <c r="BI39" s="12">
        <v>13861.0</v>
      </c>
      <c r="BJ39" s="12">
        <v>6000.0</v>
      </c>
      <c r="BK39" s="12">
        <v>7861.0</v>
      </c>
      <c r="BL39" s="15">
        <v>0.92</v>
      </c>
      <c r="BM39" s="15">
        <v>2.79</v>
      </c>
      <c r="BN39" s="15">
        <v>7232.12</v>
      </c>
      <c r="BO39" s="15">
        <v>21932.19</v>
      </c>
      <c r="BP39" s="15">
        <v>29164.31</v>
      </c>
      <c r="BQ39" s="15">
        <v>4374.65</v>
      </c>
      <c r="BR39" s="15">
        <v>33538.96</v>
      </c>
      <c r="BS39" s="15">
        <v>0.0</v>
      </c>
      <c r="BT39" s="15">
        <v>0.0</v>
      </c>
      <c r="BU39" s="15">
        <v>0.0</v>
      </c>
      <c r="BV39" s="15">
        <v>0.0</v>
      </c>
      <c r="BW39" s="15">
        <v>0.0</v>
      </c>
      <c r="BX39" s="15">
        <v>0.0</v>
      </c>
      <c r="BY39" s="15">
        <v>10008.22</v>
      </c>
      <c r="BZ39" s="12">
        <v>0.0</v>
      </c>
      <c r="CA39" s="15">
        <v>70.0</v>
      </c>
      <c r="CB39" s="12">
        <v>0.0</v>
      </c>
      <c r="CC39" s="15">
        <v>0.0</v>
      </c>
      <c r="CD39" s="15">
        <v>0.0</v>
      </c>
      <c r="CE39" s="15">
        <v>0.0</v>
      </c>
      <c r="CF39" s="15">
        <v>0.0</v>
      </c>
      <c r="CG39" s="15">
        <v>0.0</v>
      </c>
      <c r="CH39" s="15">
        <v>45092.58</v>
      </c>
      <c r="CI39" s="15">
        <v>5881.64</v>
      </c>
      <c r="CJ39" s="15">
        <v>39210.94</v>
      </c>
      <c r="CK39" s="15">
        <v>6.81</v>
      </c>
      <c r="CL39" s="12">
        <v>0.0</v>
      </c>
      <c r="CM39" s="12">
        <v>0.0</v>
      </c>
      <c r="CN39" s="12">
        <v>0.0</v>
      </c>
      <c r="CO39" s="12">
        <v>100.0</v>
      </c>
      <c r="CP39" s="14"/>
      <c r="CQ39" s="12">
        <v>0.0</v>
      </c>
      <c r="CR39" s="12">
        <v>0.0</v>
      </c>
      <c r="CS39" s="12">
        <v>0.0</v>
      </c>
      <c r="CT39" s="12">
        <v>-4968.0</v>
      </c>
      <c r="CU39" s="14">
        <v>46477.0</v>
      </c>
      <c r="CV39" s="14">
        <v>46477.0</v>
      </c>
      <c r="CW39" s="12">
        <v>72602.0</v>
      </c>
      <c r="CX39" s="12" t="s">
        <v>122</v>
      </c>
      <c r="CY39" s="12" t="s">
        <v>123</v>
      </c>
      <c r="CZ39" s="15">
        <v>7232.12</v>
      </c>
      <c r="DA39" s="15">
        <v>21932.19</v>
      </c>
      <c r="DB39" s="15">
        <v>-10176.8</v>
      </c>
      <c r="DC39" s="15">
        <v>0.8</v>
      </c>
      <c r="DD39" s="15">
        <v>0.0</v>
      </c>
      <c r="DE39" s="15">
        <v>0.0</v>
      </c>
      <c r="DF39" s="12"/>
    </row>
    <row r="40" ht="13.5" customHeight="1">
      <c r="A40" s="12" t="s">
        <v>157</v>
      </c>
      <c r="B40" s="13">
        <v>43862.0</v>
      </c>
      <c r="C40" s="12" t="s">
        <v>136</v>
      </c>
      <c r="D40" s="12" t="s">
        <v>137</v>
      </c>
      <c r="E40" s="12" t="s">
        <v>138</v>
      </c>
      <c r="F40" s="12" t="s">
        <v>196</v>
      </c>
      <c r="G40" s="12" t="s">
        <v>140</v>
      </c>
      <c r="H40" s="12" t="s">
        <v>129</v>
      </c>
      <c r="I40" s="14">
        <v>43871.0</v>
      </c>
      <c r="J40" s="14">
        <v>43872.0</v>
      </c>
      <c r="K40" s="12">
        <f t="shared" si="1"/>
        <v>1</v>
      </c>
      <c r="L40" s="12">
        <v>1.0</v>
      </c>
      <c r="M40" s="12">
        <f t="shared" si="2"/>
        <v>0</v>
      </c>
      <c r="N40" s="14">
        <v>43885.0</v>
      </c>
      <c r="O40" s="14">
        <v>43895.0</v>
      </c>
      <c r="P40" s="12">
        <f t="shared" si="3"/>
        <v>10</v>
      </c>
      <c r="Q40" s="12">
        <v>90.0</v>
      </c>
      <c r="R40" s="12">
        <f t="shared" si="4"/>
        <v>-80</v>
      </c>
      <c r="S40" s="12" t="s">
        <v>257</v>
      </c>
      <c r="T40" s="12" t="s">
        <v>258</v>
      </c>
      <c r="U40" s="12" t="s">
        <v>117</v>
      </c>
      <c r="V40" s="12" t="s">
        <v>147</v>
      </c>
      <c r="W40" s="12" t="s">
        <v>182</v>
      </c>
      <c r="X40" s="12" t="s">
        <v>259</v>
      </c>
      <c r="Y40" s="12">
        <v>2024.0</v>
      </c>
      <c r="Z40" s="12" t="s">
        <v>135</v>
      </c>
      <c r="AA40" s="12">
        <v>1998.0</v>
      </c>
      <c r="AB40" s="12">
        <v>16.0</v>
      </c>
      <c r="AC40" s="12">
        <v>4.0</v>
      </c>
      <c r="AD40" s="15">
        <v>444087.0</v>
      </c>
      <c r="AE40" s="15">
        <v>25898.69</v>
      </c>
      <c r="AF40" s="16">
        <v>0.06</v>
      </c>
      <c r="AG40" s="15">
        <v>35012.31</v>
      </c>
      <c r="AH40" s="15">
        <v>2519.0</v>
      </c>
      <c r="AI40" s="12">
        <v>7.75</v>
      </c>
      <c r="AJ40" s="15">
        <v>229948.0</v>
      </c>
      <c r="AK40" s="12">
        <v>51.78</v>
      </c>
      <c r="AL40" s="14">
        <v>43895.0</v>
      </c>
      <c r="AM40" s="14">
        <v>45721.0</v>
      </c>
      <c r="AN40" s="12">
        <v>60.0</v>
      </c>
      <c r="AO40" s="12">
        <v>3000.0</v>
      </c>
      <c r="AP40" s="12">
        <v>180000.0</v>
      </c>
      <c r="AQ40" s="14">
        <v>46081.0</v>
      </c>
      <c r="AR40" s="12">
        <v>35369.0</v>
      </c>
      <c r="AS40" s="12">
        <v>38544.0</v>
      </c>
      <c r="AT40" s="12">
        <v>3175.0</v>
      </c>
      <c r="AU40" s="12">
        <v>38156.0</v>
      </c>
      <c r="AV40" s="12">
        <v>2725.0</v>
      </c>
      <c r="AW40" s="15">
        <v>6934.66</v>
      </c>
      <c r="AX40" s="15">
        <v>1650.0</v>
      </c>
      <c r="AY40" s="15">
        <v>125.0</v>
      </c>
      <c r="AZ40" s="15">
        <v>290.99</v>
      </c>
      <c r="BA40" s="15">
        <v>1453.23</v>
      </c>
      <c r="BB40" s="15">
        <v>10453.88</v>
      </c>
      <c r="BC40" s="15">
        <v>1568.08</v>
      </c>
      <c r="BD40" s="15">
        <v>12021.96</v>
      </c>
      <c r="BE40" s="14">
        <v>45748.0</v>
      </c>
      <c r="BF40" s="14">
        <v>45838.0</v>
      </c>
      <c r="BG40" s="12">
        <v>31071.0</v>
      </c>
      <c r="BH40" s="12">
        <v>38544.0</v>
      </c>
      <c r="BI40" s="12">
        <v>7473.0</v>
      </c>
      <c r="BJ40" s="12">
        <v>9000.0</v>
      </c>
      <c r="BK40" s="12">
        <v>-1527.0</v>
      </c>
      <c r="BL40" s="15">
        <v>0.63</v>
      </c>
      <c r="BM40" s="15">
        <v>1.19</v>
      </c>
      <c r="BN40" s="15">
        <v>0.0</v>
      </c>
      <c r="BO40" s="15">
        <v>0.0</v>
      </c>
      <c r="BP40" s="15">
        <v>0.0</v>
      </c>
      <c r="BQ40" s="15">
        <v>-125.98</v>
      </c>
      <c r="BR40" s="15">
        <v>0.0</v>
      </c>
      <c r="BS40" s="15">
        <v>0.0</v>
      </c>
      <c r="BT40" s="15">
        <v>0.0</v>
      </c>
      <c r="BU40" s="15">
        <v>0.0</v>
      </c>
      <c r="BV40" s="15">
        <v>0.0</v>
      </c>
      <c r="BW40" s="15">
        <v>0.0</v>
      </c>
      <c r="BX40" s="15">
        <v>0.0</v>
      </c>
      <c r="BY40" s="15">
        <v>5874.44</v>
      </c>
      <c r="BZ40" s="12">
        <v>0.0</v>
      </c>
      <c r="CA40" s="15">
        <v>0.0</v>
      </c>
      <c r="CB40" s="12">
        <v>0.0</v>
      </c>
      <c r="CC40" s="15">
        <v>0.0</v>
      </c>
      <c r="CD40" s="15">
        <v>0.0</v>
      </c>
      <c r="CE40" s="15">
        <v>0.0</v>
      </c>
      <c r="CF40" s="15">
        <v>0.0</v>
      </c>
      <c r="CG40" s="15">
        <v>0.0</v>
      </c>
      <c r="CH40" s="15">
        <v>11056.13</v>
      </c>
      <c r="CI40" s="15">
        <v>1442.1</v>
      </c>
      <c r="CJ40" s="15">
        <v>9614.03</v>
      </c>
      <c r="CK40" s="15">
        <v>3.03</v>
      </c>
      <c r="CL40" s="12">
        <v>0.0</v>
      </c>
      <c r="CM40" s="12">
        <v>0.0</v>
      </c>
      <c r="CN40" s="12">
        <v>0.0</v>
      </c>
      <c r="CO40" s="12">
        <v>100.0</v>
      </c>
      <c r="CP40" s="14"/>
      <c r="CQ40" s="12">
        <v>0.0</v>
      </c>
      <c r="CR40" s="12">
        <v>0.0</v>
      </c>
      <c r="CS40" s="12">
        <v>0.0</v>
      </c>
      <c r="CT40" s="12">
        <v>-5717.0</v>
      </c>
      <c r="CU40" s="14">
        <v>47238.0</v>
      </c>
      <c r="CV40" s="14">
        <v>47238.0</v>
      </c>
      <c r="CW40" s="12">
        <v>180388.0</v>
      </c>
      <c r="CX40" s="12" t="s">
        <v>122</v>
      </c>
      <c r="CY40" s="12" t="s">
        <v>123</v>
      </c>
      <c r="CZ40" s="15">
        <v>564.3</v>
      </c>
      <c r="DA40" s="15">
        <v>0.0</v>
      </c>
      <c r="DB40" s="15">
        <v>-3700.4</v>
      </c>
      <c r="DC40" s="15">
        <v>0.55</v>
      </c>
      <c r="DD40" s="15">
        <v>-839.85</v>
      </c>
      <c r="DE40" s="15">
        <v>-965.83</v>
      </c>
      <c r="DF40" s="12"/>
    </row>
    <row r="41" ht="13.5" customHeight="1">
      <c r="A41" s="12" t="s">
        <v>175</v>
      </c>
      <c r="B41" s="13">
        <v>43862.0</v>
      </c>
      <c r="C41" s="12" t="s">
        <v>109</v>
      </c>
      <c r="D41" s="12" t="s">
        <v>110</v>
      </c>
      <c r="E41" s="12" t="s">
        <v>111</v>
      </c>
      <c r="F41" s="12" t="s">
        <v>196</v>
      </c>
      <c r="G41" s="12" t="s">
        <v>140</v>
      </c>
      <c r="H41" s="12" t="s">
        <v>141</v>
      </c>
      <c r="I41" s="14">
        <v>43872.0</v>
      </c>
      <c r="J41" s="14">
        <v>43873.0</v>
      </c>
      <c r="K41" s="12">
        <f t="shared" si="1"/>
        <v>1</v>
      </c>
      <c r="L41" s="12">
        <v>1.0</v>
      </c>
      <c r="M41" s="12">
        <f t="shared" si="2"/>
        <v>0</v>
      </c>
      <c r="N41" s="14">
        <v>43886.0</v>
      </c>
      <c r="O41" s="14">
        <v>43896.0</v>
      </c>
      <c r="P41" s="12">
        <f t="shared" si="3"/>
        <v>10</v>
      </c>
      <c r="Q41" s="12">
        <v>90.0</v>
      </c>
      <c r="R41" s="12">
        <f t="shared" si="4"/>
        <v>-80</v>
      </c>
      <c r="S41" s="12" t="s">
        <v>260</v>
      </c>
      <c r="T41" s="12" t="s">
        <v>261</v>
      </c>
      <c r="U41" s="12" t="s">
        <v>117</v>
      </c>
      <c r="V41" s="12" t="s">
        <v>147</v>
      </c>
      <c r="W41" s="12" t="s">
        <v>182</v>
      </c>
      <c r="X41" s="12" t="s">
        <v>259</v>
      </c>
      <c r="Y41" s="12">
        <v>2024.0</v>
      </c>
      <c r="Z41" s="12" t="s">
        <v>135</v>
      </c>
      <c r="AA41" s="12">
        <v>1998.0</v>
      </c>
      <c r="AB41" s="12">
        <v>16.0</v>
      </c>
      <c r="AC41" s="12">
        <v>4.0</v>
      </c>
      <c r="AD41" s="15">
        <v>444087.0</v>
      </c>
      <c r="AE41" s="15">
        <v>25898.69</v>
      </c>
      <c r="AF41" s="16">
        <v>0.06</v>
      </c>
      <c r="AG41" s="15">
        <v>52135.71</v>
      </c>
      <c r="AH41" s="15">
        <v>2519.0</v>
      </c>
      <c r="AI41" s="12">
        <v>7.75</v>
      </c>
      <c r="AJ41" s="15">
        <v>229948.0</v>
      </c>
      <c r="AK41" s="12">
        <v>51.78</v>
      </c>
      <c r="AL41" s="14">
        <v>43896.0</v>
      </c>
      <c r="AM41" s="14">
        <v>45722.0</v>
      </c>
      <c r="AN41" s="12">
        <v>60.0</v>
      </c>
      <c r="AO41" s="12">
        <v>3000.0</v>
      </c>
      <c r="AP41" s="12">
        <v>180000.0</v>
      </c>
      <c r="AQ41" s="14">
        <v>46081.0</v>
      </c>
      <c r="AR41" s="12">
        <v>35290.0</v>
      </c>
      <c r="AS41" s="12">
        <v>37650.0</v>
      </c>
      <c r="AT41" s="12">
        <v>2360.0</v>
      </c>
      <c r="AU41" s="12">
        <v>37262.0</v>
      </c>
      <c r="AV41" s="12">
        <v>2662.0</v>
      </c>
      <c r="AW41" s="15">
        <v>7737.91</v>
      </c>
      <c r="AX41" s="15">
        <v>1650.0</v>
      </c>
      <c r="AY41" s="15">
        <v>125.0</v>
      </c>
      <c r="AZ41" s="15">
        <v>291.0</v>
      </c>
      <c r="BA41" s="15">
        <v>1453.23</v>
      </c>
      <c r="BB41" s="15">
        <v>11257.14</v>
      </c>
      <c r="BC41" s="15">
        <v>1688.57</v>
      </c>
      <c r="BD41" s="15">
        <v>12945.71</v>
      </c>
      <c r="BE41" s="14">
        <v>45748.0</v>
      </c>
      <c r="BF41" s="14">
        <v>45838.0</v>
      </c>
      <c r="BG41" s="12">
        <v>29159.0</v>
      </c>
      <c r="BH41" s="12">
        <v>37650.0</v>
      </c>
      <c r="BI41" s="12">
        <v>8491.0</v>
      </c>
      <c r="BJ41" s="12">
        <v>9000.0</v>
      </c>
      <c r="BK41" s="12">
        <v>-509.0</v>
      </c>
      <c r="BL41" s="15">
        <v>0.63</v>
      </c>
      <c r="BM41" s="15">
        <v>1.19</v>
      </c>
      <c r="BN41" s="15">
        <v>0.0</v>
      </c>
      <c r="BO41" s="15">
        <v>0.0</v>
      </c>
      <c r="BP41" s="15">
        <v>0.0</v>
      </c>
      <c r="BQ41" s="15">
        <v>-41.99</v>
      </c>
      <c r="BR41" s="15">
        <v>0.0</v>
      </c>
      <c r="BS41" s="15">
        <v>0.0</v>
      </c>
      <c r="BT41" s="15">
        <v>0.0</v>
      </c>
      <c r="BU41" s="15">
        <v>0.0</v>
      </c>
      <c r="BV41" s="15">
        <v>0.0</v>
      </c>
      <c r="BW41" s="15">
        <v>0.0</v>
      </c>
      <c r="BX41" s="15">
        <v>0.0</v>
      </c>
      <c r="BY41" s="15">
        <v>4265.48</v>
      </c>
      <c r="BZ41" s="12">
        <v>0.0</v>
      </c>
      <c r="CA41" s="15">
        <v>0.0</v>
      </c>
      <c r="CB41" s="12">
        <v>0.0</v>
      </c>
      <c r="CC41" s="15">
        <v>0.0</v>
      </c>
      <c r="CD41" s="15">
        <v>0.0</v>
      </c>
      <c r="CE41" s="15">
        <v>0.0</v>
      </c>
      <c r="CF41" s="15">
        <v>0.0</v>
      </c>
      <c r="CG41" s="15">
        <v>0.0</v>
      </c>
      <c r="CH41" s="15">
        <v>12623.77</v>
      </c>
      <c r="CI41" s="15">
        <v>1646.58</v>
      </c>
      <c r="CJ41" s="15">
        <v>10977.19</v>
      </c>
      <c r="CK41" s="15">
        <v>4.65</v>
      </c>
      <c r="CL41" s="12">
        <v>0.0</v>
      </c>
      <c r="CM41" s="12">
        <v>0.0</v>
      </c>
      <c r="CN41" s="12">
        <v>0.0</v>
      </c>
      <c r="CO41" s="12">
        <v>100.0</v>
      </c>
      <c r="CP41" s="14"/>
      <c r="CQ41" s="12">
        <v>0.0</v>
      </c>
      <c r="CR41" s="12">
        <v>0.0</v>
      </c>
      <c r="CS41" s="12">
        <v>0.0</v>
      </c>
      <c r="CT41" s="12">
        <v>-6020.0</v>
      </c>
      <c r="CU41" s="14">
        <v>47238.0</v>
      </c>
      <c r="CV41" s="14">
        <v>47238.0</v>
      </c>
      <c r="CW41" s="12">
        <v>180388.0</v>
      </c>
      <c r="CX41" s="12" t="s">
        <v>122</v>
      </c>
      <c r="CY41" s="12" t="s">
        <v>123</v>
      </c>
      <c r="CZ41" s="15">
        <v>839.3</v>
      </c>
      <c r="DA41" s="15">
        <v>0.0</v>
      </c>
      <c r="DB41" s="15">
        <v>-3700.4</v>
      </c>
      <c r="DC41" s="15">
        <v>0.55</v>
      </c>
      <c r="DD41" s="15">
        <v>-279.95</v>
      </c>
      <c r="DE41" s="15">
        <v>-321.94</v>
      </c>
      <c r="DF41" s="12"/>
    </row>
    <row r="42" ht="13.5" customHeight="1">
      <c r="A42" s="12" t="s">
        <v>175</v>
      </c>
      <c r="B42" s="13">
        <v>43862.0</v>
      </c>
      <c r="C42" s="12" t="s">
        <v>124</v>
      </c>
      <c r="D42" s="12" t="s">
        <v>125</v>
      </c>
      <c r="E42" s="12" t="s">
        <v>126</v>
      </c>
      <c r="F42" s="12" t="s">
        <v>196</v>
      </c>
      <c r="G42" s="12" t="s">
        <v>140</v>
      </c>
      <c r="H42" s="12" t="s">
        <v>114</v>
      </c>
      <c r="I42" s="14">
        <v>43873.0</v>
      </c>
      <c r="J42" s="14">
        <v>43879.0</v>
      </c>
      <c r="K42" s="12">
        <f t="shared" si="1"/>
        <v>6</v>
      </c>
      <c r="L42" s="12">
        <v>1.0</v>
      </c>
      <c r="M42" s="12">
        <f t="shared" si="2"/>
        <v>5</v>
      </c>
      <c r="N42" s="14">
        <v>43887.0</v>
      </c>
      <c r="O42" s="14">
        <v>43897.0</v>
      </c>
      <c r="P42" s="12">
        <f t="shared" si="3"/>
        <v>10</v>
      </c>
      <c r="Q42" s="12">
        <v>90.0</v>
      </c>
      <c r="R42" s="12">
        <f t="shared" si="4"/>
        <v>-80</v>
      </c>
      <c r="S42" s="12" t="s">
        <v>262</v>
      </c>
      <c r="T42" s="12" t="s">
        <v>263</v>
      </c>
      <c r="U42" s="12" t="s">
        <v>117</v>
      </c>
      <c r="V42" s="12" t="s">
        <v>147</v>
      </c>
      <c r="W42" s="12" t="s">
        <v>182</v>
      </c>
      <c r="X42" s="12" t="s">
        <v>259</v>
      </c>
      <c r="Y42" s="12">
        <v>2024.0</v>
      </c>
      <c r="Z42" s="12" t="s">
        <v>135</v>
      </c>
      <c r="AA42" s="12">
        <v>1998.0</v>
      </c>
      <c r="AB42" s="12">
        <v>16.0</v>
      </c>
      <c r="AC42" s="12">
        <v>4.0</v>
      </c>
      <c r="AD42" s="15">
        <v>444087.0</v>
      </c>
      <c r="AE42" s="15">
        <v>25898.69</v>
      </c>
      <c r="AF42" s="16">
        <v>0.06</v>
      </c>
      <c r="AG42" s="15">
        <v>35035.12</v>
      </c>
      <c r="AH42" s="15">
        <v>2519.0</v>
      </c>
      <c r="AI42" s="12">
        <v>7.75</v>
      </c>
      <c r="AJ42" s="15">
        <v>229948.0</v>
      </c>
      <c r="AK42" s="12">
        <v>51.78</v>
      </c>
      <c r="AL42" s="14">
        <v>43897.0</v>
      </c>
      <c r="AM42" s="14">
        <v>45723.0</v>
      </c>
      <c r="AN42" s="12">
        <v>60.0</v>
      </c>
      <c r="AO42" s="12">
        <v>3000.0</v>
      </c>
      <c r="AP42" s="12">
        <v>180000.0</v>
      </c>
      <c r="AQ42" s="14">
        <v>46081.0</v>
      </c>
      <c r="AR42" s="12">
        <v>38476.0</v>
      </c>
      <c r="AS42" s="12">
        <v>40433.0</v>
      </c>
      <c r="AT42" s="12">
        <v>1957.0</v>
      </c>
      <c r="AU42" s="12">
        <v>40045.0</v>
      </c>
      <c r="AV42" s="12">
        <v>2860.0</v>
      </c>
      <c r="AW42" s="15">
        <v>6892.2</v>
      </c>
      <c r="AX42" s="15">
        <v>1650.0</v>
      </c>
      <c r="AY42" s="15">
        <v>125.0</v>
      </c>
      <c r="AZ42" s="15">
        <v>291.0</v>
      </c>
      <c r="BA42" s="15">
        <v>1453.23</v>
      </c>
      <c r="BB42" s="15">
        <v>10411.43</v>
      </c>
      <c r="BC42" s="15">
        <v>1561.71</v>
      </c>
      <c r="BD42" s="15">
        <v>11973.14</v>
      </c>
      <c r="BE42" s="14">
        <v>45748.0</v>
      </c>
      <c r="BF42" s="14">
        <v>45838.0</v>
      </c>
      <c r="BG42" s="12">
        <v>31520.0</v>
      </c>
      <c r="BH42" s="12">
        <v>40433.0</v>
      </c>
      <c r="BI42" s="12">
        <v>8913.0</v>
      </c>
      <c r="BJ42" s="12">
        <v>9000.0</v>
      </c>
      <c r="BK42" s="12">
        <v>-87.0</v>
      </c>
      <c r="BL42" s="15">
        <v>0.63</v>
      </c>
      <c r="BM42" s="15">
        <v>1.19</v>
      </c>
      <c r="BN42" s="15">
        <v>0.0</v>
      </c>
      <c r="BO42" s="15">
        <v>0.0</v>
      </c>
      <c r="BP42" s="15">
        <v>0.0</v>
      </c>
      <c r="BQ42" s="15">
        <v>0.0</v>
      </c>
      <c r="BR42" s="15">
        <v>0.0</v>
      </c>
      <c r="BS42" s="15">
        <v>0.0</v>
      </c>
      <c r="BT42" s="15">
        <v>0.0</v>
      </c>
      <c r="BU42" s="15">
        <v>0.0</v>
      </c>
      <c r="BV42" s="15">
        <v>0.0</v>
      </c>
      <c r="BW42" s="15">
        <v>0.0</v>
      </c>
      <c r="BX42" s="15">
        <v>0.0</v>
      </c>
      <c r="BY42" s="15">
        <v>3032.25</v>
      </c>
      <c r="BZ42" s="12">
        <v>0.0</v>
      </c>
      <c r="CA42" s="15">
        <v>0.0</v>
      </c>
      <c r="CB42" s="12">
        <v>0.0</v>
      </c>
      <c r="CC42" s="15">
        <v>0.0</v>
      </c>
      <c r="CD42" s="15">
        <v>0.0</v>
      </c>
      <c r="CE42" s="15">
        <v>0.0</v>
      </c>
      <c r="CF42" s="15">
        <v>0.0</v>
      </c>
      <c r="CG42" s="15">
        <v>0.0</v>
      </c>
      <c r="CH42" s="15">
        <v>11973.14</v>
      </c>
      <c r="CI42" s="15">
        <v>1561.71</v>
      </c>
      <c r="CJ42" s="15">
        <v>10411.43</v>
      </c>
      <c r="CK42" s="15">
        <v>5.32</v>
      </c>
      <c r="CL42" s="12">
        <v>0.0</v>
      </c>
      <c r="CM42" s="12">
        <v>0.0</v>
      </c>
      <c r="CN42" s="12">
        <v>0.0</v>
      </c>
      <c r="CO42" s="12">
        <v>100.0</v>
      </c>
      <c r="CP42" s="14"/>
      <c r="CQ42" s="12">
        <v>0.0</v>
      </c>
      <c r="CR42" s="12">
        <v>0.0</v>
      </c>
      <c r="CS42" s="12">
        <v>0.0</v>
      </c>
      <c r="CT42" s="12">
        <v>-3828.0</v>
      </c>
      <c r="CU42" s="14">
        <v>47238.0</v>
      </c>
      <c r="CV42" s="14">
        <v>47238.0</v>
      </c>
      <c r="CW42" s="12">
        <v>180388.0</v>
      </c>
      <c r="CX42" s="12" t="s">
        <v>122</v>
      </c>
      <c r="CY42" s="12" t="s">
        <v>123</v>
      </c>
      <c r="CZ42" s="15">
        <v>0.0</v>
      </c>
      <c r="DA42" s="15">
        <v>0.0</v>
      </c>
      <c r="DB42" s="15">
        <v>-1885.95</v>
      </c>
      <c r="DC42" s="15">
        <v>0.55</v>
      </c>
      <c r="DD42" s="15">
        <v>0.0</v>
      </c>
      <c r="DE42" s="15">
        <v>0.0</v>
      </c>
      <c r="DF42" s="12"/>
    </row>
    <row r="43" ht="13.5" customHeight="1">
      <c r="A43" s="12" t="s">
        <v>175</v>
      </c>
      <c r="B43" s="13">
        <v>43862.0</v>
      </c>
      <c r="C43" s="12" t="s">
        <v>136</v>
      </c>
      <c r="D43" s="12" t="s">
        <v>137</v>
      </c>
      <c r="E43" s="12" t="s">
        <v>138</v>
      </c>
      <c r="F43" s="12" t="s">
        <v>196</v>
      </c>
      <c r="G43" s="12" t="s">
        <v>140</v>
      </c>
      <c r="H43" s="12" t="s">
        <v>129</v>
      </c>
      <c r="I43" s="14">
        <v>43874.0</v>
      </c>
      <c r="J43" s="14">
        <v>43875.0</v>
      </c>
      <c r="K43" s="12">
        <f t="shared" si="1"/>
        <v>1</v>
      </c>
      <c r="L43" s="12">
        <v>1.0</v>
      </c>
      <c r="M43" s="12">
        <f t="shared" si="2"/>
        <v>0</v>
      </c>
      <c r="N43" s="14">
        <v>43888.0</v>
      </c>
      <c r="O43" s="14">
        <v>43898.0</v>
      </c>
      <c r="P43" s="12">
        <f t="shared" si="3"/>
        <v>10</v>
      </c>
      <c r="Q43" s="12">
        <v>90.0</v>
      </c>
      <c r="R43" s="12">
        <f t="shared" si="4"/>
        <v>-80</v>
      </c>
      <c r="S43" s="12" t="s">
        <v>264</v>
      </c>
      <c r="T43" s="12" t="s">
        <v>265</v>
      </c>
      <c r="U43" s="12" t="s">
        <v>117</v>
      </c>
      <c r="V43" s="12" t="s">
        <v>147</v>
      </c>
      <c r="W43" s="12" t="s">
        <v>182</v>
      </c>
      <c r="X43" s="12" t="s">
        <v>259</v>
      </c>
      <c r="Y43" s="12">
        <v>2024.0</v>
      </c>
      <c r="Z43" s="12" t="s">
        <v>135</v>
      </c>
      <c r="AA43" s="12">
        <v>1998.0</v>
      </c>
      <c r="AB43" s="12">
        <v>16.0</v>
      </c>
      <c r="AC43" s="12">
        <v>5.0</v>
      </c>
      <c r="AD43" s="15">
        <v>444087.0</v>
      </c>
      <c r="AE43" s="15">
        <v>25898.69</v>
      </c>
      <c r="AF43" s="16">
        <v>0.06</v>
      </c>
      <c r="AG43" s="15">
        <v>52514.38</v>
      </c>
      <c r="AH43" s="15">
        <v>2519.0</v>
      </c>
      <c r="AI43" s="12">
        <v>7.75</v>
      </c>
      <c r="AJ43" s="15">
        <v>229948.0</v>
      </c>
      <c r="AK43" s="12">
        <v>51.78</v>
      </c>
      <c r="AL43" s="14">
        <v>43898.0</v>
      </c>
      <c r="AM43" s="14">
        <v>45724.0</v>
      </c>
      <c r="AN43" s="12">
        <v>60.0</v>
      </c>
      <c r="AO43" s="12">
        <v>3000.0</v>
      </c>
      <c r="AP43" s="12">
        <v>180000.0</v>
      </c>
      <c r="AQ43" s="14">
        <v>46081.0</v>
      </c>
      <c r="AR43" s="12">
        <v>36026.0</v>
      </c>
      <c r="AS43" s="12">
        <v>38454.0</v>
      </c>
      <c r="AT43" s="12">
        <v>2428.0</v>
      </c>
      <c r="AU43" s="12">
        <v>38067.0</v>
      </c>
      <c r="AV43" s="12">
        <v>2719.0</v>
      </c>
      <c r="AW43" s="15">
        <v>7745.58</v>
      </c>
      <c r="AX43" s="15">
        <v>1650.0</v>
      </c>
      <c r="AY43" s="15">
        <v>125.0</v>
      </c>
      <c r="AZ43" s="15">
        <v>291.0</v>
      </c>
      <c r="BA43" s="15">
        <v>1453.23</v>
      </c>
      <c r="BB43" s="15">
        <v>11264.81</v>
      </c>
      <c r="BC43" s="15">
        <v>1689.72</v>
      </c>
      <c r="BD43" s="15">
        <v>12954.53</v>
      </c>
      <c r="BE43" s="14">
        <v>45748.0</v>
      </c>
      <c r="BF43" s="14">
        <v>45838.0</v>
      </c>
      <c r="BG43" s="12">
        <v>29682.0</v>
      </c>
      <c r="BH43" s="12">
        <v>38454.0</v>
      </c>
      <c r="BI43" s="12">
        <v>8772.0</v>
      </c>
      <c r="BJ43" s="12">
        <v>9000.0</v>
      </c>
      <c r="BK43" s="12">
        <v>-228.0</v>
      </c>
      <c r="BL43" s="15">
        <v>0.63</v>
      </c>
      <c r="BM43" s="15">
        <v>1.19</v>
      </c>
      <c r="BN43" s="15">
        <v>0.0</v>
      </c>
      <c r="BO43" s="15">
        <v>0.0</v>
      </c>
      <c r="BP43" s="15">
        <v>0.0</v>
      </c>
      <c r="BQ43" s="15">
        <v>0.0</v>
      </c>
      <c r="BR43" s="15">
        <v>0.0</v>
      </c>
      <c r="BS43" s="15">
        <v>0.0</v>
      </c>
      <c r="BT43" s="15">
        <v>0.0</v>
      </c>
      <c r="BU43" s="15">
        <v>0.0</v>
      </c>
      <c r="BV43" s="15">
        <v>0.0</v>
      </c>
      <c r="BW43" s="15">
        <v>0.0</v>
      </c>
      <c r="BX43" s="15">
        <v>0.0</v>
      </c>
      <c r="BY43" s="15">
        <v>5126.16</v>
      </c>
      <c r="BZ43" s="12">
        <v>0.0</v>
      </c>
      <c r="CA43" s="15">
        <v>0.0</v>
      </c>
      <c r="CB43" s="12">
        <v>0.0</v>
      </c>
      <c r="CC43" s="15">
        <v>0.0</v>
      </c>
      <c r="CD43" s="15">
        <v>0.0</v>
      </c>
      <c r="CE43" s="15">
        <v>0.0</v>
      </c>
      <c r="CF43" s="15">
        <v>0.0</v>
      </c>
      <c r="CG43" s="15">
        <v>0.0</v>
      </c>
      <c r="CH43" s="15">
        <v>12954.53</v>
      </c>
      <c r="CI43" s="15">
        <v>1689.72</v>
      </c>
      <c r="CJ43" s="15">
        <v>11264.81</v>
      </c>
      <c r="CK43" s="15">
        <v>4.64</v>
      </c>
      <c r="CL43" s="12">
        <v>0.0</v>
      </c>
      <c r="CM43" s="12">
        <v>0.0</v>
      </c>
      <c r="CN43" s="12">
        <v>0.0</v>
      </c>
      <c r="CO43" s="12">
        <v>100.0</v>
      </c>
      <c r="CP43" s="14"/>
      <c r="CQ43" s="12">
        <v>0.0</v>
      </c>
      <c r="CR43" s="12">
        <v>0.0</v>
      </c>
      <c r="CS43" s="12">
        <v>0.0</v>
      </c>
      <c r="CT43" s="12">
        <v>-5215.0</v>
      </c>
      <c r="CU43" s="14">
        <v>47238.0</v>
      </c>
      <c r="CV43" s="14">
        <v>47238.0</v>
      </c>
      <c r="CW43" s="12">
        <v>180387.0</v>
      </c>
      <c r="CX43" s="12" t="s">
        <v>122</v>
      </c>
      <c r="CY43" s="12" t="s">
        <v>123</v>
      </c>
      <c r="CZ43" s="15">
        <v>0.0</v>
      </c>
      <c r="DA43" s="15">
        <v>0.0</v>
      </c>
      <c r="DB43" s="15">
        <v>-2742.85</v>
      </c>
      <c r="DC43" s="15">
        <v>0.55</v>
      </c>
      <c r="DD43" s="15">
        <v>0.0</v>
      </c>
      <c r="DE43" s="15">
        <v>0.0</v>
      </c>
      <c r="DF43" s="12"/>
    </row>
    <row r="44" ht="13.5" customHeight="1">
      <c r="A44" s="12" t="s">
        <v>108</v>
      </c>
      <c r="B44" s="13">
        <v>43862.0</v>
      </c>
      <c r="C44" s="12" t="s">
        <v>109</v>
      </c>
      <c r="D44" s="12" t="s">
        <v>110</v>
      </c>
      <c r="E44" s="12" t="s">
        <v>111</v>
      </c>
      <c r="F44" s="12" t="s">
        <v>196</v>
      </c>
      <c r="G44" s="12" t="s">
        <v>140</v>
      </c>
      <c r="H44" s="12" t="s">
        <v>141</v>
      </c>
      <c r="I44" s="14">
        <v>43875.0</v>
      </c>
      <c r="J44" s="14">
        <v>43876.0</v>
      </c>
      <c r="K44" s="12">
        <f t="shared" si="1"/>
        <v>1</v>
      </c>
      <c r="L44" s="12">
        <v>1.0</v>
      </c>
      <c r="M44" s="12">
        <f t="shared" si="2"/>
        <v>0</v>
      </c>
      <c r="N44" s="14">
        <v>43889.0</v>
      </c>
      <c r="O44" s="14">
        <v>43899.0</v>
      </c>
      <c r="P44" s="12">
        <f t="shared" si="3"/>
        <v>10</v>
      </c>
      <c r="Q44" s="12">
        <v>90.0</v>
      </c>
      <c r="R44" s="12">
        <f t="shared" si="4"/>
        <v>-80</v>
      </c>
      <c r="S44" s="12" t="s">
        <v>266</v>
      </c>
      <c r="T44" s="12" t="s">
        <v>267</v>
      </c>
      <c r="U44" s="12" t="s">
        <v>117</v>
      </c>
      <c r="V44" s="12" t="s">
        <v>147</v>
      </c>
      <c r="W44" s="12" t="s">
        <v>182</v>
      </c>
      <c r="X44" s="12" t="s">
        <v>259</v>
      </c>
      <c r="Y44" s="12">
        <v>2024.0</v>
      </c>
      <c r="Z44" s="12" t="s">
        <v>135</v>
      </c>
      <c r="AA44" s="12">
        <v>1998.0</v>
      </c>
      <c r="AB44" s="12">
        <v>16.0</v>
      </c>
      <c r="AC44" s="12">
        <v>4.0</v>
      </c>
      <c r="AD44" s="15">
        <v>444087.0</v>
      </c>
      <c r="AE44" s="15">
        <v>25898.69</v>
      </c>
      <c r="AF44" s="16">
        <v>0.06</v>
      </c>
      <c r="AG44" s="15">
        <v>52573.78</v>
      </c>
      <c r="AH44" s="15">
        <v>2519.0</v>
      </c>
      <c r="AI44" s="12">
        <v>7.75</v>
      </c>
      <c r="AJ44" s="15">
        <v>229948.0</v>
      </c>
      <c r="AK44" s="12">
        <v>51.78</v>
      </c>
      <c r="AL44" s="14">
        <v>43899.0</v>
      </c>
      <c r="AM44" s="14">
        <v>45725.0</v>
      </c>
      <c r="AN44" s="12">
        <v>60.0</v>
      </c>
      <c r="AO44" s="12">
        <v>3000.0</v>
      </c>
      <c r="AP44" s="12">
        <v>180000.0</v>
      </c>
      <c r="AQ44" s="14">
        <v>46081.0</v>
      </c>
      <c r="AR44" s="12">
        <v>32786.0</v>
      </c>
      <c r="AS44" s="12">
        <v>33024.0</v>
      </c>
      <c r="AT44" s="12">
        <v>238.0</v>
      </c>
      <c r="AU44" s="12">
        <v>32634.0</v>
      </c>
      <c r="AV44" s="12">
        <v>2331.0</v>
      </c>
      <c r="AW44" s="15">
        <v>7746.77</v>
      </c>
      <c r="AX44" s="15">
        <v>1650.0</v>
      </c>
      <c r="AY44" s="15">
        <v>125.0</v>
      </c>
      <c r="AZ44" s="15">
        <v>291.0</v>
      </c>
      <c r="BA44" s="15">
        <v>1453.23</v>
      </c>
      <c r="BB44" s="15">
        <v>11266.0</v>
      </c>
      <c r="BC44" s="15">
        <v>1689.9</v>
      </c>
      <c r="BD44" s="15">
        <v>12955.9</v>
      </c>
      <c r="BE44" s="14">
        <v>45748.0</v>
      </c>
      <c r="BF44" s="14">
        <v>45838.0</v>
      </c>
      <c r="BG44" s="12">
        <v>25267.0</v>
      </c>
      <c r="BH44" s="12">
        <v>33024.0</v>
      </c>
      <c r="BI44" s="12">
        <v>7757.0</v>
      </c>
      <c r="BJ44" s="12">
        <v>9000.0</v>
      </c>
      <c r="BK44" s="12">
        <v>-1243.0</v>
      </c>
      <c r="BL44" s="15">
        <v>0.63</v>
      </c>
      <c r="BM44" s="15">
        <v>1.19</v>
      </c>
      <c r="BN44" s="15">
        <v>0.0</v>
      </c>
      <c r="BO44" s="15">
        <v>0.0</v>
      </c>
      <c r="BP44" s="15">
        <v>0.0</v>
      </c>
      <c r="BQ44" s="15">
        <v>-102.55</v>
      </c>
      <c r="BR44" s="15">
        <v>0.0</v>
      </c>
      <c r="BS44" s="15">
        <v>0.0</v>
      </c>
      <c r="BT44" s="15">
        <v>0.0</v>
      </c>
      <c r="BU44" s="15">
        <v>0.0</v>
      </c>
      <c r="BV44" s="15">
        <v>0.0</v>
      </c>
      <c r="BW44" s="15">
        <v>0.0</v>
      </c>
      <c r="BX44" s="15">
        <v>0.0</v>
      </c>
      <c r="BY44" s="15">
        <v>0.0</v>
      </c>
      <c r="BZ44" s="12">
        <v>0.0</v>
      </c>
      <c r="CA44" s="15">
        <v>0.0</v>
      </c>
      <c r="CB44" s="12">
        <v>0.0</v>
      </c>
      <c r="CC44" s="15">
        <v>0.0</v>
      </c>
      <c r="CD44" s="15">
        <v>0.0</v>
      </c>
      <c r="CE44" s="15">
        <v>0.0</v>
      </c>
      <c r="CF44" s="15">
        <v>0.0</v>
      </c>
      <c r="CG44" s="15">
        <v>0.0</v>
      </c>
      <c r="CH44" s="15">
        <v>12169.7</v>
      </c>
      <c r="CI44" s="15">
        <v>1587.35</v>
      </c>
      <c r="CJ44" s="15">
        <v>10582.35</v>
      </c>
      <c r="CK44" s="15">
        <v>44.46</v>
      </c>
      <c r="CL44" s="12">
        <v>0.0</v>
      </c>
      <c r="CM44" s="12">
        <v>0.0</v>
      </c>
      <c r="CN44" s="12">
        <v>0.0</v>
      </c>
      <c r="CO44" s="12">
        <v>100.0</v>
      </c>
      <c r="CP44" s="14"/>
      <c r="CQ44" s="12">
        <v>0.0</v>
      </c>
      <c r="CR44" s="12">
        <v>0.0</v>
      </c>
      <c r="CS44" s="12">
        <v>0.0</v>
      </c>
      <c r="CT44" s="12">
        <v>-10648.0</v>
      </c>
      <c r="CU44" s="14">
        <v>47238.0</v>
      </c>
      <c r="CV44" s="14">
        <v>47238.0</v>
      </c>
      <c r="CW44" s="12">
        <v>180390.0</v>
      </c>
      <c r="CX44" s="12" t="s">
        <v>122</v>
      </c>
      <c r="CY44" s="12" t="s">
        <v>123</v>
      </c>
      <c r="CZ44" s="15">
        <v>0.0</v>
      </c>
      <c r="DA44" s="15">
        <v>0.0</v>
      </c>
      <c r="DB44" s="15">
        <v>-5847.05</v>
      </c>
      <c r="DC44" s="15">
        <v>0.55</v>
      </c>
      <c r="DD44" s="15">
        <v>-683.65</v>
      </c>
      <c r="DE44" s="15">
        <v>-786.2</v>
      </c>
      <c r="DF44" s="12"/>
    </row>
    <row r="45" ht="13.5" customHeight="1">
      <c r="A45" s="12" t="s">
        <v>175</v>
      </c>
      <c r="B45" s="13">
        <v>43862.0</v>
      </c>
      <c r="C45" s="12" t="s">
        <v>124</v>
      </c>
      <c r="D45" s="12" t="s">
        <v>125</v>
      </c>
      <c r="E45" s="12" t="s">
        <v>126</v>
      </c>
      <c r="F45" s="12" t="s">
        <v>196</v>
      </c>
      <c r="G45" s="12" t="s">
        <v>140</v>
      </c>
      <c r="H45" s="12" t="s">
        <v>114</v>
      </c>
      <c r="I45" s="14">
        <v>43876.0</v>
      </c>
      <c r="J45" s="14">
        <v>43877.0</v>
      </c>
      <c r="K45" s="12">
        <f t="shared" si="1"/>
        <v>1</v>
      </c>
      <c r="L45" s="12">
        <v>1.0</v>
      </c>
      <c r="M45" s="12">
        <f t="shared" si="2"/>
        <v>0</v>
      </c>
      <c r="N45" s="14">
        <v>43889.0</v>
      </c>
      <c r="O45" s="14">
        <v>43900.0</v>
      </c>
      <c r="P45" s="12">
        <f t="shared" si="3"/>
        <v>11</v>
      </c>
      <c r="Q45" s="12">
        <v>90.0</v>
      </c>
      <c r="R45" s="12">
        <f t="shared" si="4"/>
        <v>-79</v>
      </c>
      <c r="S45" s="12" t="s">
        <v>268</v>
      </c>
      <c r="T45" s="12" t="s">
        <v>269</v>
      </c>
      <c r="U45" s="12" t="s">
        <v>117</v>
      </c>
      <c r="V45" s="12" t="s">
        <v>147</v>
      </c>
      <c r="W45" s="12" t="s">
        <v>182</v>
      </c>
      <c r="X45" s="12" t="s">
        <v>259</v>
      </c>
      <c r="Y45" s="12">
        <v>2024.0</v>
      </c>
      <c r="Z45" s="12" t="s">
        <v>135</v>
      </c>
      <c r="AA45" s="12">
        <v>1998.0</v>
      </c>
      <c r="AB45" s="12">
        <v>16.0</v>
      </c>
      <c r="AC45" s="12">
        <v>4.0</v>
      </c>
      <c r="AD45" s="15">
        <v>444087.0</v>
      </c>
      <c r="AE45" s="15">
        <v>25898.69</v>
      </c>
      <c r="AF45" s="16">
        <v>0.06</v>
      </c>
      <c r="AG45" s="15">
        <v>52544.92</v>
      </c>
      <c r="AH45" s="15">
        <v>2519.0</v>
      </c>
      <c r="AI45" s="12">
        <v>7.75</v>
      </c>
      <c r="AJ45" s="15">
        <v>229948.0</v>
      </c>
      <c r="AK45" s="12">
        <v>51.78</v>
      </c>
      <c r="AL45" s="14">
        <v>43900.0</v>
      </c>
      <c r="AM45" s="14">
        <v>45726.0</v>
      </c>
      <c r="AN45" s="12">
        <v>60.0</v>
      </c>
      <c r="AO45" s="12">
        <v>3000.0</v>
      </c>
      <c r="AP45" s="12">
        <v>180000.0</v>
      </c>
      <c r="AQ45" s="14">
        <v>46112.0</v>
      </c>
      <c r="AR45" s="12">
        <v>43314.0</v>
      </c>
      <c r="AS45" s="12">
        <v>44591.0</v>
      </c>
      <c r="AT45" s="12">
        <v>1277.0</v>
      </c>
      <c r="AU45" s="12">
        <v>44203.0</v>
      </c>
      <c r="AV45" s="12">
        <v>3157.0</v>
      </c>
      <c r="AW45" s="15">
        <v>7746.2</v>
      </c>
      <c r="AX45" s="15">
        <v>1650.0</v>
      </c>
      <c r="AY45" s="15">
        <v>125.0</v>
      </c>
      <c r="AZ45" s="15">
        <v>291.0</v>
      </c>
      <c r="BA45" s="15">
        <v>1453.23</v>
      </c>
      <c r="BB45" s="15">
        <v>11265.43</v>
      </c>
      <c r="BC45" s="15">
        <v>1689.81</v>
      </c>
      <c r="BD45" s="15">
        <v>12955.24</v>
      </c>
      <c r="BE45" s="14">
        <v>45748.0</v>
      </c>
      <c r="BF45" s="14">
        <v>45838.0</v>
      </c>
      <c r="BG45" s="12">
        <v>35954.0</v>
      </c>
      <c r="BH45" s="12">
        <v>44591.0</v>
      </c>
      <c r="BI45" s="12">
        <v>8637.0</v>
      </c>
      <c r="BJ45" s="12">
        <v>9000.0</v>
      </c>
      <c r="BK45" s="12">
        <v>-363.0</v>
      </c>
      <c r="BL45" s="15">
        <v>0.63</v>
      </c>
      <c r="BM45" s="15">
        <v>1.19</v>
      </c>
      <c r="BN45" s="15">
        <v>0.0</v>
      </c>
      <c r="BO45" s="15">
        <v>0.0</v>
      </c>
      <c r="BP45" s="15">
        <v>0.0</v>
      </c>
      <c r="BQ45" s="15">
        <v>0.0</v>
      </c>
      <c r="BR45" s="15">
        <v>0.0</v>
      </c>
      <c r="BS45" s="15">
        <v>0.0</v>
      </c>
      <c r="BT45" s="15">
        <v>0.0</v>
      </c>
      <c r="BU45" s="15">
        <v>0.0</v>
      </c>
      <c r="BV45" s="15">
        <v>0.0</v>
      </c>
      <c r="BW45" s="15">
        <v>0.0</v>
      </c>
      <c r="BX45" s="15">
        <v>0.0</v>
      </c>
      <c r="BY45" s="15">
        <v>3513.43</v>
      </c>
      <c r="BZ45" s="12">
        <v>0.0</v>
      </c>
      <c r="CA45" s="15">
        <v>0.0</v>
      </c>
      <c r="CB45" s="12">
        <v>0.0</v>
      </c>
      <c r="CC45" s="15">
        <v>0.0</v>
      </c>
      <c r="CD45" s="15">
        <v>0.0</v>
      </c>
      <c r="CE45" s="15">
        <v>0.0</v>
      </c>
      <c r="CF45" s="15">
        <v>0.0</v>
      </c>
      <c r="CG45" s="15">
        <v>0.0</v>
      </c>
      <c r="CH45" s="15">
        <v>12955.24</v>
      </c>
      <c r="CI45" s="15">
        <v>1689.81</v>
      </c>
      <c r="CJ45" s="15">
        <v>11265.43</v>
      </c>
      <c r="CK45" s="15">
        <v>8.82</v>
      </c>
      <c r="CL45" s="12">
        <v>0.0</v>
      </c>
      <c r="CM45" s="12">
        <v>0.0</v>
      </c>
      <c r="CN45" s="12">
        <v>0.0</v>
      </c>
      <c r="CO45" s="12">
        <v>100.0</v>
      </c>
      <c r="CP45" s="14"/>
      <c r="CQ45" s="12">
        <v>0.0</v>
      </c>
      <c r="CR45" s="12">
        <v>0.0</v>
      </c>
      <c r="CS45" s="12">
        <v>0.0</v>
      </c>
      <c r="CT45" s="12">
        <v>921.0</v>
      </c>
      <c r="CU45" s="14">
        <v>47238.0</v>
      </c>
      <c r="CV45" s="14">
        <v>47238.0</v>
      </c>
      <c r="CW45" s="12">
        <v>180388.0</v>
      </c>
      <c r="CX45" s="12" t="s">
        <v>122</v>
      </c>
      <c r="CY45" s="12" t="s">
        <v>123</v>
      </c>
      <c r="CZ45" s="15">
        <v>1640.52</v>
      </c>
      <c r="DA45" s="15">
        <v>3098.76</v>
      </c>
      <c r="DB45" s="15">
        <v>-779.88</v>
      </c>
      <c r="DC45" s="15">
        <v>0.55</v>
      </c>
      <c r="DD45" s="15">
        <v>0.0</v>
      </c>
      <c r="DE45" s="15">
        <v>0.0</v>
      </c>
      <c r="DF45" s="12"/>
    </row>
    <row r="46" ht="13.5" customHeight="1">
      <c r="A46" s="12" t="s">
        <v>175</v>
      </c>
      <c r="B46" s="13">
        <v>43862.0</v>
      </c>
      <c r="C46" s="12" t="s">
        <v>136</v>
      </c>
      <c r="D46" s="12" t="s">
        <v>137</v>
      </c>
      <c r="E46" s="12" t="s">
        <v>138</v>
      </c>
      <c r="F46" s="12" t="s">
        <v>172</v>
      </c>
      <c r="G46" s="12" t="s">
        <v>140</v>
      </c>
      <c r="H46" s="12" t="s">
        <v>129</v>
      </c>
      <c r="I46" s="14">
        <v>43877.0</v>
      </c>
      <c r="J46" s="14">
        <v>43878.0</v>
      </c>
      <c r="K46" s="12">
        <f t="shared" si="1"/>
        <v>1</v>
      </c>
      <c r="L46" s="12">
        <v>1.0</v>
      </c>
      <c r="M46" s="12">
        <f t="shared" si="2"/>
        <v>0</v>
      </c>
      <c r="N46" s="14">
        <v>43876.0</v>
      </c>
      <c r="O46" s="14">
        <v>44023.0</v>
      </c>
      <c r="P46" s="12">
        <f t="shared" si="3"/>
        <v>147</v>
      </c>
      <c r="Q46" s="12">
        <v>90.0</v>
      </c>
      <c r="R46" s="12">
        <f t="shared" si="4"/>
        <v>57</v>
      </c>
      <c r="S46" s="12" t="s">
        <v>270</v>
      </c>
      <c r="T46" s="12" t="s">
        <v>271</v>
      </c>
      <c r="U46" s="12" t="s">
        <v>117</v>
      </c>
      <c r="V46" s="12" t="s">
        <v>132</v>
      </c>
      <c r="W46" s="12" t="s">
        <v>133</v>
      </c>
      <c r="X46" s="12" t="s">
        <v>164</v>
      </c>
      <c r="Y46" s="12">
        <v>2024.0</v>
      </c>
      <c r="Z46" s="12" t="s">
        <v>135</v>
      </c>
      <c r="AA46" s="12">
        <v>2498.0</v>
      </c>
      <c r="AB46" s="12">
        <v>16.0</v>
      </c>
      <c r="AC46" s="12">
        <v>1.0</v>
      </c>
      <c r="AD46" s="15">
        <v>365565.22</v>
      </c>
      <c r="AE46" s="15">
        <v>71993.18</v>
      </c>
      <c r="AF46" s="16">
        <v>0.2</v>
      </c>
      <c r="AG46" s="15">
        <v>23204.92</v>
      </c>
      <c r="AH46" s="15">
        <v>3276.66</v>
      </c>
      <c r="AI46" s="12">
        <v>7.75</v>
      </c>
      <c r="AJ46" s="15">
        <v>168160.0</v>
      </c>
      <c r="AK46" s="12">
        <v>46.0</v>
      </c>
      <c r="AL46" s="14">
        <v>44023.0</v>
      </c>
      <c r="AM46" s="14">
        <v>45849.0</v>
      </c>
      <c r="AN46" s="12">
        <v>60.0</v>
      </c>
      <c r="AO46" s="12">
        <v>4500.0</v>
      </c>
      <c r="AP46" s="12">
        <v>216000.0</v>
      </c>
      <c r="AQ46" s="14">
        <v>46112.0</v>
      </c>
      <c r="AR46" s="12">
        <v>44532.0</v>
      </c>
      <c r="AS46" s="12">
        <v>46881.0</v>
      </c>
      <c r="AT46" s="12">
        <v>2349.0</v>
      </c>
      <c r="AU46" s="12">
        <v>46279.0</v>
      </c>
      <c r="AV46" s="12">
        <v>3306.0</v>
      </c>
      <c r="AW46" s="15">
        <v>5558.2</v>
      </c>
      <c r="AX46" s="15">
        <v>1845.0</v>
      </c>
      <c r="AY46" s="15">
        <v>125.0</v>
      </c>
      <c r="AZ46" s="15">
        <v>291.0</v>
      </c>
      <c r="BA46" s="15">
        <v>1089.17</v>
      </c>
      <c r="BB46" s="15">
        <v>8908.37</v>
      </c>
      <c r="BC46" s="15">
        <v>1336.26</v>
      </c>
      <c r="BD46" s="15">
        <v>10244.63</v>
      </c>
      <c r="BE46" s="14">
        <v>45748.0</v>
      </c>
      <c r="BF46" s="14">
        <v>45838.0</v>
      </c>
      <c r="BG46" s="12">
        <v>39656.0</v>
      </c>
      <c r="BH46" s="12">
        <v>46881.0</v>
      </c>
      <c r="BI46" s="12">
        <v>7225.0</v>
      </c>
      <c r="BJ46" s="12">
        <v>13500.0</v>
      </c>
      <c r="BK46" s="12">
        <v>-6275.0</v>
      </c>
      <c r="BL46" s="15">
        <v>0.47</v>
      </c>
      <c r="BM46" s="15">
        <v>0.91</v>
      </c>
      <c r="BN46" s="15">
        <v>0.0</v>
      </c>
      <c r="BO46" s="15">
        <v>0.0</v>
      </c>
      <c r="BP46" s="15">
        <v>0.0</v>
      </c>
      <c r="BQ46" s="15">
        <v>-385.91</v>
      </c>
      <c r="BR46" s="15">
        <v>0.0</v>
      </c>
      <c r="BS46" s="15">
        <v>0.0</v>
      </c>
      <c r="BT46" s="15">
        <v>0.0</v>
      </c>
      <c r="BU46" s="15">
        <v>0.0</v>
      </c>
      <c r="BV46" s="15">
        <v>0.0</v>
      </c>
      <c r="BW46" s="15">
        <v>0.0</v>
      </c>
      <c r="BX46" s="15">
        <v>0.0</v>
      </c>
      <c r="BY46" s="15">
        <v>5790.26</v>
      </c>
      <c r="BZ46" s="12">
        <v>0.0</v>
      </c>
      <c r="CA46" s="15">
        <v>0.0</v>
      </c>
      <c r="CB46" s="12">
        <v>0.0</v>
      </c>
      <c r="CC46" s="15">
        <v>0.0</v>
      </c>
      <c r="CD46" s="15">
        <v>0.0</v>
      </c>
      <c r="CE46" s="15">
        <v>0.0</v>
      </c>
      <c r="CF46" s="15">
        <v>0.0</v>
      </c>
      <c r="CG46" s="15">
        <v>0.0</v>
      </c>
      <c r="CH46" s="15">
        <v>7285.97</v>
      </c>
      <c r="CI46" s="15">
        <v>950.35</v>
      </c>
      <c r="CJ46" s="15">
        <v>6335.62</v>
      </c>
      <c r="CK46" s="15">
        <v>2.7</v>
      </c>
      <c r="CL46" s="12">
        <v>0.0</v>
      </c>
      <c r="CM46" s="12">
        <v>0.0</v>
      </c>
      <c r="CN46" s="12">
        <v>0.0</v>
      </c>
      <c r="CO46" s="12">
        <v>100.0</v>
      </c>
      <c r="CP46" s="14"/>
      <c r="CQ46" s="12">
        <v>0.0</v>
      </c>
      <c r="CR46" s="12">
        <v>0.0</v>
      </c>
      <c r="CS46" s="12">
        <v>0.0</v>
      </c>
      <c r="CT46" s="12">
        <v>-18792.0</v>
      </c>
      <c r="CU46" s="14">
        <v>46873.0</v>
      </c>
      <c r="CV46" s="14">
        <v>46873.0</v>
      </c>
      <c r="CW46" s="12">
        <v>216602.0</v>
      </c>
      <c r="CX46" s="12" t="s">
        <v>122</v>
      </c>
      <c r="CY46" s="12" t="s">
        <v>123</v>
      </c>
      <c r="CZ46" s="15">
        <v>1655.58</v>
      </c>
      <c r="DA46" s="15">
        <v>0.0</v>
      </c>
      <c r="DB46" s="15">
        <v>-9360.3</v>
      </c>
      <c r="DC46" s="15">
        <v>0.41</v>
      </c>
      <c r="DD46" s="15">
        <v>-2572.75</v>
      </c>
      <c r="DE46" s="15">
        <v>-2958.66</v>
      </c>
      <c r="DF46" s="12"/>
    </row>
    <row r="47" ht="13.5" customHeight="1">
      <c r="A47" s="12" t="s">
        <v>175</v>
      </c>
      <c r="B47" s="13">
        <v>43862.0</v>
      </c>
      <c r="C47" s="12" t="s">
        <v>109</v>
      </c>
      <c r="D47" s="12" t="s">
        <v>110</v>
      </c>
      <c r="E47" s="12" t="s">
        <v>111</v>
      </c>
      <c r="F47" s="12" t="s">
        <v>172</v>
      </c>
      <c r="G47" s="12" t="s">
        <v>140</v>
      </c>
      <c r="H47" s="12" t="s">
        <v>141</v>
      </c>
      <c r="I47" s="14">
        <v>43878.0</v>
      </c>
      <c r="J47" s="14">
        <v>43879.0</v>
      </c>
      <c r="K47" s="12">
        <f t="shared" si="1"/>
        <v>1</v>
      </c>
      <c r="L47" s="12">
        <v>1.0</v>
      </c>
      <c r="M47" s="12">
        <f t="shared" si="2"/>
        <v>0</v>
      </c>
      <c r="N47" s="14">
        <v>43877.0</v>
      </c>
      <c r="O47" s="14">
        <v>43902.0</v>
      </c>
      <c r="P47" s="12">
        <f t="shared" si="3"/>
        <v>25</v>
      </c>
      <c r="Q47" s="12">
        <v>90.0</v>
      </c>
      <c r="R47" s="12">
        <f t="shared" si="4"/>
        <v>-65</v>
      </c>
      <c r="S47" s="12" t="s">
        <v>272</v>
      </c>
      <c r="T47" s="12" t="s">
        <v>273</v>
      </c>
      <c r="U47" s="12" t="s">
        <v>117</v>
      </c>
      <c r="V47" s="12" t="s">
        <v>132</v>
      </c>
      <c r="W47" s="12" t="s">
        <v>133</v>
      </c>
      <c r="X47" s="12" t="s">
        <v>164</v>
      </c>
      <c r="Y47" s="12">
        <v>2024.0</v>
      </c>
      <c r="Z47" s="12" t="s">
        <v>135</v>
      </c>
      <c r="AA47" s="12">
        <v>2498.0</v>
      </c>
      <c r="AB47" s="12">
        <v>16.0</v>
      </c>
      <c r="AC47" s="12">
        <v>1.0</v>
      </c>
      <c r="AD47" s="15">
        <v>365565.22</v>
      </c>
      <c r="AE47" s="15">
        <v>71993.18</v>
      </c>
      <c r="AF47" s="16">
        <v>0.2</v>
      </c>
      <c r="AG47" s="15">
        <v>17942.97</v>
      </c>
      <c r="AH47" s="15">
        <v>1986.0</v>
      </c>
      <c r="AI47" s="12">
        <v>7.75</v>
      </c>
      <c r="AJ47" s="15">
        <v>168160.0</v>
      </c>
      <c r="AK47" s="12">
        <v>46.0</v>
      </c>
      <c r="AL47" s="14">
        <v>43902.0</v>
      </c>
      <c r="AM47" s="14">
        <v>45728.0</v>
      </c>
      <c r="AN47" s="12">
        <v>60.0</v>
      </c>
      <c r="AO47" s="12">
        <v>5000.0</v>
      </c>
      <c r="AP47" s="12">
        <v>220000.0</v>
      </c>
      <c r="AQ47" s="14">
        <v>46112.0</v>
      </c>
      <c r="AR47" s="12">
        <v>25619.0</v>
      </c>
      <c r="AS47" s="12">
        <v>27788.0</v>
      </c>
      <c r="AT47" s="12">
        <v>2169.0</v>
      </c>
      <c r="AU47" s="12">
        <v>27181.0</v>
      </c>
      <c r="AV47" s="12">
        <v>1942.0</v>
      </c>
      <c r="AW47" s="15">
        <v>5676.2</v>
      </c>
      <c r="AX47" s="15">
        <v>2000.0</v>
      </c>
      <c r="AY47" s="15">
        <v>125.0</v>
      </c>
      <c r="AZ47" s="15">
        <v>291.0</v>
      </c>
      <c r="BA47" s="15">
        <v>1089.17</v>
      </c>
      <c r="BB47" s="15">
        <v>9181.37</v>
      </c>
      <c r="BC47" s="15">
        <v>1377.21</v>
      </c>
      <c r="BD47" s="15">
        <v>10558.58</v>
      </c>
      <c r="BE47" s="14">
        <v>45748.0</v>
      </c>
      <c r="BF47" s="14">
        <v>45838.0</v>
      </c>
      <c r="BG47" s="12">
        <v>21788.0</v>
      </c>
      <c r="BH47" s="12">
        <v>27788.0</v>
      </c>
      <c r="BI47" s="12">
        <v>6000.0</v>
      </c>
      <c r="BJ47" s="12">
        <v>15000.0</v>
      </c>
      <c r="BK47" s="12">
        <v>-9000.0</v>
      </c>
      <c r="BL47" s="15">
        <v>0.46</v>
      </c>
      <c r="BM47" s="15">
        <v>0.9</v>
      </c>
      <c r="BN47" s="15">
        <v>0.0</v>
      </c>
      <c r="BO47" s="15">
        <v>0.0</v>
      </c>
      <c r="BP47" s="15">
        <v>0.0</v>
      </c>
      <c r="BQ47" s="15">
        <v>-540.0</v>
      </c>
      <c r="BR47" s="15">
        <v>0.0</v>
      </c>
      <c r="BS47" s="15">
        <v>0.0</v>
      </c>
      <c r="BT47" s="15">
        <v>0.0</v>
      </c>
      <c r="BU47" s="15">
        <v>0.0</v>
      </c>
      <c r="BV47" s="15">
        <v>0.0</v>
      </c>
      <c r="BW47" s="15">
        <v>0.0</v>
      </c>
      <c r="BX47" s="15">
        <v>0.0</v>
      </c>
      <c r="BY47" s="15">
        <v>4864.61</v>
      </c>
      <c r="BZ47" s="12">
        <v>0.0</v>
      </c>
      <c r="CA47" s="15">
        <v>114.0</v>
      </c>
      <c r="CB47" s="12">
        <v>0.0</v>
      </c>
      <c r="CC47" s="15">
        <v>0.0</v>
      </c>
      <c r="CD47" s="15">
        <v>0.0</v>
      </c>
      <c r="CE47" s="15">
        <v>0.0</v>
      </c>
      <c r="CF47" s="15">
        <v>0.0</v>
      </c>
      <c r="CG47" s="15">
        <v>0.0</v>
      </c>
      <c r="CH47" s="15">
        <v>6418.58</v>
      </c>
      <c r="CI47" s="15">
        <v>837.21</v>
      </c>
      <c r="CJ47" s="15">
        <v>5581.37</v>
      </c>
      <c r="CK47" s="15">
        <v>2.57</v>
      </c>
      <c r="CL47" s="12">
        <v>0.0</v>
      </c>
      <c r="CM47" s="12">
        <v>0.0</v>
      </c>
      <c r="CN47" s="12">
        <v>0.0</v>
      </c>
      <c r="CO47" s="12">
        <v>100.0</v>
      </c>
      <c r="CP47" s="14"/>
      <c r="CQ47" s="12">
        <v>0.0</v>
      </c>
      <c r="CR47" s="12">
        <v>0.0</v>
      </c>
      <c r="CS47" s="12">
        <v>0.0</v>
      </c>
      <c r="CT47" s="12">
        <v>-45284.0</v>
      </c>
      <c r="CU47" s="14">
        <v>46752.0</v>
      </c>
      <c r="CV47" s="14">
        <v>46752.0</v>
      </c>
      <c r="CW47" s="12">
        <v>220607.0</v>
      </c>
      <c r="CX47" s="12" t="s">
        <v>122</v>
      </c>
      <c r="CY47" s="12" t="s">
        <v>123</v>
      </c>
      <c r="CZ47" s="15">
        <v>4370.4</v>
      </c>
      <c r="DA47" s="15">
        <v>0.0</v>
      </c>
      <c r="DB47" s="15">
        <v>-22484.0</v>
      </c>
      <c r="DC47" s="15">
        <v>0.4</v>
      </c>
      <c r="DD47" s="15">
        <v>-3600.0</v>
      </c>
      <c r="DE47" s="15">
        <v>-4140.0</v>
      </c>
      <c r="DF47" s="12"/>
    </row>
    <row r="48" ht="13.5" customHeight="1">
      <c r="A48" s="12" t="s">
        <v>175</v>
      </c>
      <c r="B48" s="13">
        <v>43862.0</v>
      </c>
      <c r="C48" s="12" t="s">
        <v>124</v>
      </c>
      <c r="D48" s="12" t="s">
        <v>125</v>
      </c>
      <c r="E48" s="12" t="s">
        <v>126</v>
      </c>
      <c r="F48" s="12" t="s">
        <v>172</v>
      </c>
      <c r="G48" s="12" t="s">
        <v>140</v>
      </c>
      <c r="H48" s="12" t="s">
        <v>114</v>
      </c>
      <c r="I48" s="14">
        <v>43879.0</v>
      </c>
      <c r="J48" s="14">
        <v>43880.0</v>
      </c>
      <c r="K48" s="12">
        <f t="shared" si="1"/>
        <v>1</v>
      </c>
      <c r="L48" s="12">
        <v>1.0</v>
      </c>
      <c r="M48" s="12">
        <f t="shared" si="2"/>
        <v>0</v>
      </c>
      <c r="N48" s="14">
        <v>43878.0</v>
      </c>
      <c r="O48" s="14">
        <v>43903.0</v>
      </c>
      <c r="P48" s="12">
        <f t="shared" si="3"/>
        <v>25</v>
      </c>
      <c r="Q48" s="12">
        <v>90.0</v>
      </c>
      <c r="R48" s="12">
        <f t="shared" si="4"/>
        <v>-65</v>
      </c>
      <c r="S48" s="12" t="s">
        <v>274</v>
      </c>
      <c r="T48" s="12" t="s">
        <v>275</v>
      </c>
      <c r="U48" s="12" t="s">
        <v>117</v>
      </c>
      <c r="V48" s="12" t="s">
        <v>132</v>
      </c>
      <c r="W48" s="12" t="s">
        <v>133</v>
      </c>
      <c r="X48" s="12" t="s">
        <v>164</v>
      </c>
      <c r="Y48" s="12">
        <v>2024.0</v>
      </c>
      <c r="Z48" s="12" t="s">
        <v>135</v>
      </c>
      <c r="AA48" s="12">
        <v>2498.0</v>
      </c>
      <c r="AB48" s="12">
        <v>16.0</v>
      </c>
      <c r="AC48" s="12">
        <v>0.0</v>
      </c>
      <c r="AD48" s="15">
        <v>365565.22</v>
      </c>
      <c r="AE48" s="15">
        <v>71993.18</v>
      </c>
      <c r="AF48" s="16">
        <v>0.2</v>
      </c>
      <c r="AG48" s="15">
        <v>21390.4</v>
      </c>
      <c r="AH48" s="15">
        <v>3378.04</v>
      </c>
      <c r="AI48" s="12">
        <v>7.75</v>
      </c>
      <c r="AJ48" s="15">
        <v>168160.0</v>
      </c>
      <c r="AK48" s="12">
        <v>46.0</v>
      </c>
      <c r="AL48" s="14">
        <v>43903.0</v>
      </c>
      <c r="AM48" s="14">
        <v>45729.0</v>
      </c>
      <c r="AN48" s="12">
        <v>60.0</v>
      </c>
      <c r="AO48" s="12">
        <v>5000.0</v>
      </c>
      <c r="AP48" s="12">
        <v>220000.0</v>
      </c>
      <c r="AQ48" s="14">
        <v>46112.0</v>
      </c>
      <c r="AR48" s="12">
        <v>30365.0</v>
      </c>
      <c r="AS48" s="12">
        <v>33508.0</v>
      </c>
      <c r="AT48" s="12">
        <v>3143.0</v>
      </c>
      <c r="AU48" s="12">
        <v>32907.0</v>
      </c>
      <c r="AV48" s="12">
        <v>2351.0</v>
      </c>
      <c r="AW48" s="15">
        <v>5819.37</v>
      </c>
      <c r="AX48" s="15">
        <v>2000.0</v>
      </c>
      <c r="AY48" s="15">
        <v>125.0</v>
      </c>
      <c r="AZ48" s="15">
        <v>291.0</v>
      </c>
      <c r="BA48" s="15">
        <v>1089.17</v>
      </c>
      <c r="BB48" s="15">
        <v>9324.54</v>
      </c>
      <c r="BC48" s="15">
        <v>1398.68</v>
      </c>
      <c r="BD48" s="15">
        <v>10723.22</v>
      </c>
      <c r="BE48" s="14">
        <v>45748.0</v>
      </c>
      <c r="BF48" s="14">
        <v>45838.0</v>
      </c>
      <c r="BG48" s="12">
        <v>25185.0</v>
      </c>
      <c r="BH48" s="12">
        <v>33508.0</v>
      </c>
      <c r="BI48" s="12">
        <v>8323.0</v>
      </c>
      <c r="BJ48" s="12">
        <v>15000.0</v>
      </c>
      <c r="BK48" s="12">
        <v>-6677.0</v>
      </c>
      <c r="BL48" s="15">
        <v>0.46</v>
      </c>
      <c r="BM48" s="15">
        <v>0.9</v>
      </c>
      <c r="BN48" s="15">
        <v>0.0</v>
      </c>
      <c r="BO48" s="15">
        <v>0.0</v>
      </c>
      <c r="BP48" s="15">
        <v>0.0</v>
      </c>
      <c r="BQ48" s="15">
        <v>-400.62</v>
      </c>
      <c r="BR48" s="15">
        <v>0.0</v>
      </c>
      <c r="BS48" s="15">
        <v>0.0</v>
      </c>
      <c r="BT48" s="15">
        <v>0.0</v>
      </c>
      <c r="BU48" s="15">
        <v>0.0</v>
      </c>
      <c r="BV48" s="15">
        <v>0.0</v>
      </c>
      <c r="BW48" s="15">
        <v>0.0</v>
      </c>
      <c r="BX48" s="15">
        <v>0.0</v>
      </c>
      <c r="BY48" s="15">
        <v>7031.78</v>
      </c>
      <c r="BZ48" s="12">
        <v>0.0</v>
      </c>
      <c r="CA48" s="15">
        <v>0.0</v>
      </c>
      <c r="CB48" s="12">
        <v>0.0</v>
      </c>
      <c r="CC48" s="15">
        <v>0.0</v>
      </c>
      <c r="CD48" s="15">
        <v>0.0</v>
      </c>
      <c r="CE48" s="15">
        <v>0.0</v>
      </c>
      <c r="CF48" s="15">
        <v>0.0</v>
      </c>
      <c r="CG48" s="15">
        <v>0.0</v>
      </c>
      <c r="CH48" s="15">
        <v>7651.8</v>
      </c>
      <c r="CI48" s="15">
        <v>998.06</v>
      </c>
      <c r="CJ48" s="15">
        <v>6653.74</v>
      </c>
      <c r="CK48" s="15">
        <v>2.12</v>
      </c>
      <c r="CL48" s="12">
        <v>0.0</v>
      </c>
      <c r="CM48" s="12">
        <v>0.0</v>
      </c>
      <c r="CN48" s="12">
        <v>0.0</v>
      </c>
      <c r="CO48" s="12">
        <v>100.0</v>
      </c>
      <c r="CP48" s="14"/>
      <c r="CQ48" s="12">
        <v>0.0</v>
      </c>
      <c r="CR48" s="12">
        <v>0.0</v>
      </c>
      <c r="CS48" s="12">
        <v>0.0</v>
      </c>
      <c r="CT48" s="12">
        <v>-39394.0</v>
      </c>
      <c r="CU48" s="14">
        <v>46752.0</v>
      </c>
      <c r="CV48" s="14">
        <v>46752.0</v>
      </c>
      <c r="CW48" s="12">
        <v>220601.0</v>
      </c>
      <c r="CX48" s="12" t="s">
        <v>122</v>
      </c>
      <c r="CY48" s="12" t="s">
        <v>123</v>
      </c>
      <c r="CZ48" s="15">
        <v>3414.8</v>
      </c>
      <c r="DA48" s="15">
        <v>0.0</v>
      </c>
      <c r="DB48" s="15">
        <v>-19172.4</v>
      </c>
      <c r="DC48" s="15">
        <v>0.4</v>
      </c>
      <c r="DD48" s="15">
        <v>-2670.8</v>
      </c>
      <c r="DE48" s="15">
        <v>-3071.42</v>
      </c>
      <c r="DF48" s="12"/>
    </row>
    <row r="49" ht="13.5" customHeight="1">
      <c r="A49" s="12" t="s">
        <v>203</v>
      </c>
      <c r="B49" s="13">
        <v>43862.0</v>
      </c>
      <c r="C49" s="12" t="s">
        <v>136</v>
      </c>
      <c r="D49" s="12" t="s">
        <v>137</v>
      </c>
      <c r="E49" s="12" t="s">
        <v>138</v>
      </c>
      <c r="F49" s="12" t="s">
        <v>172</v>
      </c>
      <c r="G49" s="12" t="s">
        <v>140</v>
      </c>
      <c r="H49" s="12" t="s">
        <v>129</v>
      </c>
      <c r="I49" s="14">
        <v>43880.0</v>
      </c>
      <c r="J49" s="14">
        <v>43887.0</v>
      </c>
      <c r="K49" s="12">
        <f t="shared" si="1"/>
        <v>7</v>
      </c>
      <c r="L49" s="12">
        <v>1.0</v>
      </c>
      <c r="M49" s="12">
        <f t="shared" si="2"/>
        <v>6</v>
      </c>
      <c r="N49" s="14">
        <v>43879.0</v>
      </c>
      <c r="O49" s="14">
        <v>43904.0</v>
      </c>
      <c r="P49" s="12">
        <f t="shared" si="3"/>
        <v>25</v>
      </c>
      <c r="Q49" s="12">
        <v>90.0</v>
      </c>
      <c r="R49" s="12">
        <f t="shared" si="4"/>
        <v>-65</v>
      </c>
      <c r="S49" s="12" t="s">
        <v>276</v>
      </c>
      <c r="T49" s="12" t="s">
        <v>277</v>
      </c>
      <c r="U49" s="12" t="s">
        <v>117</v>
      </c>
      <c r="V49" s="12" t="s">
        <v>132</v>
      </c>
      <c r="W49" s="12" t="s">
        <v>133</v>
      </c>
      <c r="X49" s="12" t="s">
        <v>164</v>
      </c>
      <c r="Y49" s="12">
        <v>2024.0</v>
      </c>
      <c r="Z49" s="12" t="s">
        <v>135</v>
      </c>
      <c r="AA49" s="12">
        <v>2498.0</v>
      </c>
      <c r="AB49" s="12">
        <v>16.0</v>
      </c>
      <c r="AC49" s="12">
        <v>1.0</v>
      </c>
      <c r="AD49" s="15">
        <v>365565.22</v>
      </c>
      <c r="AE49" s="15">
        <v>71993.18</v>
      </c>
      <c r="AF49" s="16">
        <v>0.2</v>
      </c>
      <c r="AG49" s="15">
        <v>17029.89</v>
      </c>
      <c r="AH49" s="15">
        <v>1986.0</v>
      </c>
      <c r="AI49" s="12">
        <v>7.75</v>
      </c>
      <c r="AJ49" s="15">
        <v>182783.0</v>
      </c>
      <c r="AK49" s="12">
        <v>50.0</v>
      </c>
      <c r="AL49" s="14">
        <v>43904.0</v>
      </c>
      <c r="AM49" s="14">
        <v>45730.0</v>
      </c>
      <c r="AN49" s="12">
        <v>60.0</v>
      </c>
      <c r="AO49" s="12">
        <v>10000.0</v>
      </c>
      <c r="AP49" s="12">
        <v>220000.0</v>
      </c>
      <c r="AQ49" s="14">
        <v>46112.0</v>
      </c>
      <c r="AR49" s="12">
        <v>72486.0</v>
      </c>
      <c r="AS49" s="12">
        <v>78788.0</v>
      </c>
      <c r="AT49" s="12">
        <v>6302.0</v>
      </c>
      <c r="AU49" s="12">
        <v>78187.0</v>
      </c>
      <c r="AV49" s="12">
        <v>5585.0</v>
      </c>
      <c r="AW49" s="15">
        <v>8349.36</v>
      </c>
      <c r="AX49" s="15">
        <v>4000.0</v>
      </c>
      <c r="AY49" s="15">
        <v>125.0</v>
      </c>
      <c r="AZ49" s="15">
        <v>291.0</v>
      </c>
      <c r="BA49" s="15">
        <v>1114.0</v>
      </c>
      <c r="BB49" s="15">
        <v>13879.36</v>
      </c>
      <c r="BC49" s="15">
        <v>2081.9</v>
      </c>
      <c r="BD49" s="15">
        <v>15961.26</v>
      </c>
      <c r="BE49" s="14">
        <v>45748.0</v>
      </c>
      <c r="BF49" s="14">
        <v>45838.0</v>
      </c>
      <c r="BG49" s="12">
        <v>64215.0</v>
      </c>
      <c r="BH49" s="12">
        <v>78788.0</v>
      </c>
      <c r="BI49" s="12">
        <v>14573.0</v>
      </c>
      <c r="BJ49" s="12">
        <v>30000.0</v>
      </c>
      <c r="BK49" s="12">
        <v>-15427.0</v>
      </c>
      <c r="BL49" s="15">
        <v>0.46</v>
      </c>
      <c r="BM49" s="15">
        <v>0.83</v>
      </c>
      <c r="BN49" s="15">
        <v>0.0</v>
      </c>
      <c r="BO49" s="15">
        <v>0.0</v>
      </c>
      <c r="BP49" s="15">
        <v>0.0</v>
      </c>
      <c r="BQ49" s="15">
        <v>-925.62</v>
      </c>
      <c r="BR49" s="15">
        <v>0.0</v>
      </c>
      <c r="BS49" s="15">
        <v>0.0</v>
      </c>
      <c r="BT49" s="15">
        <v>0.0</v>
      </c>
      <c r="BU49" s="15">
        <v>0.0</v>
      </c>
      <c r="BV49" s="15">
        <v>0.0</v>
      </c>
      <c r="BW49" s="15">
        <v>0.0</v>
      </c>
      <c r="BX49" s="15">
        <v>0.0</v>
      </c>
      <c r="BY49" s="15">
        <v>13787.84</v>
      </c>
      <c r="BZ49" s="12">
        <v>0.0</v>
      </c>
      <c r="CA49" s="15">
        <v>98.0</v>
      </c>
      <c r="CB49" s="12">
        <v>0.0</v>
      </c>
      <c r="CC49" s="15">
        <v>0.0</v>
      </c>
      <c r="CD49" s="15">
        <v>0.0</v>
      </c>
      <c r="CE49" s="15">
        <v>0.0</v>
      </c>
      <c r="CF49" s="15">
        <v>0.0</v>
      </c>
      <c r="CG49" s="15">
        <v>0.0</v>
      </c>
      <c r="CH49" s="15">
        <v>8864.84</v>
      </c>
      <c r="CI49" s="15">
        <v>1156.28</v>
      </c>
      <c r="CJ49" s="15">
        <v>7708.56</v>
      </c>
      <c r="CK49" s="15">
        <v>1.22</v>
      </c>
      <c r="CL49" s="12">
        <v>0.0</v>
      </c>
      <c r="CM49" s="12">
        <v>0.0</v>
      </c>
      <c r="CN49" s="12">
        <v>0.0</v>
      </c>
      <c r="CO49" s="12">
        <v>100.0</v>
      </c>
      <c r="CP49" s="14"/>
      <c r="CQ49" s="12">
        <v>0.0</v>
      </c>
      <c r="CR49" s="12">
        <v>0.0</v>
      </c>
      <c r="CS49" s="12">
        <v>0.0</v>
      </c>
      <c r="CT49" s="12">
        <v>-66415.0</v>
      </c>
      <c r="CU49" s="14">
        <v>46081.0</v>
      </c>
      <c r="CV49" s="14">
        <v>46081.0</v>
      </c>
      <c r="CW49" s="12">
        <v>220601.0</v>
      </c>
      <c r="CX49" s="12" t="s">
        <v>122</v>
      </c>
      <c r="CY49" s="12" t="s">
        <v>123</v>
      </c>
      <c r="CZ49" s="15">
        <v>6926.0</v>
      </c>
      <c r="DA49" s="15">
        <v>0.0</v>
      </c>
      <c r="DB49" s="15">
        <v>-33492.0</v>
      </c>
      <c r="DC49" s="15">
        <v>0.4</v>
      </c>
      <c r="DD49" s="15">
        <v>-6170.8</v>
      </c>
      <c r="DE49" s="15">
        <v>-7096.42</v>
      </c>
      <c r="DF49" s="12"/>
    </row>
    <row r="50" ht="13.5" customHeight="1">
      <c r="A50" s="12" t="s">
        <v>203</v>
      </c>
      <c r="B50" s="13">
        <v>43862.0</v>
      </c>
      <c r="C50" s="12" t="s">
        <v>109</v>
      </c>
      <c r="D50" s="12" t="s">
        <v>110</v>
      </c>
      <c r="E50" s="12" t="s">
        <v>111</v>
      </c>
      <c r="F50" s="12" t="s">
        <v>172</v>
      </c>
      <c r="G50" s="12" t="s">
        <v>140</v>
      </c>
      <c r="H50" s="12" t="s">
        <v>141</v>
      </c>
      <c r="I50" s="14">
        <v>43881.0</v>
      </c>
      <c r="J50" s="14">
        <v>43882.0</v>
      </c>
      <c r="K50" s="12">
        <f t="shared" si="1"/>
        <v>1</v>
      </c>
      <c r="L50" s="12">
        <v>1.0</v>
      </c>
      <c r="M50" s="12">
        <f t="shared" si="2"/>
        <v>0</v>
      </c>
      <c r="N50" s="14">
        <v>43880.0</v>
      </c>
      <c r="O50" s="14">
        <v>43905.0</v>
      </c>
      <c r="P50" s="12">
        <f t="shared" si="3"/>
        <v>25</v>
      </c>
      <c r="Q50" s="12">
        <v>90.0</v>
      </c>
      <c r="R50" s="12">
        <f t="shared" si="4"/>
        <v>-65</v>
      </c>
      <c r="S50" s="12" t="s">
        <v>278</v>
      </c>
      <c r="T50" s="12" t="s">
        <v>279</v>
      </c>
      <c r="U50" s="12" t="s">
        <v>117</v>
      </c>
      <c r="V50" s="12" t="s">
        <v>147</v>
      </c>
      <c r="W50" s="12" t="s">
        <v>182</v>
      </c>
      <c r="X50" s="12" t="s">
        <v>183</v>
      </c>
      <c r="Y50" s="12">
        <v>2024.0</v>
      </c>
      <c r="Z50" s="12" t="s">
        <v>135</v>
      </c>
      <c r="AA50" s="12">
        <v>1998.0</v>
      </c>
      <c r="AB50" s="12">
        <v>16.0</v>
      </c>
      <c r="AC50" s="12">
        <v>5.0</v>
      </c>
      <c r="AD50" s="15">
        <v>482957.0</v>
      </c>
      <c r="AE50" s="15">
        <v>30373.37</v>
      </c>
      <c r="AF50" s="16">
        <v>0.06</v>
      </c>
      <c r="AG50" s="15">
        <v>26159.61</v>
      </c>
      <c r="AH50" s="15">
        <v>2621.0</v>
      </c>
      <c r="AI50" s="12">
        <v>7.75</v>
      </c>
      <c r="AJ50" s="15">
        <v>249772.0</v>
      </c>
      <c r="AK50" s="12">
        <v>51.72</v>
      </c>
      <c r="AL50" s="14">
        <v>43905.0</v>
      </c>
      <c r="AM50" s="14">
        <v>45731.0</v>
      </c>
      <c r="AN50" s="12">
        <v>60.0</v>
      </c>
      <c r="AO50" s="12">
        <v>3000.0</v>
      </c>
      <c r="AP50" s="12">
        <v>180000.0</v>
      </c>
      <c r="AQ50" s="14">
        <v>46142.0</v>
      </c>
      <c r="AR50" s="12">
        <v>40212.0</v>
      </c>
      <c r="AS50" s="12">
        <v>46038.0</v>
      </c>
      <c r="AT50" s="12">
        <v>5826.0</v>
      </c>
      <c r="AU50" s="12">
        <v>45436.0</v>
      </c>
      <c r="AV50" s="12">
        <v>3245.0</v>
      </c>
      <c r="AW50" s="15">
        <v>7161.78</v>
      </c>
      <c r="AX50" s="15">
        <v>1800.0</v>
      </c>
      <c r="AY50" s="15">
        <v>125.0</v>
      </c>
      <c r="AZ50" s="15">
        <v>291.0</v>
      </c>
      <c r="BA50" s="15">
        <v>1453.23</v>
      </c>
      <c r="BB50" s="15">
        <v>10831.01</v>
      </c>
      <c r="BC50" s="15">
        <v>1624.65</v>
      </c>
      <c r="BD50" s="15">
        <v>12455.66</v>
      </c>
      <c r="BE50" s="14">
        <v>45748.0</v>
      </c>
      <c r="BF50" s="14">
        <v>45838.0</v>
      </c>
      <c r="BG50" s="12">
        <v>39269.0</v>
      </c>
      <c r="BH50" s="12">
        <v>46038.0</v>
      </c>
      <c r="BI50" s="12">
        <v>6769.0</v>
      </c>
      <c r="BJ50" s="12">
        <v>9000.0</v>
      </c>
      <c r="BK50" s="12">
        <v>-2231.0</v>
      </c>
      <c r="BL50" s="15">
        <v>0.69</v>
      </c>
      <c r="BM50" s="15">
        <v>1.3</v>
      </c>
      <c r="BN50" s="15">
        <v>0.0</v>
      </c>
      <c r="BO50" s="15">
        <v>0.0</v>
      </c>
      <c r="BP50" s="15">
        <v>0.0</v>
      </c>
      <c r="BQ50" s="15">
        <v>-200.79</v>
      </c>
      <c r="BR50" s="15">
        <v>0.0</v>
      </c>
      <c r="BS50" s="15">
        <v>0.0</v>
      </c>
      <c r="BT50" s="15">
        <v>0.0</v>
      </c>
      <c r="BU50" s="15">
        <v>0.0</v>
      </c>
      <c r="BV50" s="15">
        <v>0.0</v>
      </c>
      <c r="BW50" s="15">
        <v>0.0</v>
      </c>
      <c r="BX50" s="15">
        <v>0.0</v>
      </c>
      <c r="BY50" s="15">
        <v>6300.48</v>
      </c>
      <c r="BZ50" s="12">
        <v>0.0</v>
      </c>
      <c r="CA50" s="15">
        <v>0.0</v>
      </c>
      <c r="CB50" s="12">
        <v>0.0</v>
      </c>
      <c r="CC50" s="15">
        <v>0.0</v>
      </c>
      <c r="CD50" s="15">
        <v>0.0</v>
      </c>
      <c r="CE50" s="15">
        <v>0.0</v>
      </c>
      <c r="CF50" s="15">
        <v>0.0</v>
      </c>
      <c r="CG50" s="15">
        <v>0.0</v>
      </c>
      <c r="CH50" s="15">
        <v>10916.27</v>
      </c>
      <c r="CI50" s="15">
        <v>1423.86</v>
      </c>
      <c r="CJ50" s="15">
        <v>9492.41</v>
      </c>
      <c r="CK50" s="15">
        <v>1.63</v>
      </c>
      <c r="CL50" s="12">
        <v>0.0</v>
      </c>
      <c r="CM50" s="12">
        <v>0.0</v>
      </c>
      <c r="CN50" s="12">
        <v>0.0</v>
      </c>
      <c r="CO50" s="12">
        <v>100.0</v>
      </c>
      <c r="CP50" s="14"/>
      <c r="CQ50" s="12">
        <v>0.0</v>
      </c>
      <c r="CR50" s="12">
        <v>0.0</v>
      </c>
      <c r="CS50" s="12">
        <v>0.0</v>
      </c>
      <c r="CT50" s="12">
        <v>1858.0</v>
      </c>
      <c r="CU50" s="14">
        <v>47238.0</v>
      </c>
      <c r="CV50" s="14">
        <v>47238.0</v>
      </c>
      <c r="CW50" s="12">
        <v>180602.0</v>
      </c>
      <c r="CX50" s="12" t="s">
        <v>122</v>
      </c>
      <c r="CY50" s="12" t="s">
        <v>123</v>
      </c>
      <c r="CZ50" s="15">
        <v>4627.83</v>
      </c>
      <c r="DA50" s="15">
        <v>8719.1</v>
      </c>
      <c r="DB50" s="15">
        <v>-2909.4</v>
      </c>
      <c r="DC50" s="15">
        <v>0.6</v>
      </c>
      <c r="DD50" s="15">
        <v>-1338.6</v>
      </c>
      <c r="DE50" s="15">
        <v>-1539.39</v>
      </c>
      <c r="DF50" s="12"/>
    </row>
    <row r="51" ht="13.5" customHeight="1">
      <c r="A51" s="12" t="s">
        <v>203</v>
      </c>
      <c r="B51" s="13">
        <v>43862.0</v>
      </c>
      <c r="C51" s="12" t="s">
        <v>124</v>
      </c>
      <c r="D51" s="12" t="s">
        <v>125</v>
      </c>
      <c r="E51" s="12" t="s">
        <v>126</v>
      </c>
      <c r="F51" s="12" t="s">
        <v>172</v>
      </c>
      <c r="G51" s="12" t="s">
        <v>140</v>
      </c>
      <c r="H51" s="12" t="s">
        <v>114</v>
      </c>
      <c r="I51" s="14">
        <v>43882.0</v>
      </c>
      <c r="J51" s="14">
        <v>43883.0</v>
      </c>
      <c r="K51" s="12">
        <f t="shared" si="1"/>
        <v>1</v>
      </c>
      <c r="L51" s="12">
        <v>1.0</v>
      </c>
      <c r="M51" s="12">
        <f t="shared" si="2"/>
        <v>0</v>
      </c>
      <c r="N51" s="14">
        <v>43881.0</v>
      </c>
      <c r="O51" s="14">
        <v>43906.0</v>
      </c>
      <c r="P51" s="12">
        <f t="shared" si="3"/>
        <v>25</v>
      </c>
      <c r="Q51" s="12">
        <v>90.0</v>
      </c>
      <c r="R51" s="12">
        <f t="shared" si="4"/>
        <v>-65</v>
      </c>
      <c r="S51" s="12" t="s">
        <v>280</v>
      </c>
      <c r="T51" s="12" t="s">
        <v>281</v>
      </c>
      <c r="U51" s="12" t="s">
        <v>117</v>
      </c>
      <c r="V51" s="12" t="s">
        <v>132</v>
      </c>
      <c r="W51" s="12" t="s">
        <v>133</v>
      </c>
      <c r="X51" s="12" t="s">
        <v>164</v>
      </c>
      <c r="Y51" s="12">
        <v>2024.0</v>
      </c>
      <c r="Z51" s="12" t="s">
        <v>135</v>
      </c>
      <c r="AA51" s="12">
        <v>2498.0</v>
      </c>
      <c r="AB51" s="12">
        <v>16.0</v>
      </c>
      <c r="AC51" s="12">
        <v>0.0</v>
      </c>
      <c r="AD51" s="15">
        <v>365565.22</v>
      </c>
      <c r="AE51" s="15">
        <v>71993.18</v>
      </c>
      <c r="AF51" s="16">
        <v>0.2</v>
      </c>
      <c r="AG51" s="15">
        <v>18877.3</v>
      </c>
      <c r="AH51" s="15">
        <v>5735.34</v>
      </c>
      <c r="AI51" s="12">
        <v>7.75</v>
      </c>
      <c r="AJ51" s="15">
        <v>182783.0</v>
      </c>
      <c r="AK51" s="12">
        <v>50.0</v>
      </c>
      <c r="AL51" s="14">
        <v>43906.0</v>
      </c>
      <c r="AM51" s="14">
        <v>45732.0</v>
      </c>
      <c r="AN51" s="12">
        <v>60.0</v>
      </c>
      <c r="AO51" s="12">
        <v>10000.0</v>
      </c>
      <c r="AP51" s="12">
        <v>220000.0</v>
      </c>
      <c r="AQ51" s="14">
        <v>46112.0</v>
      </c>
      <c r="AR51" s="12">
        <v>36578.0</v>
      </c>
      <c r="AS51" s="12">
        <v>39676.0</v>
      </c>
      <c r="AT51" s="12">
        <v>3098.0</v>
      </c>
      <c r="AU51" s="12">
        <v>39074.0</v>
      </c>
      <c r="AV51" s="12">
        <v>2791.0</v>
      </c>
      <c r="AW51" s="15">
        <v>8698.29</v>
      </c>
      <c r="AX51" s="15">
        <v>4000.0</v>
      </c>
      <c r="AY51" s="15">
        <v>125.0</v>
      </c>
      <c r="AZ51" s="15">
        <v>291.0</v>
      </c>
      <c r="BA51" s="15">
        <v>1114.0</v>
      </c>
      <c r="BB51" s="15">
        <v>14228.29</v>
      </c>
      <c r="BC51" s="15">
        <v>2134.24</v>
      </c>
      <c r="BD51" s="15">
        <v>16362.53</v>
      </c>
      <c r="BE51" s="14">
        <v>45748.0</v>
      </c>
      <c r="BF51" s="14">
        <v>45838.0</v>
      </c>
      <c r="BG51" s="12">
        <v>32148.0</v>
      </c>
      <c r="BH51" s="12">
        <v>39676.0</v>
      </c>
      <c r="BI51" s="12">
        <v>7528.0</v>
      </c>
      <c r="BJ51" s="12">
        <v>30000.0</v>
      </c>
      <c r="BK51" s="12">
        <v>-22472.0</v>
      </c>
      <c r="BL51" s="15">
        <v>0.46</v>
      </c>
      <c r="BM51" s="15">
        <v>0.83</v>
      </c>
      <c r="BN51" s="15">
        <v>0.0</v>
      </c>
      <c r="BO51" s="15">
        <v>0.0</v>
      </c>
      <c r="BP51" s="15">
        <v>0.0</v>
      </c>
      <c r="BQ51" s="15">
        <v>-1348.32</v>
      </c>
      <c r="BR51" s="15">
        <v>0.0</v>
      </c>
      <c r="BS51" s="15">
        <v>0.0</v>
      </c>
      <c r="BT51" s="15">
        <v>0.0</v>
      </c>
      <c r="BU51" s="15">
        <v>0.0</v>
      </c>
      <c r="BV51" s="15">
        <v>0.0</v>
      </c>
      <c r="BW51" s="15">
        <v>0.0</v>
      </c>
      <c r="BX51" s="15">
        <v>0.0</v>
      </c>
      <c r="BY51" s="15">
        <v>7490.56</v>
      </c>
      <c r="BZ51" s="12">
        <v>0.0</v>
      </c>
      <c r="CA51" s="15">
        <v>0.0</v>
      </c>
      <c r="CB51" s="12">
        <v>0.0</v>
      </c>
      <c r="CC51" s="15">
        <v>0.0</v>
      </c>
      <c r="CD51" s="15">
        <v>0.0</v>
      </c>
      <c r="CE51" s="15">
        <v>0.0</v>
      </c>
      <c r="CF51" s="15">
        <v>0.0</v>
      </c>
      <c r="CG51" s="15">
        <v>0.0</v>
      </c>
      <c r="CH51" s="15">
        <v>6025.41</v>
      </c>
      <c r="CI51" s="15">
        <v>785.92</v>
      </c>
      <c r="CJ51" s="15">
        <v>5239.49</v>
      </c>
      <c r="CK51" s="15">
        <v>1.69</v>
      </c>
      <c r="CL51" s="12">
        <v>0.0</v>
      </c>
      <c r="CM51" s="12">
        <v>0.0</v>
      </c>
      <c r="CN51" s="12">
        <v>0.0</v>
      </c>
      <c r="CO51" s="12">
        <v>100.0</v>
      </c>
      <c r="CP51" s="14"/>
      <c r="CQ51" s="12">
        <v>0.0</v>
      </c>
      <c r="CR51" s="12">
        <v>0.0</v>
      </c>
      <c r="CS51" s="12">
        <v>0.0</v>
      </c>
      <c r="CT51" s="12">
        <v>-105528.0</v>
      </c>
      <c r="CU51" s="14">
        <v>46081.0</v>
      </c>
      <c r="CV51" s="14">
        <v>46081.0</v>
      </c>
      <c r="CW51" s="12">
        <v>220602.0</v>
      </c>
      <c r="CX51" s="12" t="s">
        <v>122</v>
      </c>
      <c r="CY51" s="12" t="s">
        <v>123</v>
      </c>
      <c r="CZ51" s="15">
        <v>7989.6</v>
      </c>
      <c r="DA51" s="15">
        <v>0.0</v>
      </c>
      <c r="DB51" s="15">
        <v>-50200.8</v>
      </c>
      <c r="DC51" s="15">
        <v>0.4</v>
      </c>
      <c r="DD51" s="15">
        <v>-8988.8</v>
      </c>
      <c r="DE51" s="15">
        <v>-10337.12</v>
      </c>
      <c r="DF51" s="12"/>
    </row>
    <row r="52" ht="13.5" customHeight="1">
      <c r="A52" s="12" t="s">
        <v>203</v>
      </c>
      <c r="B52" s="13">
        <v>43862.0</v>
      </c>
      <c r="C52" s="12" t="s">
        <v>109</v>
      </c>
      <c r="D52" s="12" t="s">
        <v>137</v>
      </c>
      <c r="E52" s="12" t="s">
        <v>138</v>
      </c>
      <c r="F52" s="12" t="s">
        <v>172</v>
      </c>
      <c r="G52" s="12" t="s">
        <v>140</v>
      </c>
      <c r="H52" s="12" t="s">
        <v>129</v>
      </c>
      <c r="I52" s="14">
        <v>43883.0</v>
      </c>
      <c r="J52" s="14">
        <v>43884.0</v>
      </c>
      <c r="K52" s="12">
        <f t="shared" si="1"/>
        <v>1</v>
      </c>
      <c r="L52" s="12">
        <v>1.0</v>
      </c>
      <c r="M52" s="12">
        <f t="shared" si="2"/>
        <v>0</v>
      </c>
      <c r="N52" s="14">
        <v>43882.0</v>
      </c>
      <c r="O52" s="14">
        <v>43907.0</v>
      </c>
      <c r="P52" s="12">
        <f t="shared" si="3"/>
        <v>25</v>
      </c>
      <c r="Q52" s="12">
        <v>90.0</v>
      </c>
      <c r="R52" s="12">
        <f t="shared" si="4"/>
        <v>-65</v>
      </c>
      <c r="S52" s="12" t="s">
        <v>282</v>
      </c>
      <c r="T52" s="12" t="s">
        <v>283</v>
      </c>
      <c r="U52" s="12" t="s">
        <v>117</v>
      </c>
      <c r="V52" s="12" t="s">
        <v>207</v>
      </c>
      <c r="W52" s="12" t="s">
        <v>182</v>
      </c>
      <c r="X52" s="12" t="s">
        <v>284</v>
      </c>
      <c r="Y52" s="12">
        <v>2024.0</v>
      </c>
      <c r="Z52" s="12" t="s">
        <v>135</v>
      </c>
      <c r="AA52" s="12">
        <v>2198.0</v>
      </c>
      <c r="AB52" s="12">
        <v>16.0</v>
      </c>
      <c r="AC52" s="12">
        <v>0.0</v>
      </c>
      <c r="AD52" s="15">
        <v>729112.71</v>
      </c>
      <c r="AE52" s="15">
        <v>29117.5</v>
      </c>
      <c r="AF52" s="16">
        <v>0.04</v>
      </c>
      <c r="AG52" s="15">
        <v>7185.81</v>
      </c>
      <c r="AH52" s="15">
        <v>1986.0</v>
      </c>
      <c r="AI52" s="12">
        <v>7.75</v>
      </c>
      <c r="AJ52" s="15">
        <v>269772.0</v>
      </c>
      <c r="AK52" s="12">
        <v>37.0</v>
      </c>
      <c r="AL52" s="14">
        <v>43907.0</v>
      </c>
      <c r="AM52" s="14">
        <v>45733.0</v>
      </c>
      <c r="AN52" s="12">
        <v>60.0</v>
      </c>
      <c r="AO52" s="12">
        <v>2500.0</v>
      </c>
      <c r="AP52" s="12">
        <v>150000.0</v>
      </c>
      <c r="AQ52" s="14">
        <v>46112.0</v>
      </c>
      <c r="AR52" s="12">
        <v>10616.0</v>
      </c>
      <c r="AS52" s="12">
        <v>11555.0</v>
      </c>
      <c r="AT52" s="12">
        <v>939.0</v>
      </c>
      <c r="AU52" s="12">
        <v>10888.0</v>
      </c>
      <c r="AV52" s="12">
        <v>778.0</v>
      </c>
      <c r="AW52" s="15">
        <v>11628.52</v>
      </c>
      <c r="AX52" s="15">
        <v>1200.0</v>
      </c>
      <c r="AY52" s="15">
        <v>125.0</v>
      </c>
      <c r="AZ52" s="15">
        <v>290.99</v>
      </c>
      <c r="BA52" s="15">
        <v>1083.24</v>
      </c>
      <c r="BB52" s="15">
        <v>14327.75</v>
      </c>
      <c r="BC52" s="15">
        <v>2149.16</v>
      </c>
      <c r="BD52" s="15">
        <v>16476.91</v>
      </c>
      <c r="BE52" s="14">
        <v>45748.0</v>
      </c>
      <c r="BF52" s="14">
        <v>45838.0</v>
      </c>
      <c r="BG52" s="12">
        <v>9822.0</v>
      </c>
      <c r="BH52" s="12">
        <v>11555.0</v>
      </c>
      <c r="BI52" s="12">
        <v>1733.0</v>
      </c>
      <c r="BJ52" s="12">
        <v>7500.0</v>
      </c>
      <c r="BK52" s="12">
        <v>-5767.0</v>
      </c>
      <c r="BL52" s="15">
        <v>0.55</v>
      </c>
      <c r="BM52" s="15">
        <v>3.06</v>
      </c>
      <c r="BN52" s="15">
        <v>0.0</v>
      </c>
      <c r="BO52" s="15">
        <v>0.0</v>
      </c>
      <c r="BP52" s="15">
        <v>0.0</v>
      </c>
      <c r="BQ52" s="15">
        <v>-415.22</v>
      </c>
      <c r="BR52" s="15">
        <v>0.0</v>
      </c>
      <c r="BS52" s="15">
        <v>0.0</v>
      </c>
      <c r="BT52" s="15">
        <v>0.0</v>
      </c>
      <c r="BU52" s="15">
        <v>0.0</v>
      </c>
      <c r="BV52" s="15">
        <v>0.0</v>
      </c>
      <c r="BW52" s="15">
        <v>0.0</v>
      </c>
      <c r="BX52" s="15">
        <v>0.0</v>
      </c>
      <c r="BY52" s="15">
        <v>0.0</v>
      </c>
      <c r="BZ52" s="12">
        <v>0.0</v>
      </c>
      <c r="CA52" s="15">
        <v>0.0</v>
      </c>
      <c r="CB52" s="12">
        <v>0.0</v>
      </c>
      <c r="CC52" s="15">
        <v>0.0</v>
      </c>
      <c r="CD52" s="15">
        <v>0.0</v>
      </c>
      <c r="CE52" s="15">
        <v>0.0</v>
      </c>
      <c r="CF52" s="15">
        <v>0.0</v>
      </c>
      <c r="CG52" s="15">
        <v>0.0</v>
      </c>
      <c r="CH52" s="15">
        <v>13293.53</v>
      </c>
      <c r="CI52" s="15">
        <v>1733.94</v>
      </c>
      <c r="CJ52" s="15">
        <v>11559.59</v>
      </c>
      <c r="CK52" s="15">
        <v>12.31</v>
      </c>
      <c r="CL52" s="12">
        <v>0.0</v>
      </c>
      <c r="CM52" s="12">
        <v>0.0</v>
      </c>
      <c r="CN52" s="12">
        <v>0.0</v>
      </c>
      <c r="CO52" s="12">
        <v>100.0</v>
      </c>
      <c r="CP52" s="14"/>
      <c r="CQ52" s="12">
        <v>0.0</v>
      </c>
      <c r="CR52" s="12">
        <v>0.0</v>
      </c>
      <c r="CS52" s="12">
        <v>0.0</v>
      </c>
      <c r="CT52" s="12">
        <v>-25262.0</v>
      </c>
      <c r="CU52" s="14">
        <v>47238.0</v>
      </c>
      <c r="CV52" s="14">
        <v>47238.0</v>
      </c>
      <c r="CW52" s="12">
        <v>150667.0</v>
      </c>
      <c r="CX52" s="12" t="s">
        <v>122</v>
      </c>
      <c r="CY52" s="12" t="s">
        <v>123</v>
      </c>
      <c r="CZ52" s="15">
        <v>0.0</v>
      </c>
      <c r="DA52" s="15">
        <v>0.0</v>
      </c>
      <c r="DB52" s="15">
        <v>-12125.76</v>
      </c>
      <c r="DC52" s="15">
        <v>0.48</v>
      </c>
      <c r="DD52" s="15">
        <v>-2768.16</v>
      </c>
      <c r="DE52" s="15">
        <v>-3183.38</v>
      </c>
      <c r="DF52" s="12"/>
    </row>
    <row r="53" ht="13.5" customHeight="1">
      <c r="A53" s="12" t="s">
        <v>203</v>
      </c>
      <c r="B53" s="13">
        <v>43862.0</v>
      </c>
      <c r="C53" s="12" t="s">
        <v>124</v>
      </c>
      <c r="D53" s="12" t="s">
        <v>110</v>
      </c>
      <c r="E53" s="12" t="s">
        <v>111</v>
      </c>
      <c r="F53" s="12" t="s">
        <v>176</v>
      </c>
      <c r="G53" s="12" t="s">
        <v>140</v>
      </c>
      <c r="H53" s="12" t="s">
        <v>141</v>
      </c>
      <c r="I53" s="14">
        <v>43884.0</v>
      </c>
      <c r="J53" s="14">
        <v>43885.0</v>
      </c>
      <c r="K53" s="12">
        <f t="shared" si="1"/>
        <v>1</v>
      </c>
      <c r="L53" s="12">
        <v>1.0</v>
      </c>
      <c r="M53" s="12">
        <f t="shared" si="2"/>
        <v>0</v>
      </c>
      <c r="N53" s="14">
        <v>43883.0</v>
      </c>
      <c r="O53" s="14">
        <v>43908.0</v>
      </c>
      <c r="P53" s="12">
        <f t="shared" si="3"/>
        <v>25</v>
      </c>
      <c r="Q53" s="12">
        <v>90.0</v>
      </c>
      <c r="R53" s="12">
        <f t="shared" si="4"/>
        <v>-65</v>
      </c>
      <c r="S53" s="12" t="s">
        <v>285</v>
      </c>
      <c r="T53" s="12" t="s">
        <v>286</v>
      </c>
      <c r="U53" s="12" t="s">
        <v>117</v>
      </c>
      <c r="V53" s="12" t="s">
        <v>132</v>
      </c>
      <c r="W53" s="12" t="s">
        <v>133</v>
      </c>
      <c r="X53" s="12" t="s">
        <v>164</v>
      </c>
      <c r="Y53" s="12">
        <v>2021.0</v>
      </c>
      <c r="Z53" s="12" t="s">
        <v>135</v>
      </c>
      <c r="AA53" s="12">
        <v>2498.0</v>
      </c>
      <c r="AB53" s="12">
        <v>16.0</v>
      </c>
      <c r="AC53" s="12">
        <v>6.0</v>
      </c>
      <c r="AD53" s="15">
        <v>305826.09</v>
      </c>
      <c r="AE53" s="15">
        <v>47723.1</v>
      </c>
      <c r="AF53" s="16">
        <v>0.16</v>
      </c>
      <c r="AG53" s="15">
        <v>40570.43</v>
      </c>
      <c r="AH53" s="15">
        <v>2237.5</v>
      </c>
      <c r="AI53" s="12">
        <v>7.75</v>
      </c>
      <c r="AJ53" s="15">
        <v>137622.0</v>
      </c>
      <c r="AK53" s="12">
        <v>66.74</v>
      </c>
      <c r="AL53" s="14">
        <v>43908.0</v>
      </c>
      <c r="AM53" s="14">
        <v>45734.0</v>
      </c>
      <c r="AN53" s="12">
        <v>60.0</v>
      </c>
      <c r="AO53" s="12">
        <v>2500.0</v>
      </c>
      <c r="AP53" s="12">
        <v>126483.0</v>
      </c>
      <c r="AQ53" s="14">
        <v>46112.0</v>
      </c>
      <c r="AR53" s="12">
        <v>91600.0</v>
      </c>
      <c r="AS53" s="12">
        <v>92757.0</v>
      </c>
      <c r="AT53" s="12">
        <v>1157.0</v>
      </c>
      <c r="AU53" s="12">
        <v>92168.0</v>
      </c>
      <c r="AV53" s="12">
        <v>1772.0</v>
      </c>
      <c r="AW53" s="15">
        <v>4893.34</v>
      </c>
      <c r="AX53" s="15">
        <v>1493.4</v>
      </c>
      <c r="AY53" s="15">
        <v>125.0</v>
      </c>
      <c r="AZ53" s="15">
        <v>291.0</v>
      </c>
      <c r="BA53" s="15">
        <v>1185.5</v>
      </c>
      <c r="BB53" s="15">
        <v>7988.24</v>
      </c>
      <c r="BC53" s="15">
        <v>1198.24</v>
      </c>
      <c r="BD53" s="15">
        <v>9186.48</v>
      </c>
      <c r="BE53" s="14">
        <v>45748.0</v>
      </c>
      <c r="BF53" s="14">
        <v>45838.0</v>
      </c>
      <c r="BG53" s="12">
        <v>84664.0</v>
      </c>
      <c r="BH53" s="12">
        <v>92757.0</v>
      </c>
      <c r="BI53" s="12">
        <v>8093.0</v>
      </c>
      <c r="BJ53" s="12">
        <v>7500.0</v>
      </c>
      <c r="BK53" s="12">
        <v>593.0</v>
      </c>
      <c r="BL53" s="15">
        <v>0.7</v>
      </c>
      <c r="BM53" s="15">
        <v>1.38</v>
      </c>
      <c r="BN53" s="15">
        <v>415.1</v>
      </c>
      <c r="BO53" s="15">
        <v>818.34</v>
      </c>
      <c r="BP53" s="15">
        <v>1233.44</v>
      </c>
      <c r="BQ53" s="15">
        <v>185.02</v>
      </c>
      <c r="BR53" s="15">
        <v>1418.46</v>
      </c>
      <c r="BS53" s="15">
        <v>0.0</v>
      </c>
      <c r="BT53" s="15">
        <v>0.0</v>
      </c>
      <c r="BU53" s="15">
        <v>0.0</v>
      </c>
      <c r="BV53" s="15">
        <v>0.0</v>
      </c>
      <c r="BW53" s="15">
        <v>0.0</v>
      </c>
      <c r="BX53" s="15">
        <v>0.0</v>
      </c>
      <c r="BY53" s="15">
        <v>1408.74</v>
      </c>
      <c r="BZ53" s="12">
        <v>0.0</v>
      </c>
      <c r="CA53" s="15">
        <v>0.0</v>
      </c>
      <c r="CB53" s="12">
        <v>0.0</v>
      </c>
      <c r="CC53" s="15">
        <v>0.0</v>
      </c>
      <c r="CD53" s="15">
        <v>0.0</v>
      </c>
      <c r="CE53" s="15">
        <v>0.0</v>
      </c>
      <c r="CF53" s="15">
        <v>0.0</v>
      </c>
      <c r="CG53" s="15">
        <v>0.0</v>
      </c>
      <c r="CH53" s="15">
        <v>10604.94</v>
      </c>
      <c r="CI53" s="15">
        <v>1383.26</v>
      </c>
      <c r="CJ53" s="15">
        <v>9221.68</v>
      </c>
      <c r="CK53" s="15">
        <v>7.97</v>
      </c>
      <c r="CL53" s="12">
        <v>0.0</v>
      </c>
      <c r="CM53" s="12">
        <v>0.0</v>
      </c>
      <c r="CN53" s="12">
        <v>0.0</v>
      </c>
      <c r="CO53" s="12">
        <v>100.0</v>
      </c>
      <c r="CP53" s="14"/>
      <c r="CQ53" s="12">
        <v>0.0</v>
      </c>
      <c r="CR53" s="12">
        <v>0.0</v>
      </c>
      <c r="CS53" s="12">
        <v>0.0</v>
      </c>
      <c r="CT53" s="12">
        <v>-52916.0</v>
      </c>
      <c r="CU53" s="14">
        <v>46081.0</v>
      </c>
      <c r="CV53" s="14">
        <v>46081.0</v>
      </c>
      <c r="CW53" s="12">
        <v>127072.0</v>
      </c>
      <c r="CX53" s="12" t="s">
        <v>122</v>
      </c>
      <c r="CY53" s="12" t="s">
        <v>123</v>
      </c>
      <c r="CZ53" s="15">
        <v>2200.8</v>
      </c>
      <c r="DA53" s="15">
        <v>4338.72</v>
      </c>
      <c r="DB53" s="15">
        <v>-3793.2</v>
      </c>
      <c r="DC53" s="15">
        <v>0.6</v>
      </c>
      <c r="DD53" s="15">
        <v>0.0</v>
      </c>
      <c r="DE53" s="15">
        <v>0.0</v>
      </c>
      <c r="DF53" s="12"/>
    </row>
    <row r="54" ht="13.5" customHeight="1">
      <c r="A54" s="12" t="s">
        <v>203</v>
      </c>
      <c r="B54" s="13">
        <v>43862.0</v>
      </c>
      <c r="C54" s="12" t="s">
        <v>136</v>
      </c>
      <c r="D54" s="12" t="s">
        <v>125</v>
      </c>
      <c r="E54" s="12" t="s">
        <v>126</v>
      </c>
      <c r="F54" s="12" t="s">
        <v>287</v>
      </c>
      <c r="G54" s="12" t="s">
        <v>140</v>
      </c>
      <c r="H54" s="12" t="s">
        <v>114</v>
      </c>
      <c r="I54" s="14">
        <v>43885.0</v>
      </c>
      <c r="J54" s="14">
        <v>43886.0</v>
      </c>
      <c r="K54" s="12">
        <f t="shared" si="1"/>
        <v>1</v>
      </c>
      <c r="L54" s="12">
        <v>1.0</v>
      </c>
      <c r="M54" s="12">
        <f t="shared" si="2"/>
        <v>0</v>
      </c>
      <c r="N54" s="14">
        <v>43884.0</v>
      </c>
      <c r="O54" s="14">
        <v>43909.0</v>
      </c>
      <c r="P54" s="12">
        <f t="shared" si="3"/>
        <v>25</v>
      </c>
      <c r="Q54" s="12">
        <v>90.0</v>
      </c>
      <c r="R54" s="12">
        <f t="shared" si="4"/>
        <v>-65</v>
      </c>
      <c r="S54" s="12" t="s">
        <v>288</v>
      </c>
      <c r="T54" s="12" t="s">
        <v>289</v>
      </c>
      <c r="U54" s="12" t="s">
        <v>117</v>
      </c>
      <c r="V54" s="12" t="s">
        <v>207</v>
      </c>
      <c r="W54" s="12" t="s">
        <v>221</v>
      </c>
      <c r="X54" s="12" t="s">
        <v>222</v>
      </c>
      <c r="Y54" s="12">
        <v>2024.0</v>
      </c>
      <c r="Z54" s="12" t="s">
        <v>135</v>
      </c>
      <c r="AA54" s="12">
        <v>2198.0</v>
      </c>
      <c r="AB54" s="12">
        <v>16.0</v>
      </c>
      <c r="AC54" s="12">
        <v>16.0</v>
      </c>
      <c r="AD54" s="15">
        <v>791217.39</v>
      </c>
      <c r="AE54" s="15">
        <v>71209.56</v>
      </c>
      <c r="AF54" s="16">
        <v>0.09</v>
      </c>
      <c r="AG54" s="15">
        <v>13825.78</v>
      </c>
      <c r="AH54" s="15">
        <v>2519.0</v>
      </c>
      <c r="AI54" s="12">
        <v>7.75</v>
      </c>
      <c r="AJ54" s="15">
        <v>137622.0</v>
      </c>
      <c r="AK54" s="12">
        <v>66.74</v>
      </c>
      <c r="AL54" s="14">
        <v>43909.0</v>
      </c>
      <c r="AM54" s="14">
        <v>45735.0</v>
      </c>
      <c r="AN54" s="12">
        <v>60.0</v>
      </c>
      <c r="AO54" s="12">
        <v>887.0</v>
      </c>
      <c r="AP54" s="12">
        <v>148988.0</v>
      </c>
      <c r="AQ54" s="14">
        <v>46112.0</v>
      </c>
      <c r="AR54" s="12">
        <v>148850.0</v>
      </c>
      <c r="AS54" s="12">
        <v>149451.0</v>
      </c>
      <c r="AT54" s="12">
        <v>601.0</v>
      </c>
      <c r="AU54" s="12">
        <v>148988.0</v>
      </c>
      <c r="AV54" s="12">
        <v>12416.0</v>
      </c>
      <c r="AW54" s="15">
        <v>4769.44</v>
      </c>
      <c r="AX54" s="15">
        <v>665.75</v>
      </c>
      <c r="AY54" s="15">
        <v>112.44</v>
      </c>
      <c r="AZ54" s="15">
        <v>172.21</v>
      </c>
      <c r="BA54" s="15">
        <v>937.87</v>
      </c>
      <c r="BB54" s="15">
        <v>6657.71</v>
      </c>
      <c r="BC54" s="15">
        <v>998.66</v>
      </c>
      <c r="BD54" s="15">
        <v>7656.37</v>
      </c>
      <c r="BE54" s="14">
        <v>45748.0</v>
      </c>
      <c r="BF54" s="14">
        <v>45826.0</v>
      </c>
      <c r="BG54" s="12">
        <v>137017.0</v>
      </c>
      <c r="BH54" s="12">
        <v>149451.0</v>
      </c>
      <c r="BI54" s="12">
        <v>12434.0</v>
      </c>
      <c r="BJ54" s="12">
        <v>20387.0</v>
      </c>
      <c r="BK54" s="12">
        <v>-7953.0</v>
      </c>
      <c r="BL54" s="15">
        <v>0.86</v>
      </c>
      <c r="BM54" s="15">
        <v>2.78</v>
      </c>
      <c r="BN54" s="15">
        <v>0.0</v>
      </c>
      <c r="BO54" s="15">
        <v>0.0</v>
      </c>
      <c r="BP54" s="15">
        <v>0.0</v>
      </c>
      <c r="BQ54" s="15">
        <v>-894.71</v>
      </c>
      <c r="BR54" s="15">
        <v>0.0</v>
      </c>
      <c r="BS54" s="15">
        <v>0.0</v>
      </c>
      <c r="BT54" s="15">
        <v>0.0</v>
      </c>
      <c r="BU54" s="15">
        <v>0.0</v>
      </c>
      <c r="BV54" s="15">
        <v>0.0</v>
      </c>
      <c r="BW54" s="15">
        <v>0.0</v>
      </c>
      <c r="BX54" s="15">
        <v>0.0</v>
      </c>
      <c r="BY54" s="15">
        <v>0.0</v>
      </c>
      <c r="BZ54" s="12">
        <v>0.0</v>
      </c>
      <c r="CA54" s="15">
        <v>0.0</v>
      </c>
      <c r="CB54" s="12">
        <v>0.0</v>
      </c>
      <c r="CC54" s="15">
        <v>0.0</v>
      </c>
      <c r="CD54" s="15">
        <v>0.0</v>
      </c>
      <c r="CE54" s="15">
        <v>0.0</v>
      </c>
      <c r="CF54" s="15">
        <v>0.0</v>
      </c>
      <c r="CG54" s="15">
        <v>0.0</v>
      </c>
      <c r="CH54" s="15">
        <v>796.91</v>
      </c>
      <c r="CI54" s="15">
        <v>103.95</v>
      </c>
      <c r="CJ54" s="15">
        <v>692.96</v>
      </c>
      <c r="CK54" s="15">
        <v>1.15</v>
      </c>
      <c r="CL54" s="12">
        <v>0.0</v>
      </c>
      <c r="CM54" s="12">
        <v>0.0</v>
      </c>
      <c r="CN54" s="12">
        <v>0.0</v>
      </c>
      <c r="CO54" s="12">
        <v>100.0</v>
      </c>
      <c r="CP54" s="14"/>
      <c r="CQ54" s="12">
        <v>0.0</v>
      </c>
      <c r="CR54" s="12">
        <v>0.0</v>
      </c>
      <c r="CS54" s="12">
        <v>0.0</v>
      </c>
      <c r="CT54" s="12">
        <v>-45275.0</v>
      </c>
      <c r="CU54" s="14">
        <v>45826.0</v>
      </c>
      <c r="CV54" s="14">
        <v>45826.0</v>
      </c>
      <c r="CW54" s="12">
        <v>149451.0</v>
      </c>
      <c r="CX54" s="12" t="s">
        <v>122</v>
      </c>
      <c r="CY54" s="12" t="s">
        <v>123</v>
      </c>
      <c r="CZ54" s="15">
        <v>8559.36</v>
      </c>
      <c r="DA54" s="15">
        <v>0.0</v>
      </c>
      <c r="DB54" s="15">
        <v>-38410.19</v>
      </c>
      <c r="DC54" s="15">
        <v>0.75</v>
      </c>
      <c r="DD54" s="15">
        <v>-5964.75</v>
      </c>
      <c r="DE54" s="15">
        <v>-6859.46</v>
      </c>
      <c r="DF54" s="12"/>
    </row>
    <row r="55" ht="13.5" customHeight="1">
      <c r="A55" s="12" t="s">
        <v>203</v>
      </c>
      <c r="B55" s="13">
        <v>43862.0</v>
      </c>
      <c r="C55" s="12" t="s">
        <v>109</v>
      </c>
      <c r="D55" s="12" t="s">
        <v>137</v>
      </c>
      <c r="E55" s="12" t="s">
        <v>138</v>
      </c>
      <c r="F55" s="12" t="s">
        <v>176</v>
      </c>
      <c r="G55" s="12" t="s">
        <v>140</v>
      </c>
      <c r="H55" s="12" t="s">
        <v>129</v>
      </c>
      <c r="I55" s="14">
        <v>43886.0</v>
      </c>
      <c r="J55" s="14">
        <v>43890.0</v>
      </c>
      <c r="K55" s="12">
        <f t="shared" si="1"/>
        <v>4</v>
      </c>
      <c r="L55" s="12">
        <v>1.0</v>
      </c>
      <c r="M55" s="12">
        <f t="shared" si="2"/>
        <v>3</v>
      </c>
      <c r="N55" s="14">
        <v>43885.0</v>
      </c>
      <c r="O55" s="14">
        <v>43910.0</v>
      </c>
      <c r="P55" s="12">
        <f t="shared" si="3"/>
        <v>25</v>
      </c>
      <c r="Q55" s="12">
        <v>90.0</v>
      </c>
      <c r="R55" s="12">
        <f t="shared" si="4"/>
        <v>-65</v>
      </c>
      <c r="S55" s="12" t="s">
        <v>290</v>
      </c>
      <c r="T55" s="12" t="s">
        <v>291</v>
      </c>
      <c r="U55" s="12" t="s">
        <v>117</v>
      </c>
      <c r="V55" s="12" t="s">
        <v>118</v>
      </c>
      <c r="W55" s="12" t="s">
        <v>119</v>
      </c>
      <c r="X55" s="12" t="s">
        <v>120</v>
      </c>
      <c r="Y55" s="12">
        <v>2024.0</v>
      </c>
      <c r="Z55" s="12" t="s">
        <v>121</v>
      </c>
      <c r="AA55" s="12">
        <v>1598.0</v>
      </c>
      <c r="AB55" s="12">
        <v>16.0</v>
      </c>
      <c r="AC55" s="12">
        <v>0.0</v>
      </c>
      <c r="AD55" s="15">
        <v>220696.0</v>
      </c>
      <c r="AE55" s="15">
        <v>37696.0</v>
      </c>
      <c r="AF55" s="16">
        <v>0.17</v>
      </c>
      <c r="AG55" s="15">
        <v>29382.46</v>
      </c>
      <c r="AH55" s="15">
        <v>2575.0</v>
      </c>
      <c r="AI55" s="12">
        <v>7.75</v>
      </c>
      <c r="AJ55" s="15">
        <v>94899.0</v>
      </c>
      <c r="AK55" s="12">
        <v>43.0</v>
      </c>
      <c r="AL55" s="14">
        <v>43910.0</v>
      </c>
      <c r="AM55" s="14">
        <v>45736.0</v>
      </c>
      <c r="AN55" s="12">
        <v>60.0</v>
      </c>
      <c r="AO55" s="12">
        <v>1500.0</v>
      </c>
      <c r="AP55" s="12">
        <v>90000.0</v>
      </c>
      <c r="AQ55" s="14">
        <v>46112.0</v>
      </c>
      <c r="AR55" s="12">
        <v>9402.0</v>
      </c>
      <c r="AS55" s="12">
        <v>9551.0</v>
      </c>
      <c r="AT55" s="12">
        <v>149.0</v>
      </c>
      <c r="AU55" s="12">
        <v>8943.0</v>
      </c>
      <c r="AV55" s="12">
        <v>639.0</v>
      </c>
      <c r="AW55" s="15">
        <v>3716.73</v>
      </c>
      <c r="AX55" s="15">
        <v>855.0</v>
      </c>
      <c r="AY55" s="15">
        <v>125.0</v>
      </c>
      <c r="AZ55" s="15">
        <v>290.99</v>
      </c>
      <c r="BA55" s="15">
        <v>1033.63</v>
      </c>
      <c r="BB55" s="15">
        <v>6021.35</v>
      </c>
      <c r="BC55" s="15">
        <v>903.2</v>
      </c>
      <c r="BD55" s="15">
        <v>6924.55</v>
      </c>
      <c r="BE55" s="14">
        <v>45748.0</v>
      </c>
      <c r="BF55" s="14">
        <v>45838.0</v>
      </c>
      <c r="BG55" s="12">
        <v>8282.0</v>
      </c>
      <c r="BH55" s="12">
        <v>9551.0</v>
      </c>
      <c r="BI55" s="12">
        <v>1269.0</v>
      </c>
      <c r="BJ55" s="12">
        <v>4500.0</v>
      </c>
      <c r="BK55" s="12">
        <v>-3231.0</v>
      </c>
      <c r="BL55" s="15">
        <v>0.66</v>
      </c>
      <c r="BM55" s="15">
        <v>1.4</v>
      </c>
      <c r="BN55" s="15">
        <v>0.0</v>
      </c>
      <c r="BO55" s="15">
        <v>0.0</v>
      </c>
      <c r="BP55" s="15">
        <v>0.0</v>
      </c>
      <c r="BQ55" s="15">
        <v>-276.25</v>
      </c>
      <c r="BR55" s="15">
        <v>0.0</v>
      </c>
      <c r="BS55" s="15">
        <v>0.0</v>
      </c>
      <c r="BT55" s="15">
        <v>0.0</v>
      </c>
      <c r="BU55" s="15">
        <v>0.0</v>
      </c>
      <c r="BV55" s="15">
        <v>0.0</v>
      </c>
      <c r="BW55" s="15">
        <v>0.0</v>
      </c>
      <c r="BX55" s="15">
        <v>0.0</v>
      </c>
      <c r="BY55" s="15">
        <v>0.0</v>
      </c>
      <c r="BZ55" s="12">
        <v>0.0</v>
      </c>
      <c r="CA55" s="15">
        <v>0.0</v>
      </c>
      <c r="CB55" s="12">
        <v>0.0</v>
      </c>
      <c r="CC55" s="15">
        <v>0.0</v>
      </c>
      <c r="CD55" s="15">
        <v>0.0</v>
      </c>
      <c r="CE55" s="15">
        <v>0.0</v>
      </c>
      <c r="CF55" s="15">
        <v>0.0</v>
      </c>
      <c r="CG55" s="15">
        <v>0.0</v>
      </c>
      <c r="CH55" s="15">
        <v>4806.63</v>
      </c>
      <c r="CI55" s="15">
        <v>626.95</v>
      </c>
      <c r="CJ55" s="15">
        <v>4179.68</v>
      </c>
      <c r="CK55" s="15">
        <v>28.05</v>
      </c>
      <c r="CL55" s="12">
        <v>0.0</v>
      </c>
      <c r="CM55" s="12">
        <v>0.0</v>
      </c>
      <c r="CN55" s="12">
        <v>0.0</v>
      </c>
      <c r="CO55" s="12">
        <v>100.0</v>
      </c>
      <c r="CP55" s="14"/>
      <c r="CQ55" s="12">
        <v>0.0</v>
      </c>
      <c r="CR55" s="12">
        <v>0.0</v>
      </c>
      <c r="CS55" s="12">
        <v>0.0</v>
      </c>
      <c r="CT55" s="12">
        <v>-12402.0</v>
      </c>
      <c r="CU55" s="14">
        <v>47238.0</v>
      </c>
      <c r="CV55" s="14">
        <v>47238.0</v>
      </c>
      <c r="CW55" s="12">
        <v>90608.0</v>
      </c>
      <c r="CX55" s="12" t="s">
        <v>122</v>
      </c>
      <c r="CY55" s="12" t="s">
        <v>123</v>
      </c>
      <c r="CZ55" s="15">
        <v>0.0</v>
      </c>
      <c r="DA55" s="15">
        <v>0.0</v>
      </c>
      <c r="DB55" s="15">
        <v>-7069.14</v>
      </c>
      <c r="DC55" s="15">
        <v>0.57</v>
      </c>
      <c r="DD55" s="15">
        <v>-1841.67</v>
      </c>
      <c r="DE55" s="15">
        <v>-2117.92</v>
      </c>
      <c r="DF55" s="12"/>
    </row>
    <row r="56" ht="13.5" customHeight="1">
      <c r="A56" s="12" t="s">
        <v>228</v>
      </c>
      <c r="B56" s="13">
        <v>43862.0</v>
      </c>
      <c r="C56" s="12" t="s">
        <v>124</v>
      </c>
      <c r="D56" s="12" t="s">
        <v>110</v>
      </c>
      <c r="E56" s="12" t="s">
        <v>111</v>
      </c>
      <c r="F56" s="12" t="s">
        <v>176</v>
      </c>
      <c r="G56" s="12" t="s">
        <v>140</v>
      </c>
      <c r="H56" s="12" t="s">
        <v>141</v>
      </c>
      <c r="I56" s="14">
        <v>43887.0</v>
      </c>
      <c r="J56" s="14">
        <v>43888.0</v>
      </c>
      <c r="K56" s="12">
        <f t="shared" si="1"/>
        <v>1</v>
      </c>
      <c r="L56" s="12">
        <v>1.0</v>
      </c>
      <c r="M56" s="12">
        <f t="shared" si="2"/>
        <v>0</v>
      </c>
      <c r="N56" s="14">
        <v>43886.0</v>
      </c>
      <c r="O56" s="14">
        <v>44064.0</v>
      </c>
      <c r="P56" s="12">
        <f t="shared" si="3"/>
        <v>178</v>
      </c>
      <c r="Q56" s="12">
        <v>90.0</v>
      </c>
      <c r="R56" s="12">
        <f t="shared" si="4"/>
        <v>88</v>
      </c>
      <c r="S56" s="12" t="s">
        <v>292</v>
      </c>
      <c r="T56" s="12" t="s">
        <v>293</v>
      </c>
      <c r="U56" s="12" t="s">
        <v>117</v>
      </c>
      <c r="V56" s="12" t="s">
        <v>118</v>
      </c>
      <c r="W56" s="12" t="s">
        <v>119</v>
      </c>
      <c r="X56" s="12" t="s">
        <v>120</v>
      </c>
      <c r="Y56" s="12">
        <v>2024.0</v>
      </c>
      <c r="Z56" s="12" t="s">
        <v>121</v>
      </c>
      <c r="AA56" s="12">
        <v>1598.0</v>
      </c>
      <c r="AB56" s="12">
        <v>16.0</v>
      </c>
      <c r="AC56" s="12">
        <v>1.0</v>
      </c>
      <c r="AD56" s="15">
        <v>220696.0</v>
      </c>
      <c r="AE56" s="15">
        <v>37696.0</v>
      </c>
      <c r="AF56" s="16">
        <v>0.17</v>
      </c>
      <c r="AG56" s="15">
        <v>29100.57</v>
      </c>
      <c r="AH56" s="15">
        <v>2575.0</v>
      </c>
      <c r="AI56" s="12">
        <v>7.75</v>
      </c>
      <c r="AJ56" s="15">
        <v>94899.0</v>
      </c>
      <c r="AK56" s="12">
        <v>43.0</v>
      </c>
      <c r="AL56" s="14">
        <v>44064.0</v>
      </c>
      <c r="AM56" s="14">
        <v>45890.0</v>
      </c>
      <c r="AN56" s="12">
        <v>60.0</v>
      </c>
      <c r="AO56" s="12">
        <v>1500.0</v>
      </c>
      <c r="AP56" s="12">
        <v>90000.0</v>
      </c>
      <c r="AQ56" s="14">
        <v>46112.0</v>
      </c>
      <c r="AR56" s="12">
        <v>4509.0</v>
      </c>
      <c r="AS56" s="12">
        <v>4672.0</v>
      </c>
      <c r="AT56" s="12">
        <v>163.0</v>
      </c>
      <c r="AU56" s="12">
        <v>4059.0</v>
      </c>
      <c r="AV56" s="12">
        <v>290.0</v>
      </c>
      <c r="AW56" s="15">
        <v>3741.11</v>
      </c>
      <c r="AX56" s="15">
        <v>855.0</v>
      </c>
      <c r="AY56" s="15">
        <v>125.0</v>
      </c>
      <c r="AZ56" s="15">
        <v>290.99</v>
      </c>
      <c r="BA56" s="15">
        <v>1033.63</v>
      </c>
      <c r="BB56" s="15">
        <v>6045.73</v>
      </c>
      <c r="BC56" s="15">
        <v>906.86</v>
      </c>
      <c r="BD56" s="15">
        <v>6952.59</v>
      </c>
      <c r="BE56" s="14">
        <v>45748.0</v>
      </c>
      <c r="BF56" s="14">
        <v>45838.0</v>
      </c>
      <c r="BG56" s="12">
        <v>4165.0</v>
      </c>
      <c r="BH56" s="12">
        <v>4672.0</v>
      </c>
      <c r="BI56" s="12">
        <v>507.0</v>
      </c>
      <c r="BJ56" s="12">
        <v>4500.0</v>
      </c>
      <c r="BK56" s="12">
        <v>-3993.0</v>
      </c>
      <c r="BL56" s="15">
        <v>0.66</v>
      </c>
      <c r="BM56" s="15">
        <v>1.4</v>
      </c>
      <c r="BN56" s="15">
        <v>0.0</v>
      </c>
      <c r="BO56" s="15">
        <v>0.0</v>
      </c>
      <c r="BP56" s="15">
        <v>0.0</v>
      </c>
      <c r="BQ56" s="15">
        <v>-341.4</v>
      </c>
      <c r="BR56" s="15">
        <v>0.0</v>
      </c>
      <c r="BS56" s="15">
        <v>0.0</v>
      </c>
      <c r="BT56" s="15">
        <v>0.0</v>
      </c>
      <c r="BU56" s="15">
        <v>0.0</v>
      </c>
      <c r="BV56" s="15">
        <v>0.0</v>
      </c>
      <c r="BW56" s="15">
        <v>0.0</v>
      </c>
      <c r="BX56" s="15">
        <v>0.0</v>
      </c>
      <c r="BY56" s="15">
        <v>0.0</v>
      </c>
      <c r="BZ56" s="12">
        <v>0.0</v>
      </c>
      <c r="CA56" s="15">
        <v>0.0</v>
      </c>
      <c r="CB56" s="12">
        <v>0.0</v>
      </c>
      <c r="CC56" s="15">
        <v>0.0</v>
      </c>
      <c r="CD56" s="15">
        <v>0.0</v>
      </c>
      <c r="CE56" s="15">
        <v>0.0</v>
      </c>
      <c r="CF56" s="15">
        <v>0.0</v>
      </c>
      <c r="CG56" s="15">
        <v>0.0</v>
      </c>
      <c r="CH56" s="15">
        <v>4335.18</v>
      </c>
      <c r="CI56" s="15">
        <v>565.46</v>
      </c>
      <c r="CJ56" s="15">
        <v>3769.72</v>
      </c>
      <c r="CK56" s="15">
        <v>23.13</v>
      </c>
      <c r="CL56" s="12">
        <v>0.0</v>
      </c>
      <c r="CM56" s="12">
        <v>0.0</v>
      </c>
      <c r="CN56" s="12">
        <v>0.0</v>
      </c>
      <c r="CO56" s="12">
        <v>100.0</v>
      </c>
      <c r="CP56" s="14"/>
      <c r="CQ56" s="12">
        <v>0.0</v>
      </c>
      <c r="CR56" s="12">
        <v>0.0</v>
      </c>
      <c r="CS56" s="12">
        <v>0.0</v>
      </c>
      <c r="CT56" s="12">
        <v>-17286.0</v>
      </c>
      <c r="CU56" s="14">
        <v>47238.0</v>
      </c>
      <c r="CV56" s="14">
        <v>47238.0</v>
      </c>
      <c r="CW56" s="12">
        <v>90613.0</v>
      </c>
      <c r="CX56" s="12" t="s">
        <v>122</v>
      </c>
      <c r="CY56" s="12" t="s">
        <v>123</v>
      </c>
      <c r="CZ56" s="15">
        <v>0.0</v>
      </c>
      <c r="DA56" s="15">
        <v>0.0</v>
      </c>
      <c r="DB56" s="15">
        <v>-9853.02</v>
      </c>
      <c r="DC56" s="15">
        <v>0.57</v>
      </c>
      <c r="DD56" s="15">
        <v>-2276.01</v>
      </c>
      <c r="DE56" s="15">
        <v>-2617.41</v>
      </c>
      <c r="DF56" s="12"/>
    </row>
    <row r="57" ht="13.5" customHeight="1">
      <c r="A57" s="12" t="s">
        <v>228</v>
      </c>
      <c r="B57" s="13">
        <v>43862.0</v>
      </c>
      <c r="C57" s="12" t="s">
        <v>136</v>
      </c>
      <c r="D57" s="12" t="s">
        <v>125</v>
      </c>
      <c r="E57" s="12" t="s">
        <v>126</v>
      </c>
      <c r="F57" s="12" t="s">
        <v>172</v>
      </c>
      <c r="G57" s="12" t="s">
        <v>140</v>
      </c>
      <c r="H57" s="12" t="s">
        <v>114</v>
      </c>
      <c r="I57" s="14">
        <v>43888.0</v>
      </c>
      <c r="J57" s="14">
        <v>43889.0</v>
      </c>
      <c r="K57" s="12">
        <f t="shared" si="1"/>
        <v>1</v>
      </c>
      <c r="L57" s="12">
        <v>1.0</v>
      </c>
      <c r="M57" s="12">
        <f t="shared" si="2"/>
        <v>0</v>
      </c>
      <c r="N57" s="14">
        <v>43887.0</v>
      </c>
      <c r="O57" s="14">
        <v>43912.0</v>
      </c>
      <c r="P57" s="12">
        <f t="shared" si="3"/>
        <v>25</v>
      </c>
      <c r="Q57" s="12">
        <v>90.0</v>
      </c>
      <c r="R57" s="12">
        <f t="shared" si="4"/>
        <v>-65</v>
      </c>
      <c r="S57" s="12" t="s">
        <v>294</v>
      </c>
      <c r="T57" s="12" t="s">
        <v>295</v>
      </c>
      <c r="U57" s="12" t="s">
        <v>117</v>
      </c>
      <c r="V57" s="12" t="s">
        <v>147</v>
      </c>
      <c r="W57" s="12" t="s">
        <v>133</v>
      </c>
      <c r="X57" s="12" t="s">
        <v>296</v>
      </c>
      <c r="Y57" s="12">
        <v>2024.0</v>
      </c>
      <c r="Z57" s="12" t="s">
        <v>135</v>
      </c>
      <c r="AA57" s="12">
        <v>1898.0</v>
      </c>
      <c r="AB57" s="12">
        <v>16.0</v>
      </c>
      <c r="AC57" s="12">
        <v>0.0</v>
      </c>
      <c r="AD57" s="15">
        <v>567304.35</v>
      </c>
      <c r="AE57" s="15">
        <v>107085.52</v>
      </c>
      <c r="AF57" s="16">
        <v>0.19</v>
      </c>
      <c r="AG57" s="15">
        <v>31982.86</v>
      </c>
      <c r="AH57" s="15">
        <v>2124.0</v>
      </c>
      <c r="AI57" s="12">
        <v>7.75</v>
      </c>
      <c r="AJ57" s="15">
        <v>306344.0</v>
      </c>
      <c r="AK57" s="12">
        <v>54.0</v>
      </c>
      <c r="AL57" s="14">
        <v>43912.0</v>
      </c>
      <c r="AM57" s="14">
        <v>45738.0</v>
      </c>
      <c r="AN57" s="12">
        <v>60.0</v>
      </c>
      <c r="AO57" s="12">
        <v>15000.0</v>
      </c>
      <c r="AP57" s="12">
        <v>210000.0</v>
      </c>
      <c r="AQ57" s="14">
        <v>46112.0</v>
      </c>
      <c r="AR57" s="12">
        <v>46614.0</v>
      </c>
      <c r="AS57" s="12">
        <v>50721.0</v>
      </c>
      <c r="AT57" s="12">
        <v>4107.0</v>
      </c>
      <c r="AU57" s="12">
        <v>50113.0</v>
      </c>
      <c r="AV57" s="12">
        <v>3855.0</v>
      </c>
      <c r="AW57" s="15">
        <v>17371.7</v>
      </c>
      <c r="AX57" s="15">
        <v>9300.0</v>
      </c>
      <c r="AY57" s="15">
        <v>125.0</v>
      </c>
      <c r="AZ57" s="15">
        <v>291.0</v>
      </c>
      <c r="BA57" s="15">
        <v>1584.82</v>
      </c>
      <c r="BB57" s="15">
        <v>28672.52</v>
      </c>
      <c r="BC57" s="15">
        <v>4300.88</v>
      </c>
      <c r="BD57" s="15">
        <v>32973.4</v>
      </c>
      <c r="BE57" s="14">
        <v>45748.0</v>
      </c>
      <c r="BF57" s="14">
        <v>45838.0</v>
      </c>
      <c r="BG57" s="12">
        <v>39424.0</v>
      </c>
      <c r="BH57" s="12">
        <v>50721.0</v>
      </c>
      <c r="BI57" s="12">
        <v>11297.0</v>
      </c>
      <c r="BJ57" s="12">
        <v>45000.0</v>
      </c>
      <c r="BK57" s="12">
        <v>-33703.0</v>
      </c>
      <c r="BL57" s="15">
        <v>0.71</v>
      </c>
      <c r="BM57" s="15">
        <v>1.24</v>
      </c>
      <c r="BN57" s="15">
        <v>0.0</v>
      </c>
      <c r="BO57" s="15">
        <v>0.0</v>
      </c>
      <c r="BP57" s="15">
        <v>0.0</v>
      </c>
      <c r="BQ57" s="15">
        <v>-3134.38</v>
      </c>
      <c r="BR57" s="15">
        <v>0.0</v>
      </c>
      <c r="BS57" s="15">
        <v>0.0</v>
      </c>
      <c r="BT57" s="15">
        <v>0.0</v>
      </c>
      <c r="BU57" s="15">
        <v>0.0</v>
      </c>
      <c r="BV57" s="15">
        <v>0.0</v>
      </c>
      <c r="BW57" s="15">
        <v>0.0</v>
      </c>
      <c r="BX57" s="15">
        <v>0.0</v>
      </c>
      <c r="BY57" s="15">
        <v>7950.45</v>
      </c>
      <c r="BZ57" s="12">
        <v>0.0</v>
      </c>
      <c r="CA57" s="15">
        <v>0.0</v>
      </c>
      <c r="CB57" s="12">
        <v>0.0</v>
      </c>
      <c r="CC57" s="15">
        <v>0.0</v>
      </c>
      <c r="CD57" s="15">
        <v>0.0</v>
      </c>
      <c r="CE57" s="15">
        <v>0.0</v>
      </c>
      <c r="CF57" s="15">
        <v>0.0</v>
      </c>
      <c r="CG57" s="15">
        <v>0.0</v>
      </c>
      <c r="CH57" s="15">
        <v>8943.16</v>
      </c>
      <c r="CI57" s="15">
        <v>1166.5</v>
      </c>
      <c r="CJ57" s="15">
        <v>7776.66</v>
      </c>
      <c r="CK57" s="15">
        <v>1.89</v>
      </c>
      <c r="CL57" s="12">
        <v>0.0</v>
      </c>
      <c r="CM57" s="12">
        <v>0.0</v>
      </c>
      <c r="CN57" s="12">
        <v>0.0</v>
      </c>
      <c r="CO57" s="12">
        <v>100.0</v>
      </c>
      <c r="CP57" s="14"/>
      <c r="CQ57" s="12">
        <v>0.0</v>
      </c>
      <c r="CR57" s="12">
        <v>0.0</v>
      </c>
      <c r="CS57" s="12">
        <v>0.0</v>
      </c>
      <c r="CT57" s="12">
        <v>-159681.0</v>
      </c>
      <c r="CU57" s="14">
        <v>45869.0</v>
      </c>
      <c r="CV57" s="14">
        <v>45869.0</v>
      </c>
      <c r="CW57" s="12">
        <v>210608.0</v>
      </c>
      <c r="CX57" s="12" t="s">
        <v>122</v>
      </c>
      <c r="CY57" s="12" t="s">
        <v>123</v>
      </c>
      <c r="CZ57" s="15">
        <v>22177.4</v>
      </c>
      <c r="DA57" s="15">
        <v>0.0</v>
      </c>
      <c r="DB57" s="15">
        <v>-121179.62</v>
      </c>
      <c r="DC57" s="15">
        <v>0.62</v>
      </c>
      <c r="DD57" s="15">
        <v>-20895.86</v>
      </c>
      <c r="DE57" s="15">
        <v>-24030.24</v>
      </c>
      <c r="DF57" s="12"/>
    </row>
    <row r="58" ht="13.5" customHeight="1">
      <c r="A58" s="12" t="s">
        <v>203</v>
      </c>
      <c r="B58" s="13">
        <v>43862.0</v>
      </c>
      <c r="C58" s="12" t="s">
        <v>109</v>
      </c>
      <c r="D58" s="12" t="s">
        <v>137</v>
      </c>
      <c r="E58" s="12" t="s">
        <v>138</v>
      </c>
      <c r="F58" s="12" t="s">
        <v>196</v>
      </c>
      <c r="G58" s="12" t="s">
        <v>140</v>
      </c>
      <c r="H58" s="12" t="s">
        <v>129</v>
      </c>
      <c r="I58" s="14">
        <v>43889.0</v>
      </c>
      <c r="J58" s="14">
        <v>43890.0</v>
      </c>
      <c r="K58" s="12">
        <f t="shared" si="1"/>
        <v>1</v>
      </c>
      <c r="L58" s="12">
        <v>1.0</v>
      </c>
      <c r="M58" s="12">
        <f t="shared" si="2"/>
        <v>0</v>
      </c>
      <c r="N58" s="14">
        <v>43888.0</v>
      </c>
      <c r="O58" s="14">
        <v>43913.0</v>
      </c>
      <c r="P58" s="12">
        <f t="shared" si="3"/>
        <v>25</v>
      </c>
      <c r="Q58" s="12">
        <v>90.0</v>
      </c>
      <c r="R58" s="12">
        <f t="shared" si="4"/>
        <v>-65</v>
      </c>
      <c r="S58" s="12" t="s">
        <v>297</v>
      </c>
      <c r="T58" s="12" t="s">
        <v>298</v>
      </c>
      <c r="U58" s="12" t="s">
        <v>117</v>
      </c>
      <c r="V58" s="12" t="s">
        <v>147</v>
      </c>
      <c r="W58" s="12" t="s">
        <v>182</v>
      </c>
      <c r="X58" s="12" t="s">
        <v>259</v>
      </c>
      <c r="Y58" s="12">
        <v>2024.0</v>
      </c>
      <c r="Z58" s="12" t="s">
        <v>135</v>
      </c>
      <c r="AA58" s="12">
        <v>1998.0</v>
      </c>
      <c r="AB58" s="12">
        <v>16.0</v>
      </c>
      <c r="AC58" s="12">
        <v>5.0</v>
      </c>
      <c r="AD58" s="15">
        <v>444087.0</v>
      </c>
      <c r="AE58" s="15">
        <v>25452.29</v>
      </c>
      <c r="AF58" s="16">
        <v>0.06</v>
      </c>
      <c r="AG58" s="15">
        <v>33703.74</v>
      </c>
      <c r="AH58" s="15">
        <v>2519.0</v>
      </c>
      <c r="AI58" s="12">
        <v>7.75</v>
      </c>
      <c r="AJ58" s="15">
        <v>229948.0</v>
      </c>
      <c r="AK58" s="12">
        <v>51.78</v>
      </c>
      <c r="AL58" s="14">
        <v>43913.0</v>
      </c>
      <c r="AM58" s="14">
        <v>45739.0</v>
      </c>
      <c r="AN58" s="12">
        <v>60.0</v>
      </c>
      <c r="AO58" s="12">
        <v>3000.0</v>
      </c>
      <c r="AP58" s="12">
        <v>180000.0</v>
      </c>
      <c r="AQ58" s="14">
        <v>46112.0</v>
      </c>
      <c r="AR58" s="12">
        <v>37225.0</v>
      </c>
      <c r="AS58" s="12">
        <v>39196.0</v>
      </c>
      <c r="AT58" s="12">
        <v>1971.0</v>
      </c>
      <c r="AU58" s="12">
        <v>38801.0</v>
      </c>
      <c r="AV58" s="12">
        <v>2985.0</v>
      </c>
      <c r="AW58" s="15">
        <v>6928.84</v>
      </c>
      <c r="AX58" s="15">
        <v>1650.0</v>
      </c>
      <c r="AY58" s="15">
        <v>125.0</v>
      </c>
      <c r="AZ58" s="15">
        <v>290.98</v>
      </c>
      <c r="BA58" s="15">
        <v>1522.9</v>
      </c>
      <c r="BB58" s="15">
        <v>10517.72</v>
      </c>
      <c r="BC58" s="15">
        <v>1577.66</v>
      </c>
      <c r="BD58" s="15">
        <v>12095.38</v>
      </c>
      <c r="BE58" s="14">
        <v>45748.0</v>
      </c>
      <c r="BF58" s="14">
        <v>45838.0</v>
      </c>
      <c r="BG58" s="12">
        <v>30356.0</v>
      </c>
      <c r="BH58" s="12">
        <v>39196.0</v>
      </c>
      <c r="BI58" s="12">
        <v>8840.0</v>
      </c>
      <c r="BJ58" s="12">
        <v>9000.0</v>
      </c>
      <c r="BK58" s="12">
        <v>-160.0</v>
      </c>
      <c r="BL58" s="15">
        <v>0.63</v>
      </c>
      <c r="BM58" s="15">
        <v>1.19</v>
      </c>
      <c r="BN58" s="15">
        <v>0.0</v>
      </c>
      <c r="BO58" s="15">
        <v>0.0</v>
      </c>
      <c r="BP58" s="15">
        <v>0.0</v>
      </c>
      <c r="BQ58" s="15">
        <v>0.0</v>
      </c>
      <c r="BR58" s="15">
        <v>0.0</v>
      </c>
      <c r="BS58" s="15">
        <v>0.0</v>
      </c>
      <c r="BT58" s="15">
        <v>0.0</v>
      </c>
      <c r="BU58" s="15">
        <v>0.0</v>
      </c>
      <c r="BV58" s="15">
        <v>0.0</v>
      </c>
      <c r="BW58" s="15">
        <v>0.0</v>
      </c>
      <c r="BX58" s="15">
        <v>0.0</v>
      </c>
      <c r="BY58" s="15">
        <v>4763.87</v>
      </c>
      <c r="BZ58" s="12">
        <v>0.0</v>
      </c>
      <c r="CA58" s="15">
        <v>0.0</v>
      </c>
      <c r="CB58" s="12">
        <v>0.0</v>
      </c>
      <c r="CC58" s="15">
        <v>0.0</v>
      </c>
      <c r="CD58" s="15">
        <v>0.0</v>
      </c>
      <c r="CE58" s="15">
        <v>0.0</v>
      </c>
      <c r="CF58" s="15">
        <v>0.0</v>
      </c>
      <c r="CG58" s="15">
        <v>0.0</v>
      </c>
      <c r="CH58" s="15">
        <v>12095.38</v>
      </c>
      <c r="CI58" s="15">
        <v>1577.66</v>
      </c>
      <c r="CJ58" s="15">
        <v>10517.72</v>
      </c>
      <c r="CK58" s="15">
        <v>5.34</v>
      </c>
      <c r="CL58" s="12">
        <v>0.0</v>
      </c>
      <c r="CM58" s="12">
        <v>0.0</v>
      </c>
      <c r="CN58" s="12">
        <v>0.0</v>
      </c>
      <c r="CO58" s="12">
        <v>100.0</v>
      </c>
      <c r="CP58" s="14"/>
      <c r="CQ58" s="12">
        <v>0.0</v>
      </c>
      <c r="CR58" s="12">
        <v>0.0</v>
      </c>
      <c r="CS58" s="12">
        <v>0.0</v>
      </c>
      <c r="CT58" s="12">
        <v>-2566.0</v>
      </c>
      <c r="CU58" s="14">
        <v>47269.0</v>
      </c>
      <c r="CV58" s="14">
        <v>47269.0</v>
      </c>
      <c r="CW58" s="12">
        <v>180395.0</v>
      </c>
      <c r="CX58" s="12" t="s">
        <v>122</v>
      </c>
      <c r="CY58" s="12" t="s">
        <v>123</v>
      </c>
      <c r="CZ58" s="15">
        <v>1591.38</v>
      </c>
      <c r="DA58" s="15">
        <v>3005.94</v>
      </c>
      <c r="DB58" s="15">
        <v>-2887.73</v>
      </c>
      <c r="DC58" s="15">
        <v>0.55</v>
      </c>
      <c r="DD58" s="15">
        <v>0.0</v>
      </c>
      <c r="DE58" s="15">
        <v>0.0</v>
      </c>
      <c r="DF58" s="12"/>
    </row>
    <row r="59" ht="13.5" customHeight="1">
      <c r="A59" s="12" t="s">
        <v>203</v>
      </c>
      <c r="B59" s="13">
        <v>43862.0</v>
      </c>
      <c r="C59" s="12" t="s">
        <v>124</v>
      </c>
      <c r="D59" s="12" t="s">
        <v>110</v>
      </c>
      <c r="E59" s="12" t="s">
        <v>111</v>
      </c>
      <c r="F59" s="12" t="s">
        <v>196</v>
      </c>
      <c r="G59" s="12" t="s">
        <v>140</v>
      </c>
      <c r="H59" s="12" t="s">
        <v>141</v>
      </c>
      <c r="I59" s="14">
        <v>43890.0</v>
      </c>
      <c r="J59" s="14">
        <v>43905.0</v>
      </c>
      <c r="K59" s="12">
        <f t="shared" si="1"/>
        <v>15</v>
      </c>
      <c r="L59" s="12">
        <v>1.0</v>
      </c>
      <c r="M59" s="12">
        <f t="shared" si="2"/>
        <v>14</v>
      </c>
      <c r="N59" s="14">
        <v>43889.0</v>
      </c>
      <c r="O59" s="14">
        <v>43914.0</v>
      </c>
      <c r="P59" s="12">
        <f t="shared" si="3"/>
        <v>25</v>
      </c>
      <c r="Q59" s="12">
        <v>90.0</v>
      </c>
      <c r="R59" s="12">
        <f t="shared" si="4"/>
        <v>-65</v>
      </c>
      <c r="S59" s="12" t="s">
        <v>299</v>
      </c>
      <c r="T59" s="12" t="s">
        <v>300</v>
      </c>
      <c r="U59" s="12" t="s">
        <v>117</v>
      </c>
      <c r="V59" s="12" t="s">
        <v>147</v>
      </c>
      <c r="W59" s="12" t="s">
        <v>182</v>
      </c>
      <c r="X59" s="12" t="s">
        <v>259</v>
      </c>
      <c r="Y59" s="12">
        <v>2024.0</v>
      </c>
      <c r="Z59" s="12" t="s">
        <v>135</v>
      </c>
      <c r="AA59" s="12">
        <v>1998.0</v>
      </c>
      <c r="AB59" s="12">
        <v>16.0</v>
      </c>
      <c r="AC59" s="12">
        <v>5.0</v>
      </c>
      <c r="AD59" s="15">
        <v>444087.0</v>
      </c>
      <c r="AE59" s="15">
        <v>25452.29</v>
      </c>
      <c r="AF59" s="16">
        <v>0.06</v>
      </c>
      <c r="AG59" s="15">
        <v>34467.2</v>
      </c>
      <c r="AH59" s="15">
        <v>2519.0</v>
      </c>
      <c r="AI59" s="12">
        <v>7.75</v>
      </c>
      <c r="AJ59" s="15">
        <v>229948.0</v>
      </c>
      <c r="AK59" s="12">
        <v>51.78</v>
      </c>
      <c r="AL59" s="14">
        <v>43914.0</v>
      </c>
      <c r="AM59" s="14">
        <v>45740.0</v>
      </c>
      <c r="AN59" s="12">
        <v>60.0</v>
      </c>
      <c r="AO59" s="12">
        <v>3000.0</v>
      </c>
      <c r="AP59" s="12">
        <v>180000.0</v>
      </c>
      <c r="AQ59" s="14">
        <v>46112.0</v>
      </c>
      <c r="AR59" s="12">
        <v>38289.0</v>
      </c>
      <c r="AS59" s="12">
        <v>39451.0</v>
      </c>
      <c r="AT59" s="12">
        <v>1162.0</v>
      </c>
      <c r="AU59" s="12">
        <v>39055.0</v>
      </c>
      <c r="AV59" s="12">
        <v>3004.0</v>
      </c>
      <c r="AW59" s="15">
        <v>6944.25</v>
      </c>
      <c r="AX59" s="15">
        <v>1650.0</v>
      </c>
      <c r="AY59" s="15">
        <v>125.0</v>
      </c>
      <c r="AZ59" s="15">
        <v>290.98</v>
      </c>
      <c r="BA59" s="15">
        <v>1522.99</v>
      </c>
      <c r="BB59" s="15">
        <v>10533.22</v>
      </c>
      <c r="BC59" s="15">
        <v>1579.98</v>
      </c>
      <c r="BD59" s="15">
        <v>12113.2</v>
      </c>
      <c r="BE59" s="14">
        <v>45748.0</v>
      </c>
      <c r="BF59" s="14">
        <v>45838.0</v>
      </c>
      <c r="BG59" s="12">
        <v>29886.0</v>
      </c>
      <c r="BH59" s="12">
        <v>39451.0</v>
      </c>
      <c r="BI59" s="12">
        <v>9565.0</v>
      </c>
      <c r="BJ59" s="12">
        <v>9000.0</v>
      </c>
      <c r="BK59" s="12">
        <v>565.0</v>
      </c>
      <c r="BL59" s="15">
        <v>0.63</v>
      </c>
      <c r="BM59" s="15">
        <v>1.19</v>
      </c>
      <c r="BN59" s="15">
        <v>355.95</v>
      </c>
      <c r="BO59" s="15">
        <v>672.35</v>
      </c>
      <c r="BP59" s="15">
        <v>1028.3</v>
      </c>
      <c r="BQ59" s="15">
        <v>154.25</v>
      </c>
      <c r="BR59" s="15">
        <v>1182.55</v>
      </c>
      <c r="BS59" s="15">
        <v>0.0</v>
      </c>
      <c r="BT59" s="15">
        <v>0.0</v>
      </c>
      <c r="BU59" s="15">
        <v>0.0</v>
      </c>
      <c r="BV59" s="15">
        <v>0.0</v>
      </c>
      <c r="BW59" s="15">
        <v>0.0</v>
      </c>
      <c r="BX59" s="15">
        <v>0.0</v>
      </c>
      <c r="BY59" s="15">
        <v>2638.11</v>
      </c>
      <c r="BZ59" s="12">
        <v>0.0</v>
      </c>
      <c r="CA59" s="15">
        <v>0.0</v>
      </c>
      <c r="CB59" s="12">
        <v>0.0</v>
      </c>
      <c r="CC59" s="15">
        <v>0.0</v>
      </c>
      <c r="CD59" s="15">
        <v>0.0</v>
      </c>
      <c r="CE59" s="15">
        <v>0.0</v>
      </c>
      <c r="CF59" s="15">
        <v>0.0</v>
      </c>
      <c r="CG59" s="15">
        <v>0.0</v>
      </c>
      <c r="CH59" s="15">
        <v>13295.75</v>
      </c>
      <c r="CI59" s="15">
        <v>1734.23</v>
      </c>
      <c r="CJ59" s="15">
        <v>11561.52</v>
      </c>
      <c r="CK59" s="15">
        <v>9.95</v>
      </c>
      <c r="CL59" s="12">
        <v>0.0</v>
      </c>
      <c r="CM59" s="12">
        <v>0.0</v>
      </c>
      <c r="CN59" s="12">
        <v>0.0</v>
      </c>
      <c r="CO59" s="12">
        <v>100.0</v>
      </c>
      <c r="CP59" s="14"/>
      <c r="CQ59" s="12">
        <v>0.0</v>
      </c>
      <c r="CR59" s="12">
        <v>0.0</v>
      </c>
      <c r="CS59" s="12">
        <v>0.0</v>
      </c>
      <c r="CT59" s="12">
        <v>-2312.0</v>
      </c>
      <c r="CU59" s="14">
        <v>47269.0</v>
      </c>
      <c r="CV59" s="14">
        <v>47269.0</v>
      </c>
      <c r="CW59" s="12">
        <v>180396.0</v>
      </c>
      <c r="CX59" s="12" t="s">
        <v>122</v>
      </c>
      <c r="CY59" s="12" t="s">
        <v>123</v>
      </c>
      <c r="CZ59" s="15">
        <v>355.95</v>
      </c>
      <c r="DA59" s="15">
        <v>672.35</v>
      </c>
      <c r="DB59" s="15">
        <v>-1476.2</v>
      </c>
      <c r="DC59" s="15">
        <v>0.55</v>
      </c>
      <c r="DD59" s="15">
        <v>0.0</v>
      </c>
      <c r="DE59" s="15">
        <v>0.0</v>
      </c>
      <c r="DF59" s="12"/>
    </row>
    <row r="60" ht="13.5" customHeight="1">
      <c r="A60" s="12" t="s">
        <v>108</v>
      </c>
      <c r="B60" s="13">
        <v>43862.0</v>
      </c>
      <c r="C60" s="12" t="s">
        <v>136</v>
      </c>
      <c r="D60" s="12" t="s">
        <v>125</v>
      </c>
      <c r="E60" s="12" t="s">
        <v>126</v>
      </c>
      <c r="F60" s="12" t="s">
        <v>196</v>
      </c>
      <c r="G60" s="12" t="s">
        <v>140</v>
      </c>
      <c r="H60" s="12" t="s">
        <v>114</v>
      </c>
      <c r="I60" s="14">
        <v>43862.0</v>
      </c>
      <c r="J60" s="14">
        <v>43866.0</v>
      </c>
      <c r="K60" s="12">
        <f t="shared" si="1"/>
        <v>4</v>
      </c>
      <c r="L60" s="12">
        <v>1.0</v>
      </c>
      <c r="M60" s="12">
        <f t="shared" si="2"/>
        <v>3</v>
      </c>
      <c r="N60" s="14">
        <v>43889.0</v>
      </c>
      <c r="O60" s="14">
        <v>43915.0</v>
      </c>
      <c r="P60" s="12">
        <f t="shared" si="3"/>
        <v>26</v>
      </c>
      <c r="Q60" s="12">
        <v>90.0</v>
      </c>
      <c r="R60" s="12">
        <f t="shared" si="4"/>
        <v>-64</v>
      </c>
      <c r="S60" s="12" t="s">
        <v>301</v>
      </c>
      <c r="T60" s="12" t="s">
        <v>302</v>
      </c>
      <c r="U60" s="12" t="s">
        <v>117</v>
      </c>
      <c r="V60" s="12" t="s">
        <v>147</v>
      </c>
      <c r="W60" s="12" t="s">
        <v>182</v>
      </c>
      <c r="X60" s="12" t="s">
        <v>259</v>
      </c>
      <c r="Y60" s="12">
        <v>2024.0</v>
      </c>
      <c r="Z60" s="12" t="s">
        <v>135</v>
      </c>
      <c r="AA60" s="12">
        <v>1998.0</v>
      </c>
      <c r="AB60" s="12">
        <v>16.0</v>
      </c>
      <c r="AC60" s="12">
        <v>5.0</v>
      </c>
      <c r="AD60" s="15">
        <v>444087.0</v>
      </c>
      <c r="AE60" s="15">
        <v>25452.29</v>
      </c>
      <c r="AF60" s="16">
        <v>0.06</v>
      </c>
      <c r="AG60" s="15">
        <v>34462.55</v>
      </c>
      <c r="AH60" s="15">
        <v>2519.0</v>
      </c>
      <c r="AI60" s="12">
        <v>7.75</v>
      </c>
      <c r="AJ60" s="15">
        <v>229948.0</v>
      </c>
      <c r="AK60" s="12">
        <v>51.78</v>
      </c>
      <c r="AL60" s="14">
        <v>43915.0</v>
      </c>
      <c r="AM60" s="14">
        <v>45741.0</v>
      </c>
      <c r="AN60" s="12">
        <v>60.0</v>
      </c>
      <c r="AO60" s="12">
        <v>3000.0</v>
      </c>
      <c r="AP60" s="12">
        <v>180000.0</v>
      </c>
      <c r="AQ60" s="14">
        <v>46112.0</v>
      </c>
      <c r="AR60" s="12">
        <v>37287.0</v>
      </c>
      <c r="AS60" s="12">
        <v>39896.0</v>
      </c>
      <c r="AT60" s="12">
        <v>2609.0</v>
      </c>
      <c r="AU60" s="12">
        <v>39503.0</v>
      </c>
      <c r="AV60" s="12">
        <v>3039.0</v>
      </c>
      <c r="AW60" s="15">
        <v>6944.16</v>
      </c>
      <c r="AX60" s="15">
        <v>1650.0</v>
      </c>
      <c r="AY60" s="15">
        <v>125.0</v>
      </c>
      <c r="AZ60" s="15">
        <v>290.98</v>
      </c>
      <c r="BA60" s="15">
        <v>1522.99</v>
      </c>
      <c r="BB60" s="15">
        <v>10533.13</v>
      </c>
      <c r="BC60" s="15">
        <v>1579.97</v>
      </c>
      <c r="BD60" s="15">
        <v>12113.1</v>
      </c>
      <c r="BE60" s="14">
        <v>45748.0</v>
      </c>
      <c r="BF60" s="14">
        <v>45838.0</v>
      </c>
      <c r="BG60" s="12">
        <v>31004.0</v>
      </c>
      <c r="BH60" s="12">
        <v>39896.0</v>
      </c>
      <c r="BI60" s="12">
        <v>8892.0</v>
      </c>
      <c r="BJ60" s="12">
        <v>9000.0</v>
      </c>
      <c r="BK60" s="12">
        <v>-108.0</v>
      </c>
      <c r="BL60" s="15">
        <v>0.63</v>
      </c>
      <c r="BM60" s="15">
        <v>1.19</v>
      </c>
      <c r="BN60" s="15">
        <v>0.0</v>
      </c>
      <c r="BO60" s="15">
        <v>0.0</v>
      </c>
      <c r="BP60" s="15">
        <v>0.0</v>
      </c>
      <c r="BQ60" s="15">
        <v>0.0</v>
      </c>
      <c r="BR60" s="15">
        <v>0.0</v>
      </c>
      <c r="BS60" s="15">
        <v>0.0</v>
      </c>
      <c r="BT60" s="15">
        <v>0.0</v>
      </c>
      <c r="BU60" s="15">
        <v>0.0</v>
      </c>
      <c r="BV60" s="15">
        <v>0.0</v>
      </c>
      <c r="BW60" s="15">
        <v>0.0</v>
      </c>
      <c r="BX60" s="15">
        <v>0.0</v>
      </c>
      <c r="BY60" s="15">
        <v>3576.45</v>
      </c>
      <c r="BZ60" s="12">
        <v>0.0</v>
      </c>
      <c r="CA60" s="15">
        <v>0.0</v>
      </c>
      <c r="CB60" s="12">
        <v>0.0</v>
      </c>
      <c r="CC60" s="15">
        <v>0.0</v>
      </c>
      <c r="CD60" s="15">
        <v>0.0</v>
      </c>
      <c r="CE60" s="15">
        <v>0.0</v>
      </c>
      <c r="CF60" s="15">
        <v>0.0</v>
      </c>
      <c r="CG60" s="15">
        <v>0.0</v>
      </c>
      <c r="CH60" s="15">
        <v>12113.1</v>
      </c>
      <c r="CI60" s="15">
        <v>1579.97</v>
      </c>
      <c r="CJ60" s="15">
        <v>10533.13</v>
      </c>
      <c r="CK60" s="15">
        <v>4.04</v>
      </c>
      <c r="CL60" s="12">
        <v>0.0</v>
      </c>
      <c r="CM60" s="12">
        <v>0.0</v>
      </c>
      <c r="CN60" s="12">
        <v>0.0</v>
      </c>
      <c r="CO60" s="12">
        <v>100.0</v>
      </c>
      <c r="CP60" s="14"/>
      <c r="CQ60" s="12">
        <v>0.0</v>
      </c>
      <c r="CR60" s="12">
        <v>0.0</v>
      </c>
      <c r="CS60" s="12">
        <v>0.0</v>
      </c>
      <c r="CT60" s="12">
        <v>-1864.0</v>
      </c>
      <c r="CU60" s="14">
        <v>47269.0</v>
      </c>
      <c r="CV60" s="14">
        <v>47269.0</v>
      </c>
      <c r="CW60" s="12">
        <v>180393.0</v>
      </c>
      <c r="CX60" s="12" t="s">
        <v>122</v>
      </c>
      <c r="CY60" s="12" t="s">
        <v>123</v>
      </c>
      <c r="CZ60" s="15">
        <v>284.76</v>
      </c>
      <c r="DA60" s="15">
        <v>537.88</v>
      </c>
      <c r="DB60" s="15">
        <v>-1245.06</v>
      </c>
      <c r="DC60" s="15">
        <v>0.55</v>
      </c>
      <c r="DD60" s="15">
        <v>0.0</v>
      </c>
      <c r="DE60" s="15">
        <v>0.0</v>
      </c>
      <c r="DF60" s="12"/>
    </row>
    <row r="61" ht="13.5" customHeight="1">
      <c r="A61" s="12" t="s">
        <v>203</v>
      </c>
      <c r="B61" s="13">
        <v>43862.0</v>
      </c>
      <c r="C61" s="12" t="s">
        <v>109</v>
      </c>
      <c r="D61" s="12" t="s">
        <v>110</v>
      </c>
      <c r="E61" s="12" t="s">
        <v>111</v>
      </c>
      <c r="F61" s="12" t="s">
        <v>196</v>
      </c>
      <c r="G61" s="12" t="s">
        <v>140</v>
      </c>
      <c r="H61" s="12" t="s">
        <v>129</v>
      </c>
      <c r="I61" s="14">
        <v>43863.0</v>
      </c>
      <c r="J61" s="14">
        <v>43864.0</v>
      </c>
      <c r="K61" s="12">
        <f t="shared" si="1"/>
        <v>1</v>
      </c>
      <c r="L61" s="12">
        <v>1.0</v>
      </c>
      <c r="M61" s="12">
        <f t="shared" si="2"/>
        <v>0</v>
      </c>
      <c r="N61" s="14">
        <v>43876.0</v>
      </c>
      <c r="O61" s="14">
        <v>43916.0</v>
      </c>
      <c r="P61" s="12">
        <f t="shared" si="3"/>
        <v>40</v>
      </c>
      <c r="Q61" s="12">
        <v>90.0</v>
      </c>
      <c r="R61" s="12">
        <f t="shared" si="4"/>
        <v>-50</v>
      </c>
      <c r="S61" s="12" t="s">
        <v>303</v>
      </c>
      <c r="T61" s="12" t="s">
        <v>304</v>
      </c>
      <c r="U61" s="12" t="s">
        <v>117</v>
      </c>
      <c r="V61" s="12" t="s">
        <v>147</v>
      </c>
      <c r="W61" s="12" t="s">
        <v>182</v>
      </c>
      <c r="X61" s="12" t="s">
        <v>259</v>
      </c>
      <c r="Y61" s="12">
        <v>2024.0</v>
      </c>
      <c r="Z61" s="12" t="s">
        <v>135</v>
      </c>
      <c r="AA61" s="12">
        <v>1998.0</v>
      </c>
      <c r="AB61" s="12">
        <v>16.0</v>
      </c>
      <c r="AC61" s="12">
        <v>5.0</v>
      </c>
      <c r="AD61" s="15">
        <v>444087.0</v>
      </c>
      <c r="AE61" s="15">
        <v>25452.29</v>
      </c>
      <c r="AF61" s="16">
        <v>0.06</v>
      </c>
      <c r="AG61" s="15">
        <v>34498.82</v>
      </c>
      <c r="AH61" s="15">
        <v>2519.0</v>
      </c>
      <c r="AI61" s="12">
        <v>7.75</v>
      </c>
      <c r="AJ61" s="15">
        <v>229948.0</v>
      </c>
      <c r="AK61" s="12">
        <v>51.78</v>
      </c>
      <c r="AL61" s="14">
        <v>43916.0</v>
      </c>
      <c r="AM61" s="14">
        <v>45742.0</v>
      </c>
      <c r="AN61" s="12">
        <v>60.0</v>
      </c>
      <c r="AO61" s="12">
        <v>3000.0</v>
      </c>
      <c r="AP61" s="12">
        <v>180000.0</v>
      </c>
      <c r="AQ61" s="14">
        <v>46112.0</v>
      </c>
      <c r="AR61" s="12">
        <v>35436.0</v>
      </c>
      <c r="AS61" s="12">
        <v>38115.0</v>
      </c>
      <c r="AT61" s="12">
        <v>2679.0</v>
      </c>
      <c r="AU61" s="12">
        <v>37722.0</v>
      </c>
      <c r="AV61" s="12">
        <v>2902.0</v>
      </c>
      <c r="AW61" s="15">
        <v>6944.9</v>
      </c>
      <c r="AX61" s="15">
        <v>1650.0</v>
      </c>
      <c r="AY61" s="15">
        <v>125.0</v>
      </c>
      <c r="AZ61" s="15">
        <v>290.98</v>
      </c>
      <c r="BA61" s="15">
        <v>1522.99</v>
      </c>
      <c r="BB61" s="15">
        <v>10533.87</v>
      </c>
      <c r="BC61" s="15">
        <v>1580.08</v>
      </c>
      <c r="BD61" s="15">
        <v>12113.95</v>
      </c>
      <c r="BE61" s="14">
        <v>45748.0</v>
      </c>
      <c r="BF61" s="14">
        <v>45838.0</v>
      </c>
      <c r="BG61" s="12">
        <v>29226.0</v>
      </c>
      <c r="BH61" s="12">
        <v>38115.0</v>
      </c>
      <c r="BI61" s="12">
        <v>8889.0</v>
      </c>
      <c r="BJ61" s="12">
        <v>9000.0</v>
      </c>
      <c r="BK61" s="12">
        <v>-111.0</v>
      </c>
      <c r="BL61" s="15">
        <v>0.63</v>
      </c>
      <c r="BM61" s="15">
        <v>1.19</v>
      </c>
      <c r="BN61" s="15">
        <v>0.0</v>
      </c>
      <c r="BO61" s="15">
        <v>0.0</v>
      </c>
      <c r="BP61" s="15">
        <v>0.0</v>
      </c>
      <c r="BQ61" s="15">
        <v>0.0</v>
      </c>
      <c r="BR61" s="15">
        <v>0.0</v>
      </c>
      <c r="BS61" s="15">
        <v>0.0</v>
      </c>
      <c r="BT61" s="15">
        <v>0.0</v>
      </c>
      <c r="BU61" s="15">
        <v>0.0</v>
      </c>
      <c r="BV61" s="15">
        <v>0.0</v>
      </c>
      <c r="BW61" s="15">
        <v>0.0</v>
      </c>
      <c r="BX61" s="15">
        <v>0.0</v>
      </c>
      <c r="BY61" s="15">
        <v>5880.18</v>
      </c>
      <c r="BZ61" s="12">
        <v>0.0</v>
      </c>
      <c r="CA61" s="15">
        <v>0.0</v>
      </c>
      <c r="CB61" s="12">
        <v>0.0</v>
      </c>
      <c r="CC61" s="15">
        <v>0.0</v>
      </c>
      <c r="CD61" s="15">
        <v>0.0</v>
      </c>
      <c r="CE61" s="15">
        <v>0.0</v>
      </c>
      <c r="CF61" s="15">
        <v>0.0</v>
      </c>
      <c r="CG61" s="15">
        <v>0.0</v>
      </c>
      <c r="CH61" s="15">
        <v>12113.95</v>
      </c>
      <c r="CI61" s="15">
        <v>1580.08</v>
      </c>
      <c r="CJ61" s="15">
        <v>10533.87</v>
      </c>
      <c r="CK61" s="15">
        <v>3.93</v>
      </c>
      <c r="CL61" s="12">
        <v>0.0</v>
      </c>
      <c r="CM61" s="12">
        <v>0.0</v>
      </c>
      <c r="CN61" s="12">
        <v>0.0</v>
      </c>
      <c r="CO61" s="12">
        <v>100.0</v>
      </c>
      <c r="CP61" s="14"/>
      <c r="CQ61" s="12">
        <v>0.0</v>
      </c>
      <c r="CR61" s="12">
        <v>0.0</v>
      </c>
      <c r="CS61" s="12">
        <v>0.0</v>
      </c>
      <c r="CT61" s="12">
        <v>-3645.0</v>
      </c>
      <c r="CU61" s="14">
        <v>47269.0</v>
      </c>
      <c r="CV61" s="14">
        <v>47269.0</v>
      </c>
      <c r="CW61" s="12">
        <v>180393.0</v>
      </c>
      <c r="CX61" s="12" t="s">
        <v>122</v>
      </c>
      <c r="CY61" s="12" t="s">
        <v>123</v>
      </c>
      <c r="CZ61" s="15">
        <v>0.0</v>
      </c>
      <c r="DA61" s="15">
        <v>0.0</v>
      </c>
      <c r="DB61" s="15">
        <v>-1940.95</v>
      </c>
      <c r="DC61" s="15">
        <v>0.55</v>
      </c>
      <c r="DD61" s="15">
        <v>0.0</v>
      </c>
      <c r="DE61" s="15">
        <v>0.0</v>
      </c>
      <c r="DF61" s="12"/>
    </row>
    <row r="62" ht="13.5" customHeight="1">
      <c r="A62" s="12" t="s">
        <v>228</v>
      </c>
      <c r="B62" s="13">
        <v>43862.0</v>
      </c>
      <c r="C62" s="12" t="s">
        <v>124</v>
      </c>
      <c r="D62" s="12" t="s">
        <v>125</v>
      </c>
      <c r="E62" s="12" t="s">
        <v>126</v>
      </c>
      <c r="F62" s="12" t="s">
        <v>196</v>
      </c>
      <c r="G62" s="12" t="s">
        <v>140</v>
      </c>
      <c r="H62" s="12" t="s">
        <v>141</v>
      </c>
      <c r="I62" s="14">
        <v>43864.0</v>
      </c>
      <c r="J62" s="14">
        <v>43865.0</v>
      </c>
      <c r="K62" s="12">
        <f t="shared" si="1"/>
        <v>1</v>
      </c>
      <c r="L62" s="12">
        <v>1.0</v>
      </c>
      <c r="M62" s="12">
        <f t="shared" si="2"/>
        <v>0</v>
      </c>
      <c r="N62" s="14">
        <v>43877.0</v>
      </c>
      <c r="O62" s="14">
        <v>43917.0</v>
      </c>
      <c r="P62" s="12">
        <f t="shared" si="3"/>
        <v>40</v>
      </c>
      <c r="Q62" s="12">
        <v>90.0</v>
      </c>
      <c r="R62" s="12">
        <f t="shared" si="4"/>
        <v>-50</v>
      </c>
      <c r="S62" s="12" t="s">
        <v>305</v>
      </c>
      <c r="T62" s="12" t="s">
        <v>306</v>
      </c>
      <c r="U62" s="12" t="s">
        <v>117</v>
      </c>
      <c r="V62" s="12" t="s">
        <v>147</v>
      </c>
      <c r="W62" s="12" t="s">
        <v>182</v>
      </c>
      <c r="X62" s="12" t="s">
        <v>259</v>
      </c>
      <c r="Y62" s="12">
        <v>2024.0</v>
      </c>
      <c r="Z62" s="12" t="s">
        <v>135</v>
      </c>
      <c r="AA62" s="12">
        <v>1998.0</v>
      </c>
      <c r="AB62" s="12">
        <v>16.0</v>
      </c>
      <c r="AC62" s="12">
        <v>6.0</v>
      </c>
      <c r="AD62" s="15">
        <v>444087.0</v>
      </c>
      <c r="AE62" s="15">
        <v>25452.29</v>
      </c>
      <c r="AF62" s="16">
        <v>0.06</v>
      </c>
      <c r="AG62" s="15">
        <v>34470.86</v>
      </c>
      <c r="AH62" s="15">
        <v>2519.0</v>
      </c>
      <c r="AI62" s="12">
        <v>7.75</v>
      </c>
      <c r="AJ62" s="15">
        <v>229948.0</v>
      </c>
      <c r="AK62" s="12">
        <v>51.78</v>
      </c>
      <c r="AL62" s="14">
        <v>43917.0</v>
      </c>
      <c r="AM62" s="14">
        <v>45743.0</v>
      </c>
      <c r="AN62" s="12">
        <v>60.0</v>
      </c>
      <c r="AO62" s="12">
        <v>3000.0</v>
      </c>
      <c r="AP62" s="12">
        <v>180000.0</v>
      </c>
      <c r="AQ62" s="14">
        <v>46112.0</v>
      </c>
      <c r="AR62" s="12">
        <v>37515.0</v>
      </c>
      <c r="AS62" s="12">
        <v>39767.0</v>
      </c>
      <c r="AT62" s="12">
        <v>2252.0</v>
      </c>
      <c r="AU62" s="12">
        <v>39370.0</v>
      </c>
      <c r="AV62" s="12">
        <v>3028.0</v>
      </c>
      <c r="AW62" s="15">
        <v>6889.73</v>
      </c>
      <c r="AX62" s="15">
        <v>1590.0</v>
      </c>
      <c r="AY62" s="15">
        <v>125.0</v>
      </c>
      <c r="AZ62" s="15">
        <v>290.98</v>
      </c>
      <c r="BA62" s="15">
        <v>1453.23</v>
      </c>
      <c r="BB62" s="15">
        <v>10348.94</v>
      </c>
      <c r="BC62" s="15">
        <v>1552.34</v>
      </c>
      <c r="BD62" s="15">
        <v>11901.28</v>
      </c>
      <c r="BE62" s="14">
        <v>45748.0</v>
      </c>
      <c r="BF62" s="14">
        <v>45838.0</v>
      </c>
      <c r="BG62" s="12">
        <v>30781.0</v>
      </c>
      <c r="BH62" s="12">
        <v>39767.0</v>
      </c>
      <c r="BI62" s="12">
        <v>8986.0</v>
      </c>
      <c r="BJ62" s="12">
        <v>9000.0</v>
      </c>
      <c r="BK62" s="12">
        <v>-14.0</v>
      </c>
      <c r="BL62" s="15">
        <v>0.61</v>
      </c>
      <c r="BM62" s="15">
        <v>1.19</v>
      </c>
      <c r="BN62" s="15">
        <v>0.0</v>
      </c>
      <c r="BO62" s="15">
        <v>0.0</v>
      </c>
      <c r="BP62" s="15">
        <v>0.0</v>
      </c>
      <c r="BQ62" s="15">
        <v>0.0</v>
      </c>
      <c r="BR62" s="15">
        <v>0.0</v>
      </c>
      <c r="BS62" s="15">
        <v>0.0</v>
      </c>
      <c r="BT62" s="15">
        <v>0.0</v>
      </c>
      <c r="BU62" s="15">
        <v>0.0</v>
      </c>
      <c r="BV62" s="15">
        <v>0.0</v>
      </c>
      <c r="BW62" s="15">
        <v>0.0</v>
      </c>
      <c r="BX62" s="15">
        <v>0.0</v>
      </c>
      <c r="BY62" s="15">
        <v>4436.22</v>
      </c>
      <c r="BZ62" s="12">
        <v>0.0</v>
      </c>
      <c r="CA62" s="15">
        <v>0.0</v>
      </c>
      <c r="CB62" s="12">
        <v>0.0</v>
      </c>
      <c r="CC62" s="15">
        <v>0.0</v>
      </c>
      <c r="CD62" s="15">
        <v>0.0</v>
      </c>
      <c r="CE62" s="15">
        <v>0.0</v>
      </c>
      <c r="CF62" s="15">
        <v>0.0</v>
      </c>
      <c r="CG62" s="15">
        <v>0.0</v>
      </c>
      <c r="CH62" s="15">
        <v>11901.28</v>
      </c>
      <c r="CI62" s="15">
        <v>1552.34</v>
      </c>
      <c r="CJ62" s="15">
        <v>10348.94</v>
      </c>
      <c r="CK62" s="15">
        <v>4.6</v>
      </c>
      <c r="CL62" s="12">
        <v>0.0</v>
      </c>
      <c r="CM62" s="12">
        <v>0.0</v>
      </c>
      <c r="CN62" s="12">
        <v>0.0</v>
      </c>
      <c r="CO62" s="12">
        <v>100.0</v>
      </c>
      <c r="CP62" s="14"/>
      <c r="CQ62" s="12">
        <v>0.0</v>
      </c>
      <c r="CR62" s="12">
        <v>0.0</v>
      </c>
      <c r="CS62" s="12">
        <v>0.0</v>
      </c>
      <c r="CT62" s="12">
        <v>-1997.0</v>
      </c>
      <c r="CU62" s="14">
        <v>47269.0</v>
      </c>
      <c r="CV62" s="14">
        <v>47269.0</v>
      </c>
      <c r="CW62" s="12">
        <v>180397.0</v>
      </c>
      <c r="CX62" s="12" t="s">
        <v>122</v>
      </c>
      <c r="CY62" s="12" t="s">
        <v>123</v>
      </c>
      <c r="CZ62" s="15">
        <v>9920.57</v>
      </c>
      <c r="DA62" s="15">
        <v>13946.8</v>
      </c>
      <c r="DB62" s="15">
        <v>-10805.15</v>
      </c>
      <c r="DC62" s="15">
        <v>0.53</v>
      </c>
      <c r="DD62" s="15">
        <v>0.0</v>
      </c>
      <c r="DE62" s="15">
        <v>0.0</v>
      </c>
      <c r="DF62" s="12"/>
    </row>
    <row r="63" ht="13.5" customHeight="1">
      <c r="A63" s="12" t="s">
        <v>228</v>
      </c>
      <c r="B63" s="13">
        <v>43862.0</v>
      </c>
      <c r="C63" s="12" t="s">
        <v>136</v>
      </c>
      <c r="D63" s="12" t="s">
        <v>137</v>
      </c>
      <c r="E63" s="12" t="s">
        <v>138</v>
      </c>
      <c r="F63" s="12" t="s">
        <v>196</v>
      </c>
      <c r="G63" s="12" t="s">
        <v>140</v>
      </c>
      <c r="H63" s="12" t="s">
        <v>114</v>
      </c>
      <c r="I63" s="14">
        <v>43865.0</v>
      </c>
      <c r="J63" s="14">
        <v>43866.0</v>
      </c>
      <c r="K63" s="12">
        <f t="shared" si="1"/>
        <v>1</v>
      </c>
      <c r="L63" s="12">
        <v>1.0</v>
      </c>
      <c r="M63" s="12">
        <f t="shared" si="2"/>
        <v>0</v>
      </c>
      <c r="N63" s="14">
        <v>43878.0</v>
      </c>
      <c r="O63" s="14">
        <v>43918.0</v>
      </c>
      <c r="P63" s="12">
        <f t="shared" si="3"/>
        <v>40</v>
      </c>
      <c r="Q63" s="12">
        <v>90.0</v>
      </c>
      <c r="R63" s="12">
        <f t="shared" si="4"/>
        <v>-50</v>
      </c>
      <c r="S63" s="12" t="s">
        <v>307</v>
      </c>
      <c r="T63" s="12" t="s">
        <v>308</v>
      </c>
      <c r="U63" s="12" t="s">
        <v>117</v>
      </c>
      <c r="V63" s="12" t="s">
        <v>147</v>
      </c>
      <c r="W63" s="12" t="s">
        <v>182</v>
      </c>
      <c r="X63" s="12" t="s">
        <v>259</v>
      </c>
      <c r="Y63" s="12">
        <v>2024.0</v>
      </c>
      <c r="Z63" s="12" t="s">
        <v>135</v>
      </c>
      <c r="AA63" s="12">
        <v>1998.0</v>
      </c>
      <c r="AB63" s="12">
        <v>16.0</v>
      </c>
      <c r="AC63" s="12">
        <v>5.0</v>
      </c>
      <c r="AD63" s="15">
        <v>444087.0</v>
      </c>
      <c r="AE63" s="15">
        <v>25452.29</v>
      </c>
      <c r="AF63" s="16">
        <v>0.06</v>
      </c>
      <c r="AG63" s="15">
        <v>33702.04</v>
      </c>
      <c r="AH63" s="15">
        <v>2519.0</v>
      </c>
      <c r="AI63" s="12">
        <v>7.75</v>
      </c>
      <c r="AJ63" s="15">
        <v>229948.0</v>
      </c>
      <c r="AK63" s="12">
        <v>51.78</v>
      </c>
      <c r="AL63" s="14">
        <v>43918.0</v>
      </c>
      <c r="AM63" s="14">
        <v>45744.0</v>
      </c>
      <c r="AN63" s="12">
        <v>60.0</v>
      </c>
      <c r="AO63" s="12">
        <v>3000.0</v>
      </c>
      <c r="AP63" s="12">
        <v>180000.0</v>
      </c>
      <c r="AQ63" s="14">
        <v>46112.0</v>
      </c>
      <c r="AR63" s="12">
        <v>34386.0</v>
      </c>
      <c r="AS63" s="12">
        <v>36725.0</v>
      </c>
      <c r="AT63" s="12">
        <v>2339.0</v>
      </c>
      <c r="AU63" s="12">
        <v>36332.0</v>
      </c>
      <c r="AV63" s="12">
        <v>2795.0</v>
      </c>
      <c r="AW63" s="15">
        <v>6915.48</v>
      </c>
      <c r="AX63" s="15">
        <v>1590.0</v>
      </c>
      <c r="AY63" s="15">
        <v>125.0</v>
      </c>
      <c r="AZ63" s="15">
        <v>290.98</v>
      </c>
      <c r="BA63" s="15">
        <v>1453.23</v>
      </c>
      <c r="BB63" s="15">
        <v>10374.69</v>
      </c>
      <c r="BC63" s="15">
        <v>1556.2</v>
      </c>
      <c r="BD63" s="15">
        <v>11930.89</v>
      </c>
      <c r="BE63" s="14">
        <v>45748.0</v>
      </c>
      <c r="BF63" s="14">
        <v>45838.0</v>
      </c>
      <c r="BG63" s="12">
        <v>28536.0</v>
      </c>
      <c r="BH63" s="12">
        <v>36725.0</v>
      </c>
      <c r="BI63" s="12">
        <v>8189.0</v>
      </c>
      <c r="BJ63" s="12">
        <v>9000.0</v>
      </c>
      <c r="BK63" s="12">
        <v>-811.0</v>
      </c>
      <c r="BL63" s="15">
        <v>0.61</v>
      </c>
      <c r="BM63" s="15">
        <v>1.19</v>
      </c>
      <c r="BN63" s="15">
        <v>0.0</v>
      </c>
      <c r="BO63" s="15">
        <v>0.0</v>
      </c>
      <c r="BP63" s="15">
        <v>0.0</v>
      </c>
      <c r="BQ63" s="15">
        <v>-64.47</v>
      </c>
      <c r="BR63" s="15">
        <v>0.0</v>
      </c>
      <c r="BS63" s="15">
        <v>0.0</v>
      </c>
      <c r="BT63" s="15">
        <v>0.0</v>
      </c>
      <c r="BU63" s="15">
        <v>0.0</v>
      </c>
      <c r="BV63" s="15">
        <v>0.0</v>
      </c>
      <c r="BW63" s="15">
        <v>0.0</v>
      </c>
      <c r="BX63" s="15">
        <v>0.0</v>
      </c>
      <c r="BY63" s="15">
        <v>3080.29</v>
      </c>
      <c r="BZ63" s="12">
        <v>0.0</v>
      </c>
      <c r="CA63" s="15">
        <v>0.0</v>
      </c>
      <c r="CB63" s="12">
        <v>0.0</v>
      </c>
      <c r="CC63" s="15">
        <v>0.0</v>
      </c>
      <c r="CD63" s="15">
        <v>0.0</v>
      </c>
      <c r="CE63" s="15">
        <v>0.0</v>
      </c>
      <c r="CF63" s="15">
        <v>0.0</v>
      </c>
      <c r="CG63" s="15">
        <v>0.0</v>
      </c>
      <c r="CH63" s="15">
        <v>11436.59</v>
      </c>
      <c r="CI63" s="15">
        <v>1491.73</v>
      </c>
      <c r="CJ63" s="15">
        <v>9944.86</v>
      </c>
      <c r="CK63" s="15">
        <v>4.25</v>
      </c>
      <c r="CL63" s="12">
        <v>0.0</v>
      </c>
      <c r="CM63" s="12">
        <v>0.0</v>
      </c>
      <c r="CN63" s="12">
        <v>0.0</v>
      </c>
      <c r="CO63" s="12">
        <v>100.0</v>
      </c>
      <c r="CP63" s="14"/>
      <c r="CQ63" s="12">
        <v>0.0</v>
      </c>
      <c r="CR63" s="12">
        <v>0.0</v>
      </c>
      <c r="CS63" s="12">
        <v>0.0</v>
      </c>
      <c r="CT63" s="12">
        <v>-5035.0</v>
      </c>
      <c r="CU63" s="14">
        <v>47269.0</v>
      </c>
      <c r="CV63" s="14">
        <v>47269.0</v>
      </c>
      <c r="CW63" s="12">
        <v>180393.0</v>
      </c>
      <c r="CX63" s="12" t="s">
        <v>122</v>
      </c>
      <c r="CY63" s="12" t="s">
        <v>123</v>
      </c>
      <c r="CZ63" s="15">
        <v>0.0</v>
      </c>
      <c r="DA63" s="15">
        <v>0.0</v>
      </c>
      <c r="DB63" s="15">
        <v>-2649.47</v>
      </c>
      <c r="DC63" s="15">
        <v>0.53</v>
      </c>
      <c r="DD63" s="15">
        <v>-429.83</v>
      </c>
      <c r="DE63" s="15">
        <v>-494.3</v>
      </c>
      <c r="DF63" s="12"/>
    </row>
    <row r="64" ht="13.5" customHeight="1">
      <c r="A64" s="12" t="s">
        <v>228</v>
      </c>
      <c r="B64" s="13">
        <v>43862.0</v>
      </c>
      <c r="C64" s="12" t="s">
        <v>109</v>
      </c>
      <c r="D64" s="12" t="s">
        <v>110</v>
      </c>
      <c r="E64" s="12" t="s">
        <v>111</v>
      </c>
      <c r="F64" s="12" t="s">
        <v>196</v>
      </c>
      <c r="G64" s="12" t="s">
        <v>140</v>
      </c>
      <c r="H64" s="12" t="s">
        <v>129</v>
      </c>
      <c r="I64" s="14">
        <v>43866.0</v>
      </c>
      <c r="J64" s="14">
        <v>43867.0</v>
      </c>
      <c r="K64" s="12">
        <f t="shared" si="1"/>
        <v>1</v>
      </c>
      <c r="L64" s="12">
        <v>1.0</v>
      </c>
      <c r="M64" s="12">
        <f t="shared" si="2"/>
        <v>0</v>
      </c>
      <c r="N64" s="14">
        <v>43879.0</v>
      </c>
      <c r="O64" s="14">
        <v>43919.0</v>
      </c>
      <c r="P64" s="12">
        <f t="shared" si="3"/>
        <v>40</v>
      </c>
      <c r="Q64" s="12">
        <v>90.0</v>
      </c>
      <c r="R64" s="12">
        <f t="shared" si="4"/>
        <v>-50</v>
      </c>
      <c r="S64" s="12" t="s">
        <v>309</v>
      </c>
      <c r="T64" s="12" t="s">
        <v>310</v>
      </c>
      <c r="U64" s="12" t="s">
        <v>117</v>
      </c>
      <c r="V64" s="12" t="s">
        <v>147</v>
      </c>
      <c r="W64" s="12" t="s">
        <v>182</v>
      </c>
      <c r="X64" s="12" t="s">
        <v>259</v>
      </c>
      <c r="Y64" s="12">
        <v>2024.0</v>
      </c>
      <c r="Z64" s="12" t="s">
        <v>135</v>
      </c>
      <c r="AA64" s="12">
        <v>1998.0</v>
      </c>
      <c r="AB64" s="12">
        <v>16.0</v>
      </c>
      <c r="AC64" s="12">
        <v>5.0</v>
      </c>
      <c r="AD64" s="15">
        <v>444087.0</v>
      </c>
      <c r="AE64" s="15">
        <v>25452.29</v>
      </c>
      <c r="AF64" s="16">
        <v>0.06</v>
      </c>
      <c r="AG64" s="15">
        <v>33644.53</v>
      </c>
      <c r="AH64" s="15">
        <v>2519.0</v>
      </c>
      <c r="AI64" s="12">
        <v>7.75</v>
      </c>
      <c r="AJ64" s="15">
        <v>229948.0</v>
      </c>
      <c r="AK64" s="12">
        <v>51.78</v>
      </c>
      <c r="AL64" s="14">
        <v>43919.0</v>
      </c>
      <c r="AM64" s="14">
        <v>45745.0</v>
      </c>
      <c r="AN64" s="12">
        <v>60.0</v>
      </c>
      <c r="AO64" s="12">
        <v>3000.0</v>
      </c>
      <c r="AP64" s="12">
        <v>180000.0</v>
      </c>
      <c r="AQ64" s="14">
        <v>46112.0</v>
      </c>
      <c r="AR64" s="12">
        <v>36243.0</v>
      </c>
      <c r="AS64" s="12">
        <v>38289.0</v>
      </c>
      <c r="AT64" s="12">
        <v>2046.0</v>
      </c>
      <c r="AU64" s="12">
        <v>37892.0</v>
      </c>
      <c r="AV64" s="12">
        <v>2915.0</v>
      </c>
      <c r="AW64" s="15">
        <v>6927.65</v>
      </c>
      <c r="AX64" s="15">
        <v>1650.0</v>
      </c>
      <c r="AY64" s="15">
        <v>125.0</v>
      </c>
      <c r="AZ64" s="15">
        <v>290.98</v>
      </c>
      <c r="BA64" s="15">
        <v>1522.99</v>
      </c>
      <c r="BB64" s="15">
        <v>10516.62</v>
      </c>
      <c r="BC64" s="15">
        <v>1577.49</v>
      </c>
      <c r="BD64" s="15">
        <v>12094.11</v>
      </c>
      <c r="BE64" s="14">
        <v>45748.0</v>
      </c>
      <c r="BF64" s="14">
        <v>45838.0</v>
      </c>
      <c r="BG64" s="12">
        <v>30484.0</v>
      </c>
      <c r="BH64" s="12">
        <v>38289.0</v>
      </c>
      <c r="BI64" s="12">
        <v>7805.0</v>
      </c>
      <c r="BJ64" s="12">
        <v>9000.0</v>
      </c>
      <c r="BK64" s="12">
        <v>-1195.0</v>
      </c>
      <c r="BL64" s="15">
        <v>0.63</v>
      </c>
      <c r="BM64" s="15">
        <v>1.19</v>
      </c>
      <c r="BN64" s="15">
        <v>0.0</v>
      </c>
      <c r="BO64" s="15">
        <v>0.0</v>
      </c>
      <c r="BP64" s="15">
        <v>0.0</v>
      </c>
      <c r="BQ64" s="15">
        <v>-98.59</v>
      </c>
      <c r="BR64" s="15">
        <v>0.0</v>
      </c>
      <c r="BS64" s="15">
        <v>0.0</v>
      </c>
      <c r="BT64" s="15">
        <v>0.0</v>
      </c>
      <c r="BU64" s="15">
        <v>0.0</v>
      </c>
      <c r="BV64" s="15">
        <v>0.0</v>
      </c>
      <c r="BW64" s="15">
        <v>0.0</v>
      </c>
      <c r="BX64" s="15">
        <v>0.0</v>
      </c>
      <c r="BY64" s="15">
        <v>1609.37</v>
      </c>
      <c r="BZ64" s="12">
        <v>0.0</v>
      </c>
      <c r="CA64" s="15">
        <v>3092.88</v>
      </c>
      <c r="CB64" s="12">
        <v>0.0</v>
      </c>
      <c r="CC64" s="15">
        <v>0.0</v>
      </c>
      <c r="CD64" s="15">
        <v>0.0</v>
      </c>
      <c r="CE64" s="15">
        <v>0.0</v>
      </c>
      <c r="CF64" s="15">
        <v>0.0</v>
      </c>
      <c r="CG64" s="15">
        <v>0.0</v>
      </c>
      <c r="CH64" s="15">
        <v>11338.27</v>
      </c>
      <c r="CI64" s="15">
        <v>1478.9</v>
      </c>
      <c r="CJ64" s="15">
        <v>9859.37</v>
      </c>
      <c r="CK64" s="15">
        <v>4.82</v>
      </c>
      <c r="CL64" s="12">
        <v>0.0</v>
      </c>
      <c r="CM64" s="12">
        <v>0.0</v>
      </c>
      <c r="CN64" s="12">
        <v>0.0</v>
      </c>
      <c r="CO64" s="12">
        <v>100.0</v>
      </c>
      <c r="CP64" s="14"/>
      <c r="CQ64" s="12">
        <v>0.0</v>
      </c>
      <c r="CR64" s="12">
        <v>0.0</v>
      </c>
      <c r="CS64" s="12">
        <v>0.0</v>
      </c>
      <c r="CT64" s="12">
        <v>-3475.0</v>
      </c>
      <c r="CU64" s="14">
        <v>47269.0</v>
      </c>
      <c r="CV64" s="14">
        <v>47269.0</v>
      </c>
      <c r="CW64" s="12">
        <v>180397.0</v>
      </c>
      <c r="CX64" s="12" t="s">
        <v>122</v>
      </c>
      <c r="CY64" s="12" t="s">
        <v>123</v>
      </c>
      <c r="CZ64" s="15">
        <v>560.7</v>
      </c>
      <c r="DA64" s="15">
        <v>1059.1</v>
      </c>
      <c r="DB64" s="15">
        <v>-2269.85</v>
      </c>
      <c r="DC64" s="15">
        <v>0.55</v>
      </c>
      <c r="DD64" s="15">
        <v>-657.25</v>
      </c>
      <c r="DE64" s="15">
        <v>-755.84</v>
      </c>
      <c r="DF64" s="12"/>
    </row>
    <row r="65" ht="13.5" customHeight="1">
      <c r="A65" s="12" t="s">
        <v>228</v>
      </c>
      <c r="B65" s="13">
        <v>43862.0</v>
      </c>
      <c r="C65" s="12" t="s">
        <v>124</v>
      </c>
      <c r="D65" s="12" t="s">
        <v>125</v>
      </c>
      <c r="E65" s="12" t="s">
        <v>126</v>
      </c>
      <c r="F65" s="12" t="s">
        <v>196</v>
      </c>
      <c r="G65" s="12" t="s">
        <v>140</v>
      </c>
      <c r="H65" s="12" t="s">
        <v>141</v>
      </c>
      <c r="I65" s="14">
        <v>43867.0</v>
      </c>
      <c r="J65" s="14">
        <v>43868.0</v>
      </c>
      <c r="K65" s="12">
        <f t="shared" si="1"/>
        <v>1</v>
      </c>
      <c r="L65" s="12">
        <v>1.0</v>
      </c>
      <c r="M65" s="12">
        <f t="shared" si="2"/>
        <v>0</v>
      </c>
      <c r="N65" s="14">
        <v>43880.0</v>
      </c>
      <c r="O65" s="14">
        <v>43920.0</v>
      </c>
      <c r="P65" s="12">
        <f t="shared" si="3"/>
        <v>40</v>
      </c>
      <c r="Q65" s="12">
        <v>90.0</v>
      </c>
      <c r="R65" s="12">
        <f t="shared" si="4"/>
        <v>-50</v>
      </c>
      <c r="S65" s="12" t="s">
        <v>311</v>
      </c>
      <c r="T65" s="12" t="s">
        <v>312</v>
      </c>
      <c r="U65" s="12" t="s">
        <v>117</v>
      </c>
      <c r="V65" s="12" t="s">
        <v>147</v>
      </c>
      <c r="W65" s="12" t="s">
        <v>182</v>
      </c>
      <c r="X65" s="12" t="s">
        <v>259</v>
      </c>
      <c r="Y65" s="12">
        <v>2024.0</v>
      </c>
      <c r="Z65" s="12" t="s">
        <v>135</v>
      </c>
      <c r="AA65" s="12">
        <v>1998.0</v>
      </c>
      <c r="AB65" s="12">
        <v>16.0</v>
      </c>
      <c r="AC65" s="12">
        <v>5.0</v>
      </c>
      <c r="AD65" s="15">
        <v>444087.0</v>
      </c>
      <c r="AE65" s="15">
        <v>25452.29</v>
      </c>
      <c r="AF65" s="16">
        <v>0.06</v>
      </c>
      <c r="AG65" s="15">
        <v>34509.79</v>
      </c>
      <c r="AH65" s="15">
        <v>2519.0</v>
      </c>
      <c r="AI65" s="12">
        <v>7.75</v>
      </c>
      <c r="AJ65" s="15">
        <v>229948.0</v>
      </c>
      <c r="AK65" s="12">
        <v>51.78</v>
      </c>
      <c r="AL65" s="14">
        <v>43920.0</v>
      </c>
      <c r="AM65" s="14">
        <v>45746.0</v>
      </c>
      <c r="AN65" s="12">
        <v>60.0</v>
      </c>
      <c r="AO65" s="12">
        <v>3000.0</v>
      </c>
      <c r="AP65" s="12">
        <v>180000.0</v>
      </c>
      <c r="AQ65" s="14">
        <v>46112.0</v>
      </c>
      <c r="AR65" s="12">
        <v>38683.0</v>
      </c>
      <c r="AS65" s="12">
        <v>38683.0</v>
      </c>
      <c r="AT65" s="12">
        <v>1.0</v>
      </c>
      <c r="AU65" s="12">
        <v>38291.0</v>
      </c>
      <c r="AV65" s="12">
        <v>2945.0</v>
      </c>
      <c r="AW65" s="15">
        <v>6945.11</v>
      </c>
      <c r="AX65" s="15">
        <v>1650.0</v>
      </c>
      <c r="AY65" s="15">
        <v>125.0</v>
      </c>
      <c r="AZ65" s="15">
        <v>290.98</v>
      </c>
      <c r="BA65" s="15">
        <v>1522.99</v>
      </c>
      <c r="BB65" s="15">
        <v>10534.08</v>
      </c>
      <c r="BC65" s="15">
        <v>1580.11</v>
      </c>
      <c r="BD65" s="15">
        <v>12114.19</v>
      </c>
      <c r="BE65" s="14">
        <v>45748.0</v>
      </c>
      <c r="BF65" s="14">
        <v>45838.0</v>
      </c>
      <c r="BG65" s="12">
        <v>29890.0</v>
      </c>
      <c r="BH65" s="12">
        <v>38683.0</v>
      </c>
      <c r="BI65" s="12">
        <v>8793.0</v>
      </c>
      <c r="BJ65" s="12">
        <v>9000.0</v>
      </c>
      <c r="BK65" s="12">
        <v>-207.0</v>
      </c>
      <c r="BL65" s="15">
        <v>0.63</v>
      </c>
      <c r="BM65" s="15">
        <v>1.19</v>
      </c>
      <c r="BN65" s="15">
        <v>0.0</v>
      </c>
      <c r="BO65" s="15">
        <v>0.0</v>
      </c>
      <c r="BP65" s="15">
        <v>0.0</v>
      </c>
      <c r="BQ65" s="15">
        <v>0.0</v>
      </c>
      <c r="BR65" s="15">
        <v>0.0</v>
      </c>
      <c r="BS65" s="15">
        <v>0.0</v>
      </c>
      <c r="BT65" s="15">
        <v>0.0</v>
      </c>
      <c r="BU65" s="15">
        <v>0.0</v>
      </c>
      <c r="BV65" s="15">
        <v>0.0</v>
      </c>
      <c r="BW65" s="15">
        <v>0.0</v>
      </c>
      <c r="BX65" s="15">
        <v>0.0</v>
      </c>
      <c r="BY65" s="15">
        <v>0.0</v>
      </c>
      <c r="BZ65" s="12">
        <v>0.0</v>
      </c>
      <c r="CA65" s="15">
        <v>0.0</v>
      </c>
      <c r="CB65" s="12">
        <v>0.0</v>
      </c>
      <c r="CC65" s="15">
        <v>0.0</v>
      </c>
      <c r="CD65" s="15">
        <v>0.0</v>
      </c>
      <c r="CE65" s="15">
        <v>0.0</v>
      </c>
      <c r="CF65" s="15">
        <v>0.0</v>
      </c>
      <c r="CG65" s="15">
        <v>0.0</v>
      </c>
      <c r="CH65" s="15">
        <v>12114.19</v>
      </c>
      <c r="CI65" s="15">
        <v>1580.11</v>
      </c>
      <c r="CJ65" s="15">
        <v>10534.08</v>
      </c>
      <c r="CK65" s="15">
        <v>10534.08</v>
      </c>
      <c r="CL65" s="12">
        <v>0.0</v>
      </c>
      <c r="CM65" s="12">
        <v>0.0</v>
      </c>
      <c r="CN65" s="12">
        <v>0.0</v>
      </c>
      <c r="CO65" s="12">
        <v>100.0</v>
      </c>
      <c r="CP65" s="14"/>
      <c r="CQ65" s="12">
        <v>0.0</v>
      </c>
      <c r="CR65" s="12">
        <v>0.0</v>
      </c>
      <c r="CS65" s="12">
        <v>0.0</v>
      </c>
      <c r="CT65" s="12">
        <v>-3076.0</v>
      </c>
      <c r="CU65" s="14">
        <v>47269.0</v>
      </c>
      <c r="CV65" s="14">
        <v>47269.0</v>
      </c>
      <c r="CW65" s="12">
        <v>180392.0</v>
      </c>
      <c r="CX65" s="12" t="s">
        <v>122</v>
      </c>
      <c r="CY65" s="12" t="s">
        <v>123</v>
      </c>
      <c r="CZ65" s="15">
        <v>602.91</v>
      </c>
      <c r="DA65" s="15">
        <v>1138.83</v>
      </c>
      <c r="DB65" s="15">
        <v>-2174.81</v>
      </c>
      <c r="DC65" s="15">
        <v>0.55</v>
      </c>
      <c r="DD65" s="15">
        <v>0.0</v>
      </c>
      <c r="DE65" s="15">
        <v>0.0</v>
      </c>
      <c r="DF65" s="12"/>
    </row>
    <row r="66" ht="13.5" customHeight="1">
      <c r="A66" s="12" t="s">
        <v>228</v>
      </c>
      <c r="B66" s="13">
        <v>43862.0</v>
      </c>
      <c r="C66" s="12" t="s">
        <v>136</v>
      </c>
      <c r="D66" s="12" t="s">
        <v>137</v>
      </c>
      <c r="E66" s="12" t="s">
        <v>138</v>
      </c>
      <c r="F66" s="12" t="s">
        <v>196</v>
      </c>
      <c r="G66" s="12" t="s">
        <v>140</v>
      </c>
      <c r="H66" s="12" t="s">
        <v>114</v>
      </c>
      <c r="I66" s="14">
        <v>43868.0</v>
      </c>
      <c r="J66" s="14">
        <v>43869.0</v>
      </c>
      <c r="K66" s="12">
        <f t="shared" si="1"/>
        <v>1</v>
      </c>
      <c r="L66" s="12">
        <v>1.0</v>
      </c>
      <c r="M66" s="12">
        <f t="shared" si="2"/>
        <v>0</v>
      </c>
      <c r="N66" s="14">
        <v>43881.0</v>
      </c>
      <c r="O66" s="14">
        <v>43921.0</v>
      </c>
      <c r="P66" s="12">
        <f t="shared" si="3"/>
        <v>40</v>
      </c>
      <c r="Q66" s="12">
        <v>90.0</v>
      </c>
      <c r="R66" s="12">
        <f t="shared" si="4"/>
        <v>-50</v>
      </c>
      <c r="S66" s="12" t="s">
        <v>313</v>
      </c>
      <c r="T66" s="12" t="s">
        <v>314</v>
      </c>
      <c r="U66" s="12" t="s">
        <v>117</v>
      </c>
      <c r="V66" s="12" t="s">
        <v>147</v>
      </c>
      <c r="W66" s="12" t="s">
        <v>182</v>
      </c>
      <c r="X66" s="12" t="s">
        <v>259</v>
      </c>
      <c r="Y66" s="12">
        <v>2024.0</v>
      </c>
      <c r="Z66" s="12" t="s">
        <v>135</v>
      </c>
      <c r="AA66" s="12">
        <v>1998.0</v>
      </c>
      <c r="AB66" s="12">
        <v>16.0</v>
      </c>
      <c r="AC66" s="12">
        <v>4.0</v>
      </c>
      <c r="AD66" s="15">
        <v>444087.0</v>
      </c>
      <c r="AE66" s="15">
        <v>25452.29</v>
      </c>
      <c r="AF66" s="16">
        <v>0.06</v>
      </c>
      <c r="AG66" s="15">
        <v>33607.87</v>
      </c>
      <c r="AH66" s="15">
        <v>2519.0</v>
      </c>
      <c r="AI66" s="12">
        <v>7.75</v>
      </c>
      <c r="AJ66" s="15">
        <v>229948.0</v>
      </c>
      <c r="AK66" s="12">
        <v>51.78</v>
      </c>
      <c r="AL66" s="14">
        <v>43921.0</v>
      </c>
      <c r="AM66" s="14">
        <v>45747.0</v>
      </c>
      <c r="AN66" s="12">
        <v>60.0</v>
      </c>
      <c r="AO66" s="12">
        <v>3000.0</v>
      </c>
      <c r="AP66" s="12">
        <v>180000.0</v>
      </c>
      <c r="AQ66" s="14">
        <v>46112.0</v>
      </c>
      <c r="AR66" s="12">
        <v>31084.0</v>
      </c>
      <c r="AS66" s="12">
        <v>30512.0</v>
      </c>
      <c r="AT66" s="12">
        <v>-572.0</v>
      </c>
      <c r="AU66" s="12">
        <v>30117.0</v>
      </c>
      <c r="AV66" s="12">
        <v>2317.0</v>
      </c>
      <c r="AW66" s="15">
        <v>6926.92</v>
      </c>
      <c r="AX66" s="15">
        <v>1650.0</v>
      </c>
      <c r="AY66" s="15">
        <v>125.0</v>
      </c>
      <c r="AZ66" s="15">
        <v>290.98</v>
      </c>
      <c r="BA66" s="15">
        <v>1522.99</v>
      </c>
      <c r="BB66" s="15">
        <v>10515.89</v>
      </c>
      <c r="BC66" s="15">
        <v>1577.38</v>
      </c>
      <c r="BD66" s="15">
        <v>12093.27</v>
      </c>
      <c r="BE66" s="14">
        <v>45748.0</v>
      </c>
      <c r="BF66" s="14">
        <v>45838.0</v>
      </c>
      <c r="BG66" s="12">
        <v>30512.0</v>
      </c>
      <c r="BH66" s="12">
        <v>30512.0</v>
      </c>
      <c r="BI66" s="12">
        <v>0.0</v>
      </c>
      <c r="BJ66" s="12">
        <v>9000.0</v>
      </c>
      <c r="BK66" s="12">
        <v>-9000.0</v>
      </c>
      <c r="BL66" s="15">
        <v>0.63</v>
      </c>
      <c r="BM66" s="15">
        <v>1.19</v>
      </c>
      <c r="BN66" s="15">
        <v>0.0</v>
      </c>
      <c r="BO66" s="15">
        <v>0.0</v>
      </c>
      <c r="BP66" s="15">
        <v>0.0</v>
      </c>
      <c r="BQ66" s="15">
        <v>-742.5</v>
      </c>
      <c r="BR66" s="15">
        <v>0.0</v>
      </c>
      <c r="BS66" s="15">
        <v>0.0</v>
      </c>
      <c r="BT66" s="15">
        <v>67704.29</v>
      </c>
      <c r="BU66" s="15">
        <v>0.0</v>
      </c>
      <c r="BV66" s="15">
        <v>0.0</v>
      </c>
      <c r="BW66" s="15">
        <v>0.0</v>
      </c>
      <c r="BX66" s="15">
        <v>0.0</v>
      </c>
      <c r="BY66" s="15">
        <v>0.0</v>
      </c>
      <c r="BZ66" s="12">
        <v>0.0</v>
      </c>
      <c r="CA66" s="15">
        <v>0.0</v>
      </c>
      <c r="CB66" s="12">
        <v>0.0</v>
      </c>
      <c r="CC66" s="15">
        <v>0.0</v>
      </c>
      <c r="CD66" s="15">
        <v>0.0</v>
      </c>
      <c r="CE66" s="15">
        <v>67704.29</v>
      </c>
      <c r="CF66" s="15">
        <v>10155.64</v>
      </c>
      <c r="CG66" s="15">
        <v>77859.93</v>
      </c>
      <c r="CH66" s="15">
        <v>84260.7</v>
      </c>
      <c r="CI66" s="15">
        <v>10990.52</v>
      </c>
      <c r="CJ66" s="15">
        <v>73270.18</v>
      </c>
      <c r="CK66" s="15">
        <v>-128.09</v>
      </c>
      <c r="CL66" s="12">
        <v>0.0</v>
      </c>
      <c r="CM66" s="12">
        <v>95.0</v>
      </c>
      <c r="CN66" s="12">
        <v>0.0</v>
      </c>
      <c r="CO66" s="12">
        <v>100.0</v>
      </c>
      <c r="CP66" s="14"/>
      <c r="CQ66" s="12">
        <v>0.0</v>
      </c>
      <c r="CR66" s="12">
        <v>0.0</v>
      </c>
      <c r="CS66" s="12">
        <v>0.0</v>
      </c>
      <c r="CT66" s="12">
        <v>-11250.0</v>
      </c>
      <c r="CU66" s="14">
        <v>47269.0</v>
      </c>
      <c r="CV66" s="14">
        <v>47269.0</v>
      </c>
      <c r="CW66" s="12">
        <v>180395.0</v>
      </c>
      <c r="CX66" s="12" t="s">
        <v>122</v>
      </c>
      <c r="CY66" s="12" t="s">
        <v>123</v>
      </c>
      <c r="CZ66" s="15">
        <v>0.0</v>
      </c>
      <c r="DA66" s="15">
        <v>0.0</v>
      </c>
      <c r="DB66" s="15">
        <v>-6185.85</v>
      </c>
      <c r="DC66" s="15">
        <v>0.55</v>
      </c>
      <c r="DD66" s="15">
        <v>-4950.0</v>
      </c>
      <c r="DE66" s="15">
        <v>-5692.5</v>
      </c>
      <c r="DF66" s="12"/>
    </row>
    <row r="67" ht="13.5" customHeight="1">
      <c r="A67" s="12" t="s">
        <v>108</v>
      </c>
      <c r="B67" s="13">
        <v>43862.0</v>
      </c>
      <c r="C67" s="12" t="s">
        <v>109</v>
      </c>
      <c r="D67" s="12" t="s">
        <v>110</v>
      </c>
      <c r="E67" s="12" t="s">
        <v>111</v>
      </c>
      <c r="F67" s="12" t="s">
        <v>176</v>
      </c>
      <c r="G67" s="12" t="s">
        <v>140</v>
      </c>
      <c r="H67" s="12" t="s">
        <v>129</v>
      </c>
      <c r="I67" s="14">
        <v>43869.0</v>
      </c>
      <c r="J67" s="14">
        <v>43873.0</v>
      </c>
      <c r="K67" s="12">
        <f t="shared" si="1"/>
        <v>4</v>
      </c>
      <c r="L67" s="12">
        <v>1.0</v>
      </c>
      <c r="M67" s="12">
        <f t="shared" si="2"/>
        <v>3</v>
      </c>
      <c r="N67" s="14">
        <v>43882.0</v>
      </c>
      <c r="O67" s="14">
        <v>43936.0</v>
      </c>
      <c r="P67" s="12">
        <f t="shared" si="3"/>
        <v>54</v>
      </c>
      <c r="Q67" s="12">
        <v>90.0</v>
      </c>
      <c r="R67" s="12">
        <f t="shared" si="4"/>
        <v>-36</v>
      </c>
      <c r="S67" s="12" t="s">
        <v>315</v>
      </c>
      <c r="T67" s="12" t="s">
        <v>316</v>
      </c>
      <c r="U67" s="12" t="s">
        <v>117</v>
      </c>
      <c r="V67" s="12" t="s">
        <v>190</v>
      </c>
      <c r="W67" s="12" t="s">
        <v>194</v>
      </c>
      <c r="X67" s="12" t="s">
        <v>195</v>
      </c>
      <c r="Y67" s="12">
        <v>2024.0</v>
      </c>
      <c r="Z67" s="12" t="s">
        <v>121</v>
      </c>
      <c r="AA67" s="12">
        <v>1198.0</v>
      </c>
      <c r="AB67" s="12">
        <v>16.0</v>
      </c>
      <c r="AC67" s="12">
        <v>0.0</v>
      </c>
      <c r="AD67" s="15">
        <v>178174.0</v>
      </c>
      <c r="AE67" s="15">
        <v>7400.0</v>
      </c>
      <c r="AF67" s="16">
        <v>0.04</v>
      </c>
      <c r="AG67" s="15">
        <v>13183.05</v>
      </c>
      <c r="AH67" s="15">
        <v>2696.11</v>
      </c>
      <c r="AI67" s="12">
        <v>7.75</v>
      </c>
      <c r="AJ67" s="15">
        <v>78397.0</v>
      </c>
      <c r="AK67" s="12">
        <v>44.0</v>
      </c>
      <c r="AL67" s="14">
        <v>43936.0</v>
      </c>
      <c r="AM67" s="14">
        <v>45762.0</v>
      </c>
      <c r="AN67" s="12">
        <v>60.0</v>
      </c>
      <c r="AO67" s="12">
        <v>2500.0</v>
      </c>
      <c r="AP67" s="12">
        <v>150000.0</v>
      </c>
      <c r="AQ67" s="14">
        <v>46142.0</v>
      </c>
      <c r="AR67" s="12">
        <v>7368.0</v>
      </c>
      <c r="AS67" s="12">
        <v>7819.0</v>
      </c>
      <c r="AT67" s="12">
        <v>451.0</v>
      </c>
      <c r="AU67" s="12">
        <v>7203.0</v>
      </c>
      <c r="AV67" s="12">
        <v>554.0</v>
      </c>
      <c r="AW67" s="15">
        <v>3394.3</v>
      </c>
      <c r="AX67" s="15">
        <v>850.0</v>
      </c>
      <c r="AY67" s="15">
        <v>115.0</v>
      </c>
      <c r="AZ67" s="15">
        <v>290.98</v>
      </c>
      <c r="BA67" s="15">
        <v>1114.22</v>
      </c>
      <c r="BB67" s="15">
        <v>5764.5</v>
      </c>
      <c r="BC67" s="15">
        <v>864.68</v>
      </c>
      <c r="BD67" s="15">
        <v>6629.18</v>
      </c>
      <c r="BE67" s="14">
        <v>45748.0</v>
      </c>
      <c r="BF67" s="14">
        <v>45838.0</v>
      </c>
      <c r="BG67" s="12">
        <v>5770.0</v>
      </c>
      <c r="BH67" s="12">
        <v>7819.0</v>
      </c>
      <c r="BI67" s="12">
        <v>2049.0</v>
      </c>
      <c r="BJ67" s="12">
        <v>7500.0</v>
      </c>
      <c r="BK67" s="12">
        <v>-5451.0</v>
      </c>
      <c r="BL67" s="15">
        <v>0.39</v>
      </c>
      <c r="BM67" s="15">
        <v>0.67</v>
      </c>
      <c r="BN67" s="15">
        <v>0.0</v>
      </c>
      <c r="BO67" s="15">
        <v>0.0</v>
      </c>
      <c r="BP67" s="15">
        <v>0.0</v>
      </c>
      <c r="BQ67" s="15">
        <v>-278.0</v>
      </c>
      <c r="BR67" s="15">
        <v>0.0</v>
      </c>
      <c r="BS67" s="15">
        <v>0.0</v>
      </c>
      <c r="BT67" s="15">
        <v>0.0</v>
      </c>
      <c r="BU67" s="15">
        <v>0.0</v>
      </c>
      <c r="BV67" s="15">
        <v>0.0</v>
      </c>
      <c r="BW67" s="15">
        <v>0.0</v>
      </c>
      <c r="BX67" s="15">
        <v>0.0</v>
      </c>
      <c r="BY67" s="15">
        <v>677.55</v>
      </c>
      <c r="BZ67" s="12">
        <v>0.0</v>
      </c>
      <c r="CA67" s="15">
        <v>0.0</v>
      </c>
      <c r="CB67" s="12">
        <v>0.0</v>
      </c>
      <c r="CC67" s="15">
        <v>0.0</v>
      </c>
      <c r="CD67" s="15">
        <v>0.0</v>
      </c>
      <c r="CE67" s="15">
        <v>0.0</v>
      </c>
      <c r="CF67" s="15">
        <v>0.0</v>
      </c>
      <c r="CG67" s="15">
        <v>0.0</v>
      </c>
      <c r="CH67" s="15">
        <v>4497.84</v>
      </c>
      <c r="CI67" s="15">
        <v>586.68</v>
      </c>
      <c r="CJ67" s="15">
        <v>3911.16</v>
      </c>
      <c r="CK67" s="15">
        <v>8.67</v>
      </c>
      <c r="CL67" s="12">
        <v>0.0</v>
      </c>
      <c r="CM67" s="12">
        <v>0.0</v>
      </c>
      <c r="CN67" s="12">
        <v>0.0</v>
      </c>
      <c r="CO67" s="12">
        <v>100.0</v>
      </c>
      <c r="CP67" s="14"/>
      <c r="CQ67" s="12">
        <v>0.0</v>
      </c>
      <c r="CR67" s="12">
        <v>0.0</v>
      </c>
      <c r="CS67" s="12">
        <v>0.0</v>
      </c>
      <c r="CT67" s="12">
        <v>-27269.0</v>
      </c>
      <c r="CU67" s="14">
        <v>47269.0</v>
      </c>
      <c r="CV67" s="14">
        <v>47269.0</v>
      </c>
      <c r="CW67" s="12">
        <v>150616.0</v>
      </c>
      <c r="CX67" s="12" t="s">
        <v>122</v>
      </c>
      <c r="CY67" s="12" t="s">
        <v>123</v>
      </c>
      <c r="CZ67" s="15">
        <v>0.0</v>
      </c>
      <c r="DA67" s="15">
        <v>0.0</v>
      </c>
      <c r="DB67" s="15">
        <v>-9271.46</v>
      </c>
      <c r="DC67" s="15">
        <v>0.34</v>
      </c>
      <c r="DD67" s="15">
        <v>-1853.34</v>
      </c>
      <c r="DE67" s="15">
        <v>-2131.34</v>
      </c>
      <c r="DF67" s="12"/>
    </row>
    <row r="68" ht="13.5" customHeight="1">
      <c r="A68" s="12" t="s">
        <v>108</v>
      </c>
      <c r="B68" s="13">
        <v>43862.0</v>
      </c>
      <c r="C68" s="12" t="s">
        <v>124</v>
      </c>
      <c r="D68" s="12" t="s">
        <v>125</v>
      </c>
      <c r="E68" s="12" t="s">
        <v>126</v>
      </c>
      <c r="F68" s="12" t="s">
        <v>176</v>
      </c>
      <c r="G68" s="12" t="s">
        <v>140</v>
      </c>
      <c r="H68" s="12" t="s">
        <v>141</v>
      </c>
      <c r="I68" s="14">
        <v>43870.0</v>
      </c>
      <c r="J68" s="14">
        <v>43871.0</v>
      </c>
      <c r="K68" s="12">
        <f t="shared" si="1"/>
        <v>1</v>
      </c>
      <c r="L68" s="12">
        <v>1.0</v>
      </c>
      <c r="M68" s="12">
        <f t="shared" si="2"/>
        <v>0</v>
      </c>
      <c r="N68" s="14">
        <v>43883.0</v>
      </c>
      <c r="O68" s="14">
        <v>43937.0</v>
      </c>
      <c r="P68" s="12">
        <f t="shared" si="3"/>
        <v>54</v>
      </c>
      <c r="Q68" s="12">
        <v>90.0</v>
      </c>
      <c r="R68" s="12">
        <f t="shared" si="4"/>
        <v>-36</v>
      </c>
      <c r="S68" s="12" t="s">
        <v>317</v>
      </c>
      <c r="T68" s="12" t="s">
        <v>318</v>
      </c>
      <c r="U68" s="12" t="s">
        <v>117</v>
      </c>
      <c r="V68" s="12" t="s">
        <v>190</v>
      </c>
      <c r="W68" s="12" t="s">
        <v>194</v>
      </c>
      <c r="X68" s="12" t="s">
        <v>195</v>
      </c>
      <c r="Y68" s="12">
        <v>2024.0</v>
      </c>
      <c r="Z68" s="12" t="s">
        <v>121</v>
      </c>
      <c r="AA68" s="12">
        <v>1198.0</v>
      </c>
      <c r="AB68" s="12">
        <v>16.0</v>
      </c>
      <c r="AC68" s="12">
        <v>0.0</v>
      </c>
      <c r="AD68" s="15">
        <v>178174.0</v>
      </c>
      <c r="AE68" s="15">
        <v>7400.0</v>
      </c>
      <c r="AF68" s="16">
        <v>0.04</v>
      </c>
      <c r="AG68" s="15">
        <v>13710.12</v>
      </c>
      <c r="AH68" s="15">
        <v>1961.0</v>
      </c>
      <c r="AI68" s="12">
        <v>7.75</v>
      </c>
      <c r="AJ68" s="15">
        <v>78397.0</v>
      </c>
      <c r="AK68" s="12">
        <v>44.0</v>
      </c>
      <c r="AL68" s="14">
        <v>43937.0</v>
      </c>
      <c r="AM68" s="14">
        <v>45763.0</v>
      </c>
      <c r="AN68" s="12">
        <v>60.0</v>
      </c>
      <c r="AO68" s="12">
        <v>2500.0</v>
      </c>
      <c r="AP68" s="12">
        <v>150000.0</v>
      </c>
      <c r="AQ68" s="14">
        <v>46142.0</v>
      </c>
      <c r="AR68" s="12">
        <v>16273.0</v>
      </c>
      <c r="AS68" s="12">
        <v>18069.0</v>
      </c>
      <c r="AT68" s="12">
        <v>1796.0</v>
      </c>
      <c r="AU68" s="12">
        <v>17457.0</v>
      </c>
      <c r="AV68" s="12">
        <v>1343.0</v>
      </c>
      <c r="AW68" s="15">
        <v>3390.12</v>
      </c>
      <c r="AX68" s="15">
        <v>850.0</v>
      </c>
      <c r="AY68" s="15">
        <v>115.0</v>
      </c>
      <c r="AZ68" s="15">
        <v>291.0</v>
      </c>
      <c r="BA68" s="15">
        <v>1114.22</v>
      </c>
      <c r="BB68" s="15">
        <v>5760.34</v>
      </c>
      <c r="BC68" s="15">
        <v>864.05</v>
      </c>
      <c r="BD68" s="15">
        <v>6624.39</v>
      </c>
      <c r="BE68" s="14">
        <v>45748.0</v>
      </c>
      <c r="BF68" s="14">
        <v>45838.0</v>
      </c>
      <c r="BG68" s="12">
        <v>13809.0</v>
      </c>
      <c r="BH68" s="12">
        <v>18069.0</v>
      </c>
      <c r="BI68" s="12">
        <v>4260.0</v>
      </c>
      <c r="BJ68" s="12">
        <v>7500.0</v>
      </c>
      <c r="BK68" s="12">
        <v>-3240.0</v>
      </c>
      <c r="BL68" s="15">
        <v>0.39</v>
      </c>
      <c r="BM68" s="15">
        <v>0.67</v>
      </c>
      <c r="BN68" s="15">
        <v>0.0</v>
      </c>
      <c r="BO68" s="15">
        <v>0.0</v>
      </c>
      <c r="BP68" s="15">
        <v>0.0</v>
      </c>
      <c r="BQ68" s="15">
        <v>-165.24</v>
      </c>
      <c r="BR68" s="15">
        <v>0.0</v>
      </c>
      <c r="BS68" s="15">
        <v>0.0</v>
      </c>
      <c r="BT68" s="15">
        <v>0.0</v>
      </c>
      <c r="BU68" s="15">
        <v>0.0</v>
      </c>
      <c r="BV68" s="15">
        <v>0.0</v>
      </c>
      <c r="BW68" s="15">
        <v>0.0</v>
      </c>
      <c r="BX68" s="15">
        <v>0.0</v>
      </c>
      <c r="BY68" s="15">
        <v>1956.0</v>
      </c>
      <c r="BZ68" s="12">
        <v>0.0</v>
      </c>
      <c r="CA68" s="15">
        <v>0.0</v>
      </c>
      <c r="CB68" s="12">
        <v>0.0</v>
      </c>
      <c r="CC68" s="15">
        <v>0.0</v>
      </c>
      <c r="CD68" s="15">
        <v>0.0</v>
      </c>
      <c r="CE68" s="15">
        <v>0.0</v>
      </c>
      <c r="CF68" s="15">
        <v>0.0</v>
      </c>
      <c r="CG68" s="15">
        <v>0.0</v>
      </c>
      <c r="CH68" s="15">
        <v>5357.55</v>
      </c>
      <c r="CI68" s="15">
        <v>698.81</v>
      </c>
      <c r="CJ68" s="15">
        <v>4658.74</v>
      </c>
      <c r="CK68" s="15">
        <v>2.59</v>
      </c>
      <c r="CL68" s="12">
        <v>0.0</v>
      </c>
      <c r="CM68" s="12">
        <v>0.0</v>
      </c>
      <c r="CN68" s="12">
        <v>0.0</v>
      </c>
      <c r="CO68" s="12">
        <v>100.0</v>
      </c>
      <c r="CP68" s="14"/>
      <c r="CQ68" s="12">
        <v>0.0</v>
      </c>
      <c r="CR68" s="12">
        <v>0.0</v>
      </c>
      <c r="CS68" s="12">
        <v>0.0</v>
      </c>
      <c r="CT68" s="12">
        <v>-16440.0</v>
      </c>
      <c r="CU68" s="14">
        <v>47269.0</v>
      </c>
      <c r="CV68" s="14">
        <v>47269.0</v>
      </c>
      <c r="CW68" s="12">
        <v>150612.0</v>
      </c>
      <c r="CX68" s="12" t="s">
        <v>122</v>
      </c>
      <c r="CY68" s="12" t="s">
        <v>123</v>
      </c>
      <c r="CZ68" s="15">
        <v>0.0</v>
      </c>
      <c r="DA68" s="15">
        <v>0.0</v>
      </c>
      <c r="DB68" s="15">
        <v>-5589.6</v>
      </c>
      <c r="DC68" s="15">
        <v>0.34</v>
      </c>
      <c r="DD68" s="15">
        <v>-1101.6</v>
      </c>
      <c r="DE68" s="15">
        <v>-1266.84</v>
      </c>
      <c r="DF68" s="12"/>
    </row>
    <row r="69" ht="13.5" customHeight="1">
      <c r="A69" s="12" t="s">
        <v>228</v>
      </c>
      <c r="B69" s="13">
        <v>43862.0</v>
      </c>
      <c r="C69" s="12" t="s">
        <v>136</v>
      </c>
      <c r="D69" s="12" t="s">
        <v>137</v>
      </c>
      <c r="E69" s="12" t="s">
        <v>138</v>
      </c>
      <c r="F69" s="12" t="s">
        <v>172</v>
      </c>
      <c r="G69" s="12" t="s">
        <v>140</v>
      </c>
      <c r="H69" s="12" t="s">
        <v>114</v>
      </c>
      <c r="I69" s="14">
        <v>43871.0</v>
      </c>
      <c r="J69" s="14">
        <v>43872.0</v>
      </c>
      <c r="K69" s="12">
        <f t="shared" si="1"/>
        <v>1</v>
      </c>
      <c r="L69" s="12">
        <v>1.0</v>
      </c>
      <c r="M69" s="12">
        <f t="shared" si="2"/>
        <v>0</v>
      </c>
      <c r="N69" s="14">
        <v>43876.0</v>
      </c>
      <c r="O69" s="14">
        <v>43938.0</v>
      </c>
      <c r="P69" s="12">
        <f t="shared" si="3"/>
        <v>62</v>
      </c>
      <c r="Q69" s="12">
        <v>90.0</v>
      </c>
      <c r="R69" s="12">
        <f t="shared" si="4"/>
        <v>-28</v>
      </c>
      <c r="S69" s="12" t="s">
        <v>319</v>
      </c>
      <c r="T69" s="12" t="s">
        <v>320</v>
      </c>
      <c r="U69" s="12" t="s">
        <v>117</v>
      </c>
      <c r="V69" s="12" t="s">
        <v>190</v>
      </c>
      <c r="W69" s="12" t="s">
        <v>194</v>
      </c>
      <c r="X69" s="12" t="s">
        <v>195</v>
      </c>
      <c r="Y69" s="12">
        <v>2024.0</v>
      </c>
      <c r="Z69" s="12" t="s">
        <v>121</v>
      </c>
      <c r="AA69" s="12">
        <v>1198.0</v>
      </c>
      <c r="AB69" s="12">
        <v>16.0</v>
      </c>
      <c r="AC69" s="12">
        <v>5.0</v>
      </c>
      <c r="AD69" s="15">
        <v>204900.0</v>
      </c>
      <c r="AE69" s="15">
        <v>34426.0</v>
      </c>
      <c r="AF69" s="16">
        <v>0.17</v>
      </c>
      <c r="AG69" s="15">
        <v>12767.74</v>
      </c>
      <c r="AH69" s="15">
        <v>1650.0</v>
      </c>
      <c r="AI69" s="12">
        <v>7.75</v>
      </c>
      <c r="AJ69" s="15">
        <v>90350.7</v>
      </c>
      <c r="AK69" s="12">
        <v>95.0</v>
      </c>
      <c r="AL69" s="14">
        <v>43938.0</v>
      </c>
      <c r="AM69" s="14">
        <v>45764.0</v>
      </c>
      <c r="AN69" s="12">
        <v>60.0</v>
      </c>
      <c r="AO69" s="12">
        <v>10500.0</v>
      </c>
      <c r="AP69" s="12">
        <v>176524.0</v>
      </c>
      <c r="AQ69" s="14">
        <v>46142.0</v>
      </c>
      <c r="AR69" s="12">
        <v>124640.0</v>
      </c>
      <c r="AS69" s="12">
        <v>136930.0</v>
      </c>
      <c r="AT69" s="12">
        <v>12290.0</v>
      </c>
      <c r="AU69" s="12">
        <v>136314.0</v>
      </c>
      <c r="AV69" s="12">
        <v>10486.0</v>
      </c>
      <c r="AW69" s="15">
        <v>2859.46</v>
      </c>
      <c r="AX69" s="15">
        <v>4200.0</v>
      </c>
      <c r="AY69" s="15">
        <v>115.0</v>
      </c>
      <c r="AZ69" s="15">
        <v>291.0</v>
      </c>
      <c r="BA69" s="15">
        <v>1119.45</v>
      </c>
      <c r="BB69" s="15">
        <v>8584.91</v>
      </c>
      <c r="BC69" s="15">
        <v>1287.74</v>
      </c>
      <c r="BD69" s="15">
        <v>9872.65</v>
      </c>
      <c r="BE69" s="14">
        <v>45748.0</v>
      </c>
      <c r="BF69" s="14">
        <v>45838.0</v>
      </c>
      <c r="BG69" s="12">
        <v>97066.0</v>
      </c>
      <c r="BH69" s="12">
        <v>136930.0</v>
      </c>
      <c r="BI69" s="12">
        <v>39864.0</v>
      </c>
      <c r="BJ69" s="12">
        <v>40500.0</v>
      </c>
      <c r="BK69" s="12">
        <v>-636.0</v>
      </c>
      <c r="BL69" s="15">
        <v>0.38</v>
      </c>
      <c r="BM69" s="15">
        <v>0.62</v>
      </c>
      <c r="BN69" s="15">
        <v>0.0</v>
      </c>
      <c r="BO69" s="15">
        <v>0.0</v>
      </c>
      <c r="BP69" s="15">
        <v>0.0</v>
      </c>
      <c r="BQ69" s="15">
        <v>0.0</v>
      </c>
      <c r="BR69" s="15">
        <v>0.0</v>
      </c>
      <c r="BS69" s="15">
        <v>0.0</v>
      </c>
      <c r="BT69" s="15">
        <v>0.0</v>
      </c>
      <c r="BU69" s="15">
        <v>0.0</v>
      </c>
      <c r="BV69" s="15">
        <v>0.0</v>
      </c>
      <c r="BW69" s="15">
        <v>0.0</v>
      </c>
      <c r="BX69" s="15">
        <v>0.0</v>
      </c>
      <c r="BY69" s="15">
        <v>14815.83</v>
      </c>
      <c r="BZ69" s="12">
        <v>0.0</v>
      </c>
      <c r="CA69" s="15">
        <v>0.0</v>
      </c>
      <c r="CB69" s="12">
        <v>0.0</v>
      </c>
      <c r="CC69" s="15">
        <v>0.0</v>
      </c>
      <c r="CD69" s="15">
        <v>0.0</v>
      </c>
      <c r="CE69" s="15">
        <v>0.0</v>
      </c>
      <c r="CF69" s="15">
        <v>0.0</v>
      </c>
      <c r="CG69" s="15">
        <v>0.0</v>
      </c>
      <c r="CH69" s="15">
        <v>9872.65</v>
      </c>
      <c r="CI69" s="15">
        <v>1287.74</v>
      </c>
      <c r="CJ69" s="15">
        <v>8584.91</v>
      </c>
      <c r="CK69" s="15">
        <v>0.7</v>
      </c>
      <c r="CL69" s="12">
        <v>0.0</v>
      </c>
      <c r="CM69" s="12">
        <v>0.0</v>
      </c>
      <c r="CN69" s="12">
        <v>0.0</v>
      </c>
      <c r="CO69" s="12">
        <v>100.0</v>
      </c>
      <c r="CP69" s="14"/>
      <c r="CQ69" s="12">
        <v>0.0</v>
      </c>
      <c r="CR69" s="12">
        <v>0.0</v>
      </c>
      <c r="CS69" s="12">
        <v>0.0</v>
      </c>
      <c r="CT69" s="12">
        <v>-60103.0</v>
      </c>
      <c r="CU69" s="14">
        <v>45961.0</v>
      </c>
      <c r="CV69" s="14">
        <v>45961.0</v>
      </c>
      <c r="CW69" s="12">
        <v>177140.0</v>
      </c>
      <c r="CX69" s="12" t="s">
        <v>122</v>
      </c>
      <c r="CY69" s="12" t="s">
        <v>123</v>
      </c>
      <c r="CZ69" s="15">
        <v>0.0</v>
      </c>
      <c r="DA69" s="15">
        <v>0.0</v>
      </c>
      <c r="DB69" s="15">
        <v>-19624.11</v>
      </c>
      <c r="DC69" s="15">
        <v>0.4</v>
      </c>
      <c r="DD69" s="15">
        <v>0.0</v>
      </c>
      <c r="DE69" s="15">
        <v>0.0</v>
      </c>
      <c r="DF69" s="12"/>
    </row>
    <row r="70" ht="13.5" customHeight="1">
      <c r="A70" s="17" t="s">
        <v>108</v>
      </c>
      <c r="B70" s="18">
        <v>43891.0</v>
      </c>
      <c r="C70" s="17" t="s">
        <v>109</v>
      </c>
      <c r="D70" s="17" t="s">
        <v>110</v>
      </c>
      <c r="E70" s="17" t="s">
        <v>111</v>
      </c>
      <c r="F70" s="17" t="s">
        <v>172</v>
      </c>
      <c r="G70" s="17" t="s">
        <v>140</v>
      </c>
      <c r="H70" s="17" t="s">
        <v>129</v>
      </c>
      <c r="I70" s="19">
        <v>43901.0</v>
      </c>
      <c r="J70" s="19">
        <v>43916.0</v>
      </c>
      <c r="K70" s="17">
        <f t="shared" si="1"/>
        <v>15</v>
      </c>
      <c r="L70" s="17">
        <v>1.0</v>
      </c>
      <c r="M70" s="17">
        <f t="shared" si="2"/>
        <v>14</v>
      </c>
      <c r="N70" s="19">
        <v>43915.0</v>
      </c>
      <c r="O70" s="19">
        <v>43939.0</v>
      </c>
      <c r="P70" s="17">
        <f t="shared" si="3"/>
        <v>24</v>
      </c>
      <c r="Q70" s="17">
        <v>90.0</v>
      </c>
      <c r="R70" s="17">
        <f t="shared" si="4"/>
        <v>-66</v>
      </c>
      <c r="S70" s="17" t="s">
        <v>321</v>
      </c>
      <c r="T70" s="17" t="s">
        <v>322</v>
      </c>
      <c r="U70" s="17" t="s">
        <v>117</v>
      </c>
      <c r="V70" s="17" t="s">
        <v>207</v>
      </c>
      <c r="W70" s="17" t="s">
        <v>182</v>
      </c>
      <c r="X70" s="17" t="s">
        <v>284</v>
      </c>
      <c r="Y70" s="17">
        <v>2024.0</v>
      </c>
      <c r="Z70" s="17" t="s">
        <v>135</v>
      </c>
      <c r="AA70" s="17">
        <v>2198.0</v>
      </c>
      <c r="AB70" s="17">
        <v>16.0</v>
      </c>
      <c r="AC70" s="17">
        <v>2.0</v>
      </c>
      <c r="AD70" s="20">
        <v>720000.0</v>
      </c>
      <c r="AE70" s="20">
        <v>20004.79</v>
      </c>
      <c r="AF70" s="21">
        <v>0.03</v>
      </c>
      <c r="AG70" s="20">
        <v>7196.76</v>
      </c>
      <c r="AH70" s="20">
        <v>2297.0</v>
      </c>
      <c r="AI70" s="17">
        <v>7.75</v>
      </c>
      <c r="AJ70" s="20">
        <v>252000.0</v>
      </c>
      <c r="AK70" s="17">
        <v>35.0</v>
      </c>
      <c r="AL70" s="19">
        <v>43939.0</v>
      </c>
      <c r="AM70" s="19">
        <v>45765.0</v>
      </c>
      <c r="AN70" s="17">
        <v>60.0</v>
      </c>
      <c r="AO70" s="17">
        <v>10000.0</v>
      </c>
      <c r="AP70" s="17">
        <v>220000.0</v>
      </c>
      <c r="AQ70" s="19">
        <v>46142.0</v>
      </c>
      <c r="AR70" s="17">
        <v>56920.0</v>
      </c>
      <c r="AS70" s="17">
        <v>63025.0</v>
      </c>
      <c r="AT70" s="17">
        <v>6105.0</v>
      </c>
      <c r="AU70" s="17">
        <v>62384.0</v>
      </c>
      <c r="AV70" s="17">
        <v>4799.0</v>
      </c>
      <c r="AW70" s="20">
        <v>25007.12</v>
      </c>
      <c r="AX70" s="20">
        <v>4800.0</v>
      </c>
      <c r="AY70" s="20">
        <v>190.0</v>
      </c>
      <c r="AZ70" s="20">
        <v>291.0</v>
      </c>
      <c r="BA70" s="20">
        <v>1062.98</v>
      </c>
      <c r="BB70" s="20">
        <v>31351.1</v>
      </c>
      <c r="BC70" s="20">
        <v>4702.67</v>
      </c>
      <c r="BD70" s="20">
        <v>36053.77</v>
      </c>
      <c r="BE70" s="19">
        <v>45748.0</v>
      </c>
      <c r="BF70" s="19">
        <v>45838.0</v>
      </c>
      <c r="BG70" s="17">
        <v>46908.0</v>
      </c>
      <c r="BH70" s="17">
        <v>63025.0</v>
      </c>
      <c r="BI70" s="17">
        <v>16117.0</v>
      </c>
      <c r="BJ70" s="17">
        <v>30000.0</v>
      </c>
      <c r="BK70" s="17">
        <v>-13883.0</v>
      </c>
      <c r="BL70" s="20">
        <v>0.55</v>
      </c>
      <c r="BM70" s="20">
        <v>2.13</v>
      </c>
      <c r="BN70" s="20">
        <v>0.0</v>
      </c>
      <c r="BO70" s="20">
        <v>0.0</v>
      </c>
      <c r="BP70" s="20">
        <v>0.0</v>
      </c>
      <c r="BQ70" s="20">
        <v>-999.58</v>
      </c>
      <c r="BR70" s="20">
        <v>0.0</v>
      </c>
      <c r="BS70" s="20">
        <v>0.0</v>
      </c>
      <c r="BT70" s="20">
        <v>0.0</v>
      </c>
      <c r="BU70" s="20">
        <v>0.0</v>
      </c>
      <c r="BV70" s="20">
        <v>0.0</v>
      </c>
      <c r="BW70" s="20">
        <v>0.0</v>
      </c>
      <c r="BX70" s="20">
        <v>0.0</v>
      </c>
      <c r="BY70" s="20">
        <v>14718.45</v>
      </c>
      <c r="BZ70" s="17">
        <v>0.0</v>
      </c>
      <c r="CA70" s="20">
        <v>0.0</v>
      </c>
      <c r="CB70" s="17">
        <v>0.0</v>
      </c>
      <c r="CC70" s="20">
        <v>0.0</v>
      </c>
      <c r="CD70" s="20">
        <v>0.0</v>
      </c>
      <c r="CE70" s="20">
        <v>0.0</v>
      </c>
      <c r="CF70" s="20">
        <v>0.0</v>
      </c>
      <c r="CG70" s="20">
        <v>0.0</v>
      </c>
      <c r="CH70" s="20">
        <v>28390.35</v>
      </c>
      <c r="CI70" s="20">
        <v>3703.09</v>
      </c>
      <c r="CJ70" s="20">
        <v>24687.26</v>
      </c>
      <c r="CK70" s="20">
        <v>4.04</v>
      </c>
      <c r="CL70" s="17">
        <v>0.0</v>
      </c>
      <c r="CM70" s="17">
        <v>0.0</v>
      </c>
      <c r="CN70" s="17">
        <v>0.0</v>
      </c>
      <c r="CO70" s="17">
        <v>100.0</v>
      </c>
      <c r="CP70" s="19"/>
      <c r="CQ70" s="17">
        <v>0.0</v>
      </c>
      <c r="CR70" s="17">
        <v>0.0</v>
      </c>
      <c r="CS70" s="17">
        <v>0.0</v>
      </c>
      <c r="CT70" s="17">
        <v>-70246.0</v>
      </c>
      <c r="CU70" s="19">
        <v>46112.0</v>
      </c>
      <c r="CV70" s="19">
        <v>46112.0</v>
      </c>
      <c r="CW70" s="17">
        <v>220641.0</v>
      </c>
      <c r="CX70" s="17" t="s">
        <v>122</v>
      </c>
      <c r="CY70" s="17" t="s">
        <v>123</v>
      </c>
      <c r="CZ70" s="20">
        <v>0.0</v>
      </c>
      <c r="DA70" s="20">
        <v>0.0</v>
      </c>
      <c r="DB70" s="20">
        <v>-33718.08</v>
      </c>
      <c r="DC70" s="20">
        <v>0.48</v>
      </c>
      <c r="DD70" s="20">
        <v>-6663.84</v>
      </c>
      <c r="DE70" s="20">
        <v>-7663.42</v>
      </c>
      <c r="DF70" s="17"/>
    </row>
    <row r="71" ht="13.5" customHeight="1">
      <c r="A71" s="17" t="s">
        <v>108</v>
      </c>
      <c r="B71" s="18">
        <v>43891.0</v>
      </c>
      <c r="C71" s="17" t="s">
        <v>124</v>
      </c>
      <c r="D71" s="17" t="s">
        <v>125</v>
      </c>
      <c r="E71" s="17" t="s">
        <v>126</v>
      </c>
      <c r="F71" s="17" t="s">
        <v>176</v>
      </c>
      <c r="G71" s="17" t="s">
        <v>140</v>
      </c>
      <c r="H71" s="17" t="s">
        <v>141</v>
      </c>
      <c r="I71" s="19">
        <v>43902.0</v>
      </c>
      <c r="J71" s="19">
        <v>43917.0</v>
      </c>
      <c r="K71" s="17">
        <f t="shared" si="1"/>
        <v>15</v>
      </c>
      <c r="L71" s="17">
        <v>1.0</v>
      </c>
      <c r="M71" s="17">
        <f t="shared" si="2"/>
        <v>14</v>
      </c>
      <c r="N71" s="19">
        <v>43916.0</v>
      </c>
      <c r="O71" s="19">
        <v>43970.0</v>
      </c>
      <c r="P71" s="17">
        <f t="shared" si="3"/>
        <v>54</v>
      </c>
      <c r="Q71" s="17">
        <v>90.0</v>
      </c>
      <c r="R71" s="17">
        <f t="shared" si="4"/>
        <v>-36</v>
      </c>
      <c r="S71" s="17" t="s">
        <v>323</v>
      </c>
      <c r="T71" s="17" t="s">
        <v>324</v>
      </c>
      <c r="U71" s="17" t="s">
        <v>117</v>
      </c>
      <c r="V71" s="17" t="s">
        <v>147</v>
      </c>
      <c r="W71" s="17" t="s">
        <v>182</v>
      </c>
      <c r="X71" s="17" t="s">
        <v>259</v>
      </c>
      <c r="Y71" s="17">
        <v>2024.0</v>
      </c>
      <c r="Z71" s="17" t="s">
        <v>135</v>
      </c>
      <c r="AA71" s="17">
        <v>1998.0</v>
      </c>
      <c r="AB71" s="17">
        <v>16.0</v>
      </c>
      <c r="AC71" s="17">
        <v>4.0</v>
      </c>
      <c r="AD71" s="20">
        <v>454435.0</v>
      </c>
      <c r="AE71" s="20">
        <v>35800.29</v>
      </c>
      <c r="AF71" s="21">
        <v>0.08</v>
      </c>
      <c r="AG71" s="20">
        <v>28041.64</v>
      </c>
      <c r="AH71" s="20">
        <v>2621.0</v>
      </c>
      <c r="AI71" s="17">
        <v>7.75</v>
      </c>
      <c r="AJ71" s="20">
        <v>243113.0</v>
      </c>
      <c r="AK71" s="17">
        <v>53.5</v>
      </c>
      <c r="AL71" s="19">
        <v>43970.0</v>
      </c>
      <c r="AM71" s="19">
        <v>45796.0</v>
      </c>
      <c r="AN71" s="17">
        <v>60.0</v>
      </c>
      <c r="AO71" s="17">
        <v>5000.0</v>
      </c>
      <c r="AP71" s="17">
        <v>220000.0</v>
      </c>
      <c r="AQ71" s="19">
        <v>46142.0</v>
      </c>
      <c r="AR71" s="17">
        <v>39290.0</v>
      </c>
      <c r="AS71" s="17">
        <v>42114.0</v>
      </c>
      <c r="AT71" s="17">
        <v>2824.0</v>
      </c>
      <c r="AU71" s="17">
        <v>41508.0</v>
      </c>
      <c r="AV71" s="17">
        <v>3193.0</v>
      </c>
      <c r="AW71" s="20">
        <v>7844.53</v>
      </c>
      <c r="AX71" s="20">
        <v>2800.0</v>
      </c>
      <c r="AY71" s="20">
        <v>125.0</v>
      </c>
      <c r="AZ71" s="20">
        <v>291.0</v>
      </c>
      <c r="BA71" s="20">
        <v>1538.21</v>
      </c>
      <c r="BB71" s="20">
        <v>12598.74</v>
      </c>
      <c r="BC71" s="20">
        <v>1889.81</v>
      </c>
      <c r="BD71" s="20">
        <v>14488.55</v>
      </c>
      <c r="BE71" s="19">
        <v>45748.0</v>
      </c>
      <c r="BF71" s="19">
        <v>45838.0</v>
      </c>
      <c r="BG71" s="17">
        <v>32190.0</v>
      </c>
      <c r="BH71" s="17">
        <v>42114.0</v>
      </c>
      <c r="BI71" s="17">
        <v>9924.0</v>
      </c>
      <c r="BJ71" s="17">
        <v>15000.0</v>
      </c>
      <c r="BK71" s="17">
        <v>-5076.0</v>
      </c>
      <c r="BL71" s="20">
        <v>0.64</v>
      </c>
      <c r="BM71" s="20">
        <v>0.96</v>
      </c>
      <c r="BN71" s="20">
        <v>0.0</v>
      </c>
      <c r="BO71" s="20">
        <v>0.0</v>
      </c>
      <c r="BP71" s="20">
        <v>0.0</v>
      </c>
      <c r="BQ71" s="20">
        <v>-426.38</v>
      </c>
      <c r="BR71" s="20">
        <v>0.0</v>
      </c>
      <c r="BS71" s="20">
        <v>5150.0</v>
      </c>
      <c r="BT71" s="20">
        <v>0.0</v>
      </c>
      <c r="BU71" s="20">
        <v>0.0</v>
      </c>
      <c r="BV71" s="20">
        <v>0.0</v>
      </c>
      <c r="BW71" s="20">
        <v>0.0</v>
      </c>
      <c r="BX71" s="20">
        <v>0.0</v>
      </c>
      <c r="BY71" s="20">
        <v>4672.66</v>
      </c>
      <c r="BZ71" s="17">
        <v>0.0</v>
      </c>
      <c r="CA71" s="20">
        <v>0.0</v>
      </c>
      <c r="CB71" s="17">
        <v>0.0</v>
      </c>
      <c r="CC71" s="20">
        <v>0.0</v>
      </c>
      <c r="CD71" s="20">
        <v>0.0</v>
      </c>
      <c r="CE71" s="20">
        <v>5150.0</v>
      </c>
      <c r="CF71" s="20">
        <v>772.5</v>
      </c>
      <c r="CG71" s="20">
        <v>5922.5</v>
      </c>
      <c r="CH71" s="20">
        <v>17142.11</v>
      </c>
      <c r="CI71" s="20">
        <v>2235.93</v>
      </c>
      <c r="CJ71" s="20">
        <v>14906.18</v>
      </c>
      <c r="CK71" s="20">
        <v>5.28</v>
      </c>
      <c r="CL71" s="17">
        <v>36.0</v>
      </c>
      <c r="CM71" s="17">
        <v>0.0</v>
      </c>
      <c r="CN71" s="17">
        <v>0.0</v>
      </c>
      <c r="CO71" s="17">
        <v>100.0</v>
      </c>
      <c r="CP71" s="19"/>
      <c r="CQ71" s="17">
        <v>0.0</v>
      </c>
      <c r="CR71" s="17">
        <v>0.0</v>
      </c>
      <c r="CS71" s="17">
        <v>0.0</v>
      </c>
      <c r="CT71" s="17">
        <v>-23656.0</v>
      </c>
      <c r="CU71" s="19">
        <v>46783.0</v>
      </c>
      <c r="CV71" s="19">
        <v>46783.0</v>
      </c>
      <c r="CW71" s="17">
        <v>220606.0</v>
      </c>
      <c r="CX71" s="17" t="s">
        <v>122</v>
      </c>
      <c r="CY71" s="17" t="s">
        <v>123</v>
      </c>
      <c r="CZ71" s="20">
        <v>0.0</v>
      </c>
      <c r="DA71" s="20">
        <v>0.0</v>
      </c>
      <c r="DB71" s="20">
        <v>-13247.36</v>
      </c>
      <c r="DC71" s="20">
        <v>0.56</v>
      </c>
      <c r="DD71" s="20">
        <v>-2842.56</v>
      </c>
      <c r="DE71" s="20">
        <v>-3268.94</v>
      </c>
      <c r="DF71" s="17"/>
    </row>
    <row r="72" ht="13.5" customHeight="1">
      <c r="A72" s="17" t="s">
        <v>108</v>
      </c>
      <c r="B72" s="18">
        <v>43891.0</v>
      </c>
      <c r="C72" s="17" t="s">
        <v>136</v>
      </c>
      <c r="D72" s="17" t="s">
        <v>137</v>
      </c>
      <c r="E72" s="17" t="s">
        <v>138</v>
      </c>
      <c r="F72" s="17" t="s">
        <v>176</v>
      </c>
      <c r="G72" s="17" t="s">
        <v>140</v>
      </c>
      <c r="H72" s="17" t="s">
        <v>114</v>
      </c>
      <c r="I72" s="19">
        <v>43903.0</v>
      </c>
      <c r="J72" s="19">
        <v>43904.0</v>
      </c>
      <c r="K72" s="17">
        <f t="shared" si="1"/>
        <v>1</v>
      </c>
      <c r="L72" s="17">
        <v>1.0</v>
      </c>
      <c r="M72" s="17">
        <f t="shared" si="2"/>
        <v>0</v>
      </c>
      <c r="N72" s="19">
        <v>43917.0</v>
      </c>
      <c r="O72" s="19">
        <v>44063.0</v>
      </c>
      <c r="P72" s="17">
        <f t="shared" si="3"/>
        <v>146</v>
      </c>
      <c r="Q72" s="17">
        <v>90.0</v>
      </c>
      <c r="R72" s="17">
        <f t="shared" si="4"/>
        <v>56</v>
      </c>
      <c r="S72" s="17" t="s">
        <v>325</v>
      </c>
      <c r="T72" s="17" t="s">
        <v>326</v>
      </c>
      <c r="U72" s="17" t="s">
        <v>117</v>
      </c>
      <c r="V72" s="17" t="s">
        <v>132</v>
      </c>
      <c r="W72" s="17" t="s">
        <v>327</v>
      </c>
      <c r="X72" s="17" t="s">
        <v>328</v>
      </c>
      <c r="Y72" s="17">
        <v>2024.0</v>
      </c>
      <c r="Z72" s="17" t="s">
        <v>135</v>
      </c>
      <c r="AA72" s="17">
        <v>1998.0</v>
      </c>
      <c r="AB72" s="17">
        <v>16.0</v>
      </c>
      <c r="AC72" s="17">
        <v>0.0</v>
      </c>
      <c r="AD72" s="20">
        <v>359173.91</v>
      </c>
      <c r="AE72" s="20">
        <v>107752.17</v>
      </c>
      <c r="AF72" s="21">
        <v>0.3</v>
      </c>
      <c r="AG72" s="20">
        <v>32788.74</v>
      </c>
      <c r="AH72" s="20">
        <v>2435.0</v>
      </c>
      <c r="AI72" s="17">
        <v>7.75</v>
      </c>
      <c r="AJ72" s="20">
        <v>149697.0</v>
      </c>
      <c r="AK72" s="17">
        <v>41.68</v>
      </c>
      <c r="AL72" s="19">
        <v>44063.0</v>
      </c>
      <c r="AM72" s="19">
        <v>45889.0</v>
      </c>
      <c r="AN72" s="17">
        <v>60.0</v>
      </c>
      <c r="AO72" s="17">
        <v>5000.0</v>
      </c>
      <c r="AP72" s="17">
        <v>220000.0</v>
      </c>
      <c r="AQ72" s="19">
        <v>46142.0</v>
      </c>
      <c r="AR72" s="17">
        <v>27607.0</v>
      </c>
      <c r="AS72" s="17">
        <v>28500.0</v>
      </c>
      <c r="AT72" s="17">
        <v>893.0</v>
      </c>
      <c r="AU72" s="17">
        <v>27867.0</v>
      </c>
      <c r="AV72" s="17">
        <v>2144.0</v>
      </c>
      <c r="AW72" s="20">
        <v>5354.74</v>
      </c>
      <c r="AX72" s="20">
        <v>3450.0</v>
      </c>
      <c r="AY72" s="20">
        <v>125.0</v>
      </c>
      <c r="AZ72" s="20">
        <v>291.0</v>
      </c>
      <c r="BA72" s="20">
        <v>1538.21</v>
      </c>
      <c r="BB72" s="20">
        <v>10758.95</v>
      </c>
      <c r="BC72" s="20">
        <v>1613.84</v>
      </c>
      <c r="BD72" s="20">
        <v>12372.79</v>
      </c>
      <c r="BE72" s="19">
        <v>45748.0</v>
      </c>
      <c r="BF72" s="19">
        <v>45838.0</v>
      </c>
      <c r="BG72" s="17">
        <v>24812.0</v>
      </c>
      <c r="BH72" s="17">
        <v>28500.0</v>
      </c>
      <c r="BI72" s="17">
        <v>3688.0</v>
      </c>
      <c r="BJ72" s="17">
        <v>15000.0</v>
      </c>
      <c r="BK72" s="17">
        <v>-11312.0</v>
      </c>
      <c r="BL72" s="20">
        <v>0.79</v>
      </c>
      <c r="BM72" s="20">
        <v>0.95</v>
      </c>
      <c r="BN72" s="20">
        <v>0.0</v>
      </c>
      <c r="BO72" s="20">
        <v>0.0</v>
      </c>
      <c r="BP72" s="20">
        <v>0.0</v>
      </c>
      <c r="BQ72" s="20">
        <v>-1170.79</v>
      </c>
      <c r="BR72" s="20">
        <v>0.0</v>
      </c>
      <c r="BS72" s="20">
        <v>0.0</v>
      </c>
      <c r="BT72" s="20">
        <v>0.0</v>
      </c>
      <c r="BU72" s="20">
        <v>0.0</v>
      </c>
      <c r="BV72" s="20">
        <v>0.0</v>
      </c>
      <c r="BW72" s="20">
        <v>0.0</v>
      </c>
      <c r="BX72" s="20">
        <v>0.0</v>
      </c>
      <c r="BY72" s="20">
        <v>0.0</v>
      </c>
      <c r="BZ72" s="17">
        <v>0.0</v>
      </c>
      <c r="CA72" s="20">
        <v>0.0</v>
      </c>
      <c r="CB72" s="17">
        <v>0.0</v>
      </c>
      <c r="CC72" s="20">
        <v>0.0</v>
      </c>
      <c r="CD72" s="20">
        <v>0.0</v>
      </c>
      <c r="CE72" s="20">
        <v>0.0</v>
      </c>
      <c r="CF72" s="20">
        <v>0.0</v>
      </c>
      <c r="CG72" s="20">
        <v>0.0</v>
      </c>
      <c r="CH72" s="20">
        <v>3396.72</v>
      </c>
      <c r="CI72" s="20">
        <v>443.05</v>
      </c>
      <c r="CJ72" s="20">
        <v>2953.67</v>
      </c>
      <c r="CK72" s="20">
        <v>3.31</v>
      </c>
      <c r="CL72" s="17">
        <v>0.0</v>
      </c>
      <c r="CM72" s="17">
        <v>0.0</v>
      </c>
      <c r="CN72" s="17">
        <v>0.0</v>
      </c>
      <c r="CO72" s="17">
        <v>100.0</v>
      </c>
      <c r="CP72" s="19"/>
      <c r="CQ72" s="17">
        <v>0.0</v>
      </c>
      <c r="CR72" s="17">
        <v>0.0</v>
      </c>
      <c r="CS72" s="17">
        <v>0.0</v>
      </c>
      <c r="CT72" s="17">
        <v>-37297.0</v>
      </c>
      <c r="CU72" s="19">
        <v>46783.0</v>
      </c>
      <c r="CV72" s="19">
        <v>46783.0</v>
      </c>
      <c r="CW72" s="17">
        <v>220633.0</v>
      </c>
      <c r="CX72" s="17" t="s">
        <v>122</v>
      </c>
      <c r="CY72" s="17" t="s">
        <v>123</v>
      </c>
      <c r="CZ72" s="20">
        <v>2363.68</v>
      </c>
      <c r="DA72" s="20">
        <v>2842.4</v>
      </c>
      <c r="DB72" s="20">
        <v>-27799.41</v>
      </c>
      <c r="DC72" s="20">
        <v>0.69</v>
      </c>
      <c r="DD72" s="20">
        <v>-7805.28</v>
      </c>
      <c r="DE72" s="20">
        <v>-8976.07</v>
      </c>
      <c r="DF72" s="17"/>
    </row>
    <row r="73" ht="13.5" customHeight="1">
      <c r="A73" s="17" t="s">
        <v>144</v>
      </c>
      <c r="B73" s="18">
        <v>43891.0</v>
      </c>
      <c r="C73" s="17" t="s">
        <v>109</v>
      </c>
      <c r="D73" s="17" t="s">
        <v>110</v>
      </c>
      <c r="E73" s="17" t="s">
        <v>111</v>
      </c>
      <c r="F73" s="17" t="s">
        <v>329</v>
      </c>
      <c r="G73" s="17" t="s">
        <v>140</v>
      </c>
      <c r="H73" s="17" t="s">
        <v>129</v>
      </c>
      <c r="I73" s="19">
        <v>43904.0</v>
      </c>
      <c r="J73" s="19">
        <v>43905.0</v>
      </c>
      <c r="K73" s="17">
        <f t="shared" si="1"/>
        <v>1</v>
      </c>
      <c r="L73" s="17">
        <v>1.0</v>
      </c>
      <c r="M73" s="17">
        <f t="shared" si="2"/>
        <v>0</v>
      </c>
      <c r="N73" s="19">
        <v>43918.0</v>
      </c>
      <c r="O73" s="19">
        <v>43942.0</v>
      </c>
      <c r="P73" s="17">
        <f t="shared" si="3"/>
        <v>24</v>
      </c>
      <c r="Q73" s="17">
        <v>90.0</v>
      </c>
      <c r="R73" s="17">
        <f t="shared" si="4"/>
        <v>-66</v>
      </c>
      <c r="S73" s="17" t="s">
        <v>330</v>
      </c>
      <c r="T73" s="17" t="s">
        <v>331</v>
      </c>
      <c r="U73" s="17" t="s">
        <v>117</v>
      </c>
      <c r="V73" s="17" t="s">
        <v>147</v>
      </c>
      <c r="W73" s="17" t="s">
        <v>182</v>
      </c>
      <c r="X73" s="17" t="s">
        <v>259</v>
      </c>
      <c r="Y73" s="17">
        <v>2024.0</v>
      </c>
      <c r="Z73" s="17" t="s">
        <v>135</v>
      </c>
      <c r="AA73" s="17">
        <v>1998.0</v>
      </c>
      <c r="AB73" s="17">
        <v>16.0</v>
      </c>
      <c r="AC73" s="17">
        <v>1.0</v>
      </c>
      <c r="AD73" s="20">
        <v>444087.0</v>
      </c>
      <c r="AE73" s="20">
        <v>25452.29</v>
      </c>
      <c r="AF73" s="21">
        <v>0.06</v>
      </c>
      <c r="AG73" s="20">
        <v>27318.7</v>
      </c>
      <c r="AH73" s="20">
        <v>2621.0</v>
      </c>
      <c r="AI73" s="17">
        <v>7.75</v>
      </c>
      <c r="AJ73" s="20">
        <v>229948.0</v>
      </c>
      <c r="AK73" s="17">
        <v>51.78</v>
      </c>
      <c r="AL73" s="19">
        <v>43942.0</v>
      </c>
      <c r="AM73" s="19">
        <v>45768.0</v>
      </c>
      <c r="AN73" s="17">
        <v>60.0</v>
      </c>
      <c r="AO73" s="17">
        <v>3000.0</v>
      </c>
      <c r="AP73" s="17">
        <v>180000.0</v>
      </c>
      <c r="AQ73" s="19">
        <v>46142.0</v>
      </c>
      <c r="AR73" s="17">
        <v>26185.0</v>
      </c>
      <c r="AS73" s="17">
        <v>28080.0</v>
      </c>
      <c r="AT73" s="17">
        <v>1895.0</v>
      </c>
      <c r="AU73" s="17">
        <v>27477.0</v>
      </c>
      <c r="AV73" s="17">
        <v>2114.0</v>
      </c>
      <c r="AW73" s="20">
        <v>6766.02</v>
      </c>
      <c r="AX73" s="20">
        <v>1800.0</v>
      </c>
      <c r="AY73" s="20">
        <v>125.0</v>
      </c>
      <c r="AZ73" s="20">
        <v>291.0</v>
      </c>
      <c r="BA73" s="20">
        <v>1522.99</v>
      </c>
      <c r="BB73" s="20">
        <v>10505.01</v>
      </c>
      <c r="BC73" s="20">
        <v>1575.75</v>
      </c>
      <c r="BD73" s="20">
        <v>12080.76</v>
      </c>
      <c r="BE73" s="19">
        <v>45748.0</v>
      </c>
      <c r="BF73" s="19">
        <v>45838.0</v>
      </c>
      <c r="BG73" s="17">
        <v>22327.0</v>
      </c>
      <c r="BH73" s="17">
        <v>28080.0</v>
      </c>
      <c r="BI73" s="17">
        <v>5753.0</v>
      </c>
      <c r="BJ73" s="17">
        <v>9000.0</v>
      </c>
      <c r="BK73" s="17">
        <v>-3247.0</v>
      </c>
      <c r="BL73" s="20">
        <v>0.69</v>
      </c>
      <c r="BM73" s="20">
        <v>1.19</v>
      </c>
      <c r="BN73" s="20">
        <v>0.0</v>
      </c>
      <c r="BO73" s="20">
        <v>0.0</v>
      </c>
      <c r="BP73" s="20">
        <v>0.0</v>
      </c>
      <c r="BQ73" s="20">
        <v>-292.23</v>
      </c>
      <c r="BR73" s="20">
        <v>0.0</v>
      </c>
      <c r="BS73" s="20">
        <v>0.0</v>
      </c>
      <c r="BT73" s="20">
        <v>0.0</v>
      </c>
      <c r="BU73" s="20">
        <v>0.0</v>
      </c>
      <c r="BV73" s="20">
        <v>0.0</v>
      </c>
      <c r="BW73" s="20">
        <v>0.0</v>
      </c>
      <c r="BX73" s="20">
        <v>0.0</v>
      </c>
      <c r="BY73" s="20">
        <v>3124.91</v>
      </c>
      <c r="BZ73" s="17">
        <v>0.0</v>
      </c>
      <c r="CA73" s="20">
        <v>0.0</v>
      </c>
      <c r="CB73" s="17">
        <v>0.0</v>
      </c>
      <c r="CC73" s="20">
        <v>0.0</v>
      </c>
      <c r="CD73" s="20">
        <v>0.0</v>
      </c>
      <c r="CE73" s="20">
        <v>0.0</v>
      </c>
      <c r="CF73" s="20">
        <v>0.0</v>
      </c>
      <c r="CG73" s="20">
        <v>0.0</v>
      </c>
      <c r="CH73" s="20">
        <v>9840.33</v>
      </c>
      <c r="CI73" s="20">
        <v>1283.52</v>
      </c>
      <c r="CJ73" s="20">
        <v>8556.81</v>
      </c>
      <c r="CK73" s="20">
        <v>4.52</v>
      </c>
      <c r="CL73" s="17">
        <v>0.0</v>
      </c>
      <c r="CM73" s="17">
        <v>0.0</v>
      </c>
      <c r="CN73" s="17">
        <v>0.0</v>
      </c>
      <c r="CO73" s="17">
        <v>100.0</v>
      </c>
      <c r="CP73" s="19"/>
      <c r="CQ73" s="17">
        <v>0.0</v>
      </c>
      <c r="CR73" s="17">
        <v>0.0</v>
      </c>
      <c r="CS73" s="17">
        <v>0.0</v>
      </c>
      <c r="CT73" s="17">
        <v>-11720.0</v>
      </c>
      <c r="CU73" s="19">
        <v>47269.0</v>
      </c>
      <c r="CV73" s="19">
        <v>47269.0</v>
      </c>
      <c r="CW73" s="17">
        <v>180603.0</v>
      </c>
      <c r="CX73" s="17" t="s">
        <v>122</v>
      </c>
      <c r="CY73" s="17" t="s">
        <v>123</v>
      </c>
      <c r="CZ73" s="20">
        <v>0.0</v>
      </c>
      <c r="DA73" s="20">
        <v>0.0</v>
      </c>
      <c r="DB73" s="20">
        <v>-7000.2</v>
      </c>
      <c r="DC73" s="20">
        <v>0.6</v>
      </c>
      <c r="DD73" s="20">
        <v>-1948.2</v>
      </c>
      <c r="DE73" s="20">
        <v>-2240.43</v>
      </c>
      <c r="DF73" s="17"/>
    </row>
    <row r="74" ht="13.5" customHeight="1">
      <c r="A74" s="17" t="s">
        <v>144</v>
      </c>
      <c r="B74" s="18">
        <v>43891.0</v>
      </c>
      <c r="C74" s="17" t="s">
        <v>124</v>
      </c>
      <c r="D74" s="17" t="s">
        <v>125</v>
      </c>
      <c r="E74" s="17" t="s">
        <v>126</v>
      </c>
      <c r="F74" s="17" t="s">
        <v>332</v>
      </c>
      <c r="G74" s="17" t="s">
        <v>140</v>
      </c>
      <c r="H74" s="17" t="s">
        <v>141</v>
      </c>
      <c r="I74" s="19">
        <v>43905.0</v>
      </c>
      <c r="J74" s="19">
        <v>43906.0</v>
      </c>
      <c r="K74" s="17">
        <f t="shared" si="1"/>
        <v>1</v>
      </c>
      <c r="L74" s="17">
        <v>1.0</v>
      </c>
      <c r="M74" s="17">
        <f t="shared" si="2"/>
        <v>0</v>
      </c>
      <c r="N74" s="19">
        <v>43919.0</v>
      </c>
      <c r="O74" s="19">
        <v>43929.0</v>
      </c>
      <c r="P74" s="17">
        <f t="shared" si="3"/>
        <v>10</v>
      </c>
      <c r="Q74" s="17">
        <v>90.0</v>
      </c>
      <c r="R74" s="17">
        <f t="shared" si="4"/>
        <v>-80</v>
      </c>
      <c r="S74" s="17" t="s">
        <v>333</v>
      </c>
      <c r="T74" s="17" t="s">
        <v>334</v>
      </c>
      <c r="U74" s="17" t="s">
        <v>117</v>
      </c>
      <c r="V74" s="17" t="s">
        <v>147</v>
      </c>
      <c r="W74" s="17" t="s">
        <v>119</v>
      </c>
      <c r="X74" s="17" t="s">
        <v>335</v>
      </c>
      <c r="Y74" s="17">
        <v>2024.0</v>
      </c>
      <c r="Z74" s="17" t="s">
        <v>135</v>
      </c>
      <c r="AA74" s="17">
        <v>2498.0</v>
      </c>
      <c r="AB74" s="17">
        <v>16.0</v>
      </c>
      <c r="AC74" s="17">
        <v>8.0</v>
      </c>
      <c r="AD74" s="20">
        <v>456087.0</v>
      </c>
      <c r="AE74" s="20">
        <v>29868.06</v>
      </c>
      <c r="AF74" s="21">
        <v>0.07</v>
      </c>
      <c r="AG74" s="20">
        <v>18558.71</v>
      </c>
      <c r="AH74" s="20">
        <v>2124.0</v>
      </c>
      <c r="AI74" s="17">
        <v>7.75</v>
      </c>
      <c r="AJ74" s="20">
        <v>229079.0</v>
      </c>
      <c r="AK74" s="17">
        <v>50.23</v>
      </c>
      <c r="AL74" s="19">
        <v>43929.0</v>
      </c>
      <c r="AM74" s="19">
        <v>45755.0</v>
      </c>
      <c r="AN74" s="17">
        <v>60.0</v>
      </c>
      <c r="AO74" s="17">
        <v>15000.0</v>
      </c>
      <c r="AP74" s="17">
        <v>210000.0</v>
      </c>
      <c r="AQ74" s="19">
        <v>46142.0</v>
      </c>
      <c r="AR74" s="17">
        <v>90916.0</v>
      </c>
      <c r="AS74" s="17">
        <v>96084.0</v>
      </c>
      <c r="AT74" s="17">
        <v>5168.0</v>
      </c>
      <c r="AU74" s="17">
        <v>95488.0</v>
      </c>
      <c r="AV74" s="17">
        <v>7957.0</v>
      </c>
      <c r="AW74" s="20">
        <v>18757.91</v>
      </c>
      <c r="AX74" s="20">
        <v>8400.0</v>
      </c>
      <c r="AY74" s="20">
        <v>125.0</v>
      </c>
      <c r="AZ74" s="20">
        <v>290.99</v>
      </c>
      <c r="BA74" s="20">
        <v>1584.82</v>
      </c>
      <c r="BB74" s="20">
        <v>29158.72</v>
      </c>
      <c r="BC74" s="20">
        <v>4373.81</v>
      </c>
      <c r="BD74" s="20">
        <v>33532.53</v>
      </c>
      <c r="BE74" s="19">
        <v>45748.0</v>
      </c>
      <c r="BF74" s="19">
        <v>45838.0</v>
      </c>
      <c r="BG74" s="17">
        <v>78373.0</v>
      </c>
      <c r="BH74" s="17">
        <v>96084.0</v>
      </c>
      <c r="BI74" s="17">
        <v>17711.0</v>
      </c>
      <c r="BJ74" s="17">
        <v>45000.0</v>
      </c>
      <c r="BK74" s="17">
        <v>-27289.0</v>
      </c>
      <c r="BL74" s="20">
        <v>0.64</v>
      </c>
      <c r="BM74" s="20">
        <v>1.08</v>
      </c>
      <c r="BN74" s="20">
        <v>0.0</v>
      </c>
      <c r="BO74" s="20">
        <v>0.0</v>
      </c>
      <c r="BP74" s="20">
        <v>0.0</v>
      </c>
      <c r="BQ74" s="20">
        <v>-2292.28</v>
      </c>
      <c r="BR74" s="20">
        <v>0.0</v>
      </c>
      <c r="BS74" s="20">
        <v>0.0</v>
      </c>
      <c r="BT74" s="20">
        <v>0.0</v>
      </c>
      <c r="BU74" s="20">
        <v>0.0</v>
      </c>
      <c r="BV74" s="20">
        <v>0.0</v>
      </c>
      <c r="BW74" s="20">
        <v>0.0</v>
      </c>
      <c r="BX74" s="20">
        <v>0.0</v>
      </c>
      <c r="BY74" s="20">
        <v>10096.41</v>
      </c>
      <c r="BZ74" s="17">
        <v>0.0</v>
      </c>
      <c r="CA74" s="20">
        <v>0.0</v>
      </c>
      <c r="CB74" s="17">
        <v>0.0</v>
      </c>
      <c r="CC74" s="20">
        <v>0.0</v>
      </c>
      <c r="CD74" s="20">
        <v>0.0</v>
      </c>
      <c r="CE74" s="20">
        <v>0.0</v>
      </c>
      <c r="CF74" s="20">
        <v>0.0</v>
      </c>
      <c r="CG74" s="20">
        <v>0.0</v>
      </c>
      <c r="CH74" s="20">
        <v>15958.41</v>
      </c>
      <c r="CI74" s="20">
        <v>2081.53</v>
      </c>
      <c r="CJ74" s="20">
        <v>13876.88</v>
      </c>
      <c r="CK74" s="20">
        <v>2.69</v>
      </c>
      <c r="CL74" s="17">
        <v>0.0</v>
      </c>
      <c r="CM74" s="17">
        <v>0.0</v>
      </c>
      <c r="CN74" s="17">
        <v>0.0</v>
      </c>
      <c r="CO74" s="17">
        <v>100.0</v>
      </c>
      <c r="CP74" s="19"/>
      <c r="CQ74" s="17">
        <v>0.0</v>
      </c>
      <c r="CR74" s="17">
        <v>0.0</v>
      </c>
      <c r="CS74" s="17">
        <v>0.0</v>
      </c>
      <c r="CT74" s="17">
        <v>-97827.0</v>
      </c>
      <c r="CU74" s="19">
        <v>45900.0</v>
      </c>
      <c r="CV74" s="19">
        <v>45900.0</v>
      </c>
      <c r="CW74" s="17">
        <v>210596.0</v>
      </c>
      <c r="CX74" s="17" t="s">
        <v>122</v>
      </c>
      <c r="CY74" s="17" t="s">
        <v>123</v>
      </c>
      <c r="CZ74" s="20">
        <v>15672.72</v>
      </c>
      <c r="DA74" s="20">
        <v>0.0</v>
      </c>
      <c r="DB74" s="20">
        <v>-70455.84</v>
      </c>
      <c r="DC74" s="20">
        <v>0.56</v>
      </c>
      <c r="DD74" s="20">
        <v>-15281.84</v>
      </c>
      <c r="DE74" s="20">
        <v>-17574.12</v>
      </c>
      <c r="DF74" s="17"/>
    </row>
    <row r="75" ht="13.5" customHeight="1">
      <c r="A75" s="17" t="s">
        <v>144</v>
      </c>
      <c r="B75" s="18">
        <v>43891.0</v>
      </c>
      <c r="C75" s="17" t="s">
        <v>136</v>
      </c>
      <c r="D75" s="17" t="s">
        <v>137</v>
      </c>
      <c r="E75" s="17" t="s">
        <v>138</v>
      </c>
      <c r="F75" s="17" t="s">
        <v>179</v>
      </c>
      <c r="G75" s="17" t="s">
        <v>140</v>
      </c>
      <c r="H75" s="17" t="s">
        <v>114</v>
      </c>
      <c r="I75" s="19">
        <v>43906.0</v>
      </c>
      <c r="J75" s="19">
        <v>43907.0</v>
      </c>
      <c r="K75" s="17">
        <f t="shared" si="1"/>
        <v>1</v>
      </c>
      <c r="L75" s="17">
        <v>1.0</v>
      </c>
      <c r="M75" s="17">
        <f t="shared" si="2"/>
        <v>0</v>
      </c>
      <c r="N75" s="19">
        <v>43920.0</v>
      </c>
      <c r="O75" s="19">
        <v>43930.0</v>
      </c>
      <c r="P75" s="17">
        <f t="shared" si="3"/>
        <v>10</v>
      </c>
      <c r="Q75" s="17">
        <v>90.0</v>
      </c>
      <c r="R75" s="17">
        <f t="shared" si="4"/>
        <v>-80</v>
      </c>
      <c r="S75" s="17" t="s">
        <v>336</v>
      </c>
      <c r="T75" s="17" t="s">
        <v>337</v>
      </c>
      <c r="U75" s="17" t="s">
        <v>117</v>
      </c>
      <c r="V75" s="17" t="s">
        <v>147</v>
      </c>
      <c r="W75" s="17" t="s">
        <v>133</v>
      </c>
      <c r="X75" s="17" t="s">
        <v>168</v>
      </c>
      <c r="Y75" s="17">
        <v>2024.0</v>
      </c>
      <c r="Z75" s="17" t="s">
        <v>135</v>
      </c>
      <c r="AA75" s="17">
        <v>2498.0</v>
      </c>
      <c r="AB75" s="17">
        <v>16.0</v>
      </c>
      <c r="AC75" s="17">
        <v>0.0</v>
      </c>
      <c r="AD75" s="20">
        <v>460956.52</v>
      </c>
      <c r="AE75" s="20">
        <v>86959.0</v>
      </c>
      <c r="AF75" s="21">
        <v>0.19</v>
      </c>
      <c r="AG75" s="20">
        <v>14784.13</v>
      </c>
      <c r="AH75" s="20">
        <v>2124.0</v>
      </c>
      <c r="AI75" s="17">
        <v>7.75</v>
      </c>
      <c r="AJ75" s="20">
        <v>202821.0</v>
      </c>
      <c r="AK75" s="17">
        <v>44.0</v>
      </c>
      <c r="AL75" s="19">
        <v>43930.0</v>
      </c>
      <c r="AM75" s="19">
        <v>45756.0</v>
      </c>
      <c r="AN75" s="17">
        <v>60.0</v>
      </c>
      <c r="AO75" s="17">
        <v>5000.0</v>
      </c>
      <c r="AP75" s="17">
        <v>220000.0</v>
      </c>
      <c r="AQ75" s="19">
        <v>46142.0</v>
      </c>
      <c r="AR75" s="17">
        <v>34567.0</v>
      </c>
      <c r="AS75" s="17">
        <v>40502.0</v>
      </c>
      <c r="AT75" s="17">
        <v>5935.0</v>
      </c>
      <c r="AU75" s="17">
        <v>40097.0</v>
      </c>
      <c r="AV75" s="17">
        <v>3084.0</v>
      </c>
      <c r="AW75" s="20">
        <v>7071.23</v>
      </c>
      <c r="AX75" s="20">
        <v>2000.0</v>
      </c>
      <c r="AY75" s="20">
        <v>125.0</v>
      </c>
      <c r="AZ75" s="20">
        <v>291.0</v>
      </c>
      <c r="BA75" s="20">
        <v>1089.17</v>
      </c>
      <c r="BB75" s="20">
        <v>10576.4</v>
      </c>
      <c r="BC75" s="20">
        <v>1586.46</v>
      </c>
      <c r="BD75" s="20">
        <v>12162.86</v>
      </c>
      <c r="BE75" s="19">
        <v>45748.0</v>
      </c>
      <c r="BF75" s="19">
        <v>45838.0</v>
      </c>
      <c r="BG75" s="17">
        <v>30238.0</v>
      </c>
      <c r="BH75" s="17">
        <v>40502.0</v>
      </c>
      <c r="BI75" s="17">
        <v>10264.0</v>
      </c>
      <c r="BJ75" s="17">
        <v>15000.0</v>
      </c>
      <c r="BK75" s="17">
        <v>-4736.0</v>
      </c>
      <c r="BL75" s="20">
        <v>0.46</v>
      </c>
      <c r="BM75" s="20">
        <v>1.17</v>
      </c>
      <c r="BN75" s="20">
        <v>0.0</v>
      </c>
      <c r="BO75" s="20">
        <v>0.0</v>
      </c>
      <c r="BP75" s="20">
        <v>0.0</v>
      </c>
      <c r="BQ75" s="20">
        <v>-284.16</v>
      </c>
      <c r="BR75" s="20">
        <v>0.0</v>
      </c>
      <c r="BS75" s="20">
        <v>0.0</v>
      </c>
      <c r="BT75" s="20">
        <v>0.0</v>
      </c>
      <c r="BU75" s="20">
        <v>0.0</v>
      </c>
      <c r="BV75" s="20">
        <v>0.0</v>
      </c>
      <c r="BW75" s="20">
        <v>0.0</v>
      </c>
      <c r="BX75" s="20">
        <v>0.0</v>
      </c>
      <c r="BY75" s="20">
        <v>10330.96</v>
      </c>
      <c r="BZ75" s="17">
        <v>0.0</v>
      </c>
      <c r="CA75" s="20">
        <v>0.0</v>
      </c>
      <c r="CB75" s="17">
        <v>0.0</v>
      </c>
      <c r="CC75" s="20">
        <v>0.0</v>
      </c>
      <c r="CD75" s="20">
        <v>0.0</v>
      </c>
      <c r="CE75" s="20">
        <v>0.0</v>
      </c>
      <c r="CF75" s="20">
        <v>0.0</v>
      </c>
      <c r="CG75" s="20">
        <v>0.0</v>
      </c>
      <c r="CH75" s="20">
        <v>9984.3</v>
      </c>
      <c r="CI75" s="20">
        <v>1302.3</v>
      </c>
      <c r="CJ75" s="20">
        <v>8682.0</v>
      </c>
      <c r="CK75" s="20">
        <v>1.46</v>
      </c>
      <c r="CL75" s="17">
        <v>0.0</v>
      </c>
      <c r="CM75" s="17">
        <v>0.0</v>
      </c>
      <c r="CN75" s="17">
        <v>0.0</v>
      </c>
      <c r="CO75" s="17">
        <v>100.0</v>
      </c>
      <c r="CP75" s="19"/>
      <c r="CQ75" s="17">
        <v>0.0</v>
      </c>
      <c r="CR75" s="17">
        <v>0.0</v>
      </c>
      <c r="CS75" s="17">
        <v>0.0</v>
      </c>
      <c r="CT75" s="17">
        <v>-25067.0</v>
      </c>
      <c r="CU75" s="19">
        <v>46783.0</v>
      </c>
      <c r="CV75" s="19">
        <v>46783.0</v>
      </c>
      <c r="CW75" s="17">
        <v>220405.0</v>
      </c>
      <c r="CX75" s="17" t="s">
        <v>122</v>
      </c>
      <c r="CY75" s="17" t="s">
        <v>123</v>
      </c>
      <c r="CZ75" s="20">
        <v>0.0</v>
      </c>
      <c r="DA75" s="20">
        <v>0.0</v>
      </c>
      <c r="DB75" s="20">
        <v>-10026.8</v>
      </c>
      <c r="DC75" s="20">
        <v>0.4</v>
      </c>
      <c r="DD75" s="20">
        <v>-1894.4</v>
      </c>
      <c r="DE75" s="20">
        <v>-2178.56</v>
      </c>
      <c r="DF75" s="17"/>
    </row>
    <row r="76" ht="13.5" customHeight="1">
      <c r="A76" s="17" t="s">
        <v>144</v>
      </c>
      <c r="B76" s="18">
        <v>43891.0</v>
      </c>
      <c r="C76" s="17" t="s">
        <v>109</v>
      </c>
      <c r="D76" s="17" t="s">
        <v>110</v>
      </c>
      <c r="E76" s="17" t="s">
        <v>111</v>
      </c>
      <c r="F76" s="17" t="s">
        <v>332</v>
      </c>
      <c r="G76" s="17" t="s">
        <v>140</v>
      </c>
      <c r="H76" s="17" t="s">
        <v>129</v>
      </c>
      <c r="I76" s="19">
        <v>43907.0</v>
      </c>
      <c r="J76" s="19">
        <v>43908.0</v>
      </c>
      <c r="K76" s="17">
        <f t="shared" si="1"/>
        <v>1</v>
      </c>
      <c r="L76" s="17">
        <v>1.0</v>
      </c>
      <c r="M76" s="17">
        <f t="shared" si="2"/>
        <v>0</v>
      </c>
      <c r="N76" s="19">
        <v>43921.0</v>
      </c>
      <c r="O76" s="19">
        <v>43931.0</v>
      </c>
      <c r="P76" s="17">
        <f t="shared" si="3"/>
        <v>10</v>
      </c>
      <c r="Q76" s="17">
        <v>90.0</v>
      </c>
      <c r="R76" s="17">
        <f t="shared" si="4"/>
        <v>-80</v>
      </c>
      <c r="S76" s="17" t="s">
        <v>338</v>
      </c>
      <c r="T76" s="17" t="s">
        <v>339</v>
      </c>
      <c r="U76" s="17" t="s">
        <v>117</v>
      </c>
      <c r="V76" s="17" t="s">
        <v>147</v>
      </c>
      <c r="W76" s="17" t="s">
        <v>119</v>
      </c>
      <c r="X76" s="17" t="s">
        <v>335</v>
      </c>
      <c r="Y76" s="17">
        <v>2024.0</v>
      </c>
      <c r="Z76" s="17" t="s">
        <v>135</v>
      </c>
      <c r="AA76" s="17">
        <v>2498.0</v>
      </c>
      <c r="AB76" s="17">
        <v>16.0</v>
      </c>
      <c r="AC76" s="17">
        <v>0.0</v>
      </c>
      <c r="AD76" s="20">
        <v>456087.0</v>
      </c>
      <c r="AE76" s="20">
        <v>29868.06</v>
      </c>
      <c r="AF76" s="21">
        <v>0.07</v>
      </c>
      <c r="AG76" s="20">
        <v>18326.06</v>
      </c>
      <c r="AH76" s="20">
        <v>2124.0</v>
      </c>
      <c r="AI76" s="17">
        <v>7.75</v>
      </c>
      <c r="AJ76" s="20">
        <v>229079.0</v>
      </c>
      <c r="AK76" s="17">
        <v>50.23</v>
      </c>
      <c r="AL76" s="19">
        <v>43931.0</v>
      </c>
      <c r="AM76" s="19">
        <v>45757.0</v>
      </c>
      <c r="AN76" s="17">
        <v>60.0</v>
      </c>
      <c r="AO76" s="17">
        <v>15000.0</v>
      </c>
      <c r="AP76" s="17">
        <v>210000.0</v>
      </c>
      <c r="AQ76" s="19">
        <v>46142.0</v>
      </c>
      <c r="AR76" s="17">
        <v>54310.0</v>
      </c>
      <c r="AS76" s="17">
        <v>54310.0</v>
      </c>
      <c r="AT76" s="17">
        <v>1.0</v>
      </c>
      <c r="AU76" s="17">
        <v>53708.0</v>
      </c>
      <c r="AV76" s="17">
        <v>4476.0</v>
      </c>
      <c r="AW76" s="20">
        <v>18740.33</v>
      </c>
      <c r="AX76" s="20">
        <v>8400.0</v>
      </c>
      <c r="AY76" s="20">
        <v>125.0</v>
      </c>
      <c r="AZ76" s="20">
        <v>290.99</v>
      </c>
      <c r="BA76" s="20">
        <v>1584.82</v>
      </c>
      <c r="BB76" s="20">
        <v>29141.14</v>
      </c>
      <c r="BC76" s="20">
        <v>4371.17</v>
      </c>
      <c r="BD76" s="20">
        <v>33512.31</v>
      </c>
      <c r="BE76" s="19">
        <v>45748.0</v>
      </c>
      <c r="BF76" s="19">
        <v>45838.0</v>
      </c>
      <c r="BG76" s="17">
        <v>53991.0</v>
      </c>
      <c r="BH76" s="17">
        <v>54310.0</v>
      </c>
      <c r="BI76" s="17">
        <v>319.0</v>
      </c>
      <c r="BJ76" s="17">
        <v>45000.0</v>
      </c>
      <c r="BK76" s="17">
        <v>-44681.0</v>
      </c>
      <c r="BL76" s="20">
        <v>0.64</v>
      </c>
      <c r="BM76" s="20">
        <v>1.08</v>
      </c>
      <c r="BN76" s="20">
        <v>0.0</v>
      </c>
      <c r="BO76" s="20">
        <v>0.0</v>
      </c>
      <c r="BP76" s="20">
        <v>0.0</v>
      </c>
      <c r="BQ76" s="20">
        <v>-3753.2</v>
      </c>
      <c r="BR76" s="20">
        <v>0.0</v>
      </c>
      <c r="BS76" s="20">
        <v>0.0</v>
      </c>
      <c r="BT76" s="20">
        <v>0.0</v>
      </c>
      <c r="BU76" s="20">
        <v>0.0</v>
      </c>
      <c r="BV76" s="20">
        <v>0.0</v>
      </c>
      <c r="BW76" s="20">
        <v>0.0</v>
      </c>
      <c r="BX76" s="20">
        <v>0.0</v>
      </c>
      <c r="BY76" s="20">
        <v>0.0</v>
      </c>
      <c r="BZ76" s="17">
        <v>0.0</v>
      </c>
      <c r="CA76" s="20">
        <v>0.0</v>
      </c>
      <c r="CB76" s="17">
        <v>0.0</v>
      </c>
      <c r="CC76" s="20">
        <v>0.0</v>
      </c>
      <c r="CD76" s="20">
        <v>0.0</v>
      </c>
      <c r="CE76" s="20">
        <v>0.0</v>
      </c>
      <c r="CF76" s="20">
        <v>0.0</v>
      </c>
      <c r="CG76" s="20">
        <v>0.0</v>
      </c>
      <c r="CH76" s="20">
        <v>4737.75</v>
      </c>
      <c r="CI76" s="20">
        <v>617.97</v>
      </c>
      <c r="CJ76" s="20">
        <v>4119.78</v>
      </c>
      <c r="CK76" s="20">
        <v>4119.78</v>
      </c>
      <c r="CL76" s="17">
        <v>0.0</v>
      </c>
      <c r="CM76" s="17">
        <v>0.0</v>
      </c>
      <c r="CN76" s="17">
        <v>0.0</v>
      </c>
      <c r="CO76" s="17">
        <v>100.0</v>
      </c>
      <c r="CP76" s="19"/>
      <c r="CQ76" s="17">
        <v>0.0</v>
      </c>
      <c r="CR76" s="17">
        <v>0.0</v>
      </c>
      <c r="CS76" s="17">
        <v>0.0</v>
      </c>
      <c r="CT76" s="17">
        <v>-139607.0</v>
      </c>
      <c r="CU76" s="19">
        <v>45900.0</v>
      </c>
      <c r="CV76" s="19">
        <v>45900.0</v>
      </c>
      <c r="CW76" s="17">
        <v>210602.0</v>
      </c>
      <c r="CX76" s="17" t="s">
        <v>122</v>
      </c>
      <c r="CY76" s="17" t="s">
        <v>123</v>
      </c>
      <c r="CZ76" s="20">
        <v>20503.28</v>
      </c>
      <c r="DA76" s="20">
        <v>0.0</v>
      </c>
      <c r="DB76" s="20">
        <v>-98683.2</v>
      </c>
      <c r="DC76" s="20">
        <v>0.56</v>
      </c>
      <c r="DD76" s="20">
        <v>-25021.36</v>
      </c>
      <c r="DE76" s="20">
        <v>-28774.56</v>
      </c>
      <c r="DF76" s="17"/>
    </row>
    <row r="77" ht="13.5" customHeight="1">
      <c r="A77" s="17" t="s">
        <v>157</v>
      </c>
      <c r="B77" s="18">
        <v>43891.0</v>
      </c>
      <c r="C77" s="17" t="s">
        <v>124</v>
      </c>
      <c r="D77" s="17" t="s">
        <v>125</v>
      </c>
      <c r="E77" s="17" t="s">
        <v>126</v>
      </c>
      <c r="F77" s="17" t="s">
        <v>332</v>
      </c>
      <c r="G77" s="17" t="s">
        <v>140</v>
      </c>
      <c r="H77" s="17" t="s">
        <v>141</v>
      </c>
      <c r="I77" s="19">
        <v>43908.0</v>
      </c>
      <c r="J77" s="19">
        <v>43919.0</v>
      </c>
      <c r="K77" s="17">
        <f t="shared" si="1"/>
        <v>11</v>
      </c>
      <c r="L77" s="17">
        <v>1.0</v>
      </c>
      <c r="M77" s="17">
        <f t="shared" si="2"/>
        <v>10</v>
      </c>
      <c r="N77" s="19">
        <v>43915.0</v>
      </c>
      <c r="O77" s="19">
        <v>44085.0</v>
      </c>
      <c r="P77" s="17">
        <f t="shared" si="3"/>
        <v>170</v>
      </c>
      <c r="Q77" s="17">
        <v>90.0</v>
      </c>
      <c r="R77" s="17">
        <f t="shared" si="4"/>
        <v>80</v>
      </c>
      <c r="S77" s="17" t="s">
        <v>340</v>
      </c>
      <c r="T77" s="17" t="s">
        <v>341</v>
      </c>
      <c r="U77" s="17" t="s">
        <v>117</v>
      </c>
      <c r="V77" s="17" t="s">
        <v>147</v>
      </c>
      <c r="W77" s="17" t="s">
        <v>119</v>
      </c>
      <c r="X77" s="17" t="s">
        <v>335</v>
      </c>
      <c r="Y77" s="17">
        <v>2024.0</v>
      </c>
      <c r="Z77" s="17" t="s">
        <v>135</v>
      </c>
      <c r="AA77" s="17">
        <v>2498.0</v>
      </c>
      <c r="AB77" s="17">
        <v>16.0</v>
      </c>
      <c r="AC77" s="17">
        <v>9.0</v>
      </c>
      <c r="AD77" s="20">
        <v>456087.0</v>
      </c>
      <c r="AE77" s="20">
        <v>29868.06</v>
      </c>
      <c r="AF77" s="21">
        <v>0.07</v>
      </c>
      <c r="AG77" s="20">
        <v>18256.42</v>
      </c>
      <c r="AH77" s="20">
        <v>2124.0</v>
      </c>
      <c r="AI77" s="17">
        <v>7.75</v>
      </c>
      <c r="AJ77" s="20">
        <v>229079.0</v>
      </c>
      <c r="AK77" s="17">
        <v>50.23</v>
      </c>
      <c r="AL77" s="19">
        <v>44085.0</v>
      </c>
      <c r="AM77" s="19">
        <v>45911.0</v>
      </c>
      <c r="AN77" s="17">
        <v>60.0</v>
      </c>
      <c r="AO77" s="17">
        <v>15000.0</v>
      </c>
      <c r="AP77" s="17">
        <v>210000.0</v>
      </c>
      <c r="AQ77" s="19">
        <v>46142.0</v>
      </c>
      <c r="AR77" s="17">
        <v>116275.0</v>
      </c>
      <c r="AS77" s="17">
        <v>124152.0</v>
      </c>
      <c r="AT77" s="17">
        <v>7877.0</v>
      </c>
      <c r="AU77" s="17">
        <v>123554.0</v>
      </c>
      <c r="AV77" s="17">
        <v>10296.0</v>
      </c>
      <c r="AW77" s="20">
        <v>18735.08</v>
      </c>
      <c r="AX77" s="20">
        <v>8400.0</v>
      </c>
      <c r="AY77" s="20">
        <v>125.0</v>
      </c>
      <c r="AZ77" s="20">
        <v>291.0</v>
      </c>
      <c r="BA77" s="20">
        <v>1584.82</v>
      </c>
      <c r="BB77" s="20">
        <v>29135.9</v>
      </c>
      <c r="BC77" s="20">
        <v>4370.39</v>
      </c>
      <c r="BD77" s="20">
        <v>33506.29</v>
      </c>
      <c r="BE77" s="19">
        <v>45748.0</v>
      </c>
      <c r="BF77" s="19">
        <v>45838.0</v>
      </c>
      <c r="BG77" s="17">
        <v>90047.0</v>
      </c>
      <c r="BH77" s="17">
        <v>124152.0</v>
      </c>
      <c r="BI77" s="17">
        <v>34105.0</v>
      </c>
      <c r="BJ77" s="17">
        <v>45000.0</v>
      </c>
      <c r="BK77" s="17">
        <v>-10895.0</v>
      </c>
      <c r="BL77" s="20">
        <v>0.64</v>
      </c>
      <c r="BM77" s="20">
        <v>1.08</v>
      </c>
      <c r="BN77" s="20">
        <v>0.0</v>
      </c>
      <c r="BO77" s="20">
        <v>0.0</v>
      </c>
      <c r="BP77" s="20">
        <v>0.0</v>
      </c>
      <c r="BQ77" s="20">
        <v>-915.18</v>
      </c>
      <c r="BR77" s="20">
        <v>0.0</v>
      </c>
      <c r="BS77" s="20">
        <v>0.0</v>
      </c>
      <c r="BT77" s="20">
        <v>0.0</v>
      </c>
      <c r="BU77" s="20">
        <v>0.0</v>
      </c>
      <c r="BV77" s="20">
        <v>0.0</v>
      </c>
      <c r="BW77" s="20">
        <v>0.0</v>
      </c>
      <c r="BX77" s="20">
        <v>0.0</v>
      </c>
      <c r="BY77" s="20">
        <v>16813.55</v>
      </c>
      <c r="BZ77" s="17">
        <v>0.0</v>
      </c>
      <c r="CA77" s="20">
        <v>69.9</v>
      </c>
      <c r="CB77" s="17">
        <v>0.0</v>
      </c>
      <c r="CC77" s="20">
        <v>0.0</v>
      </c>
      <c r="CD77" s="20">
        <v>0.0</v>
      </c>
      <c r="CE77" s="20">
        <v>0.0</v>
      </c>
      <c r="CF77" s="20">
        <v>0.0</v>
      </c>
      <c r="CG77" s="20">
        <v>0.0</v>
      </c>
      <c r="CH77" s="20">
        <v>26489.91</v>
      </c>
      <c r="CI77" s="20">
        <v>3455.21</v>
      </c>
      <c r="CJ77" s="20">
        <v>23034.7</v>
      </c>
      <c r="CK77" s="20">
        <v>2.92</v>
      </c>
      <c r="CL77" s="17">
        <v>0.0</v>
      </c>
      <c r="CM77" s="17">
        <v>0.0</v>
      </c>
      <c r="CN77" s="17">
        <v>0.0</v>
      </c>
      <c r="CO77" s="17">
        <v>100.0</v>
      </c>
      <c r="CP77" s="19"/>
      <c r="CQ77" s="17">
        <v>0.0</v>
      </c>
      <c r="CR77" s="17">
        <v>0.0</v>
      </c>
      <c r="CS77" s="17">
        <v>0.0</v>
      </c>
      <c r="CT77" s="17">
        <v>-69761.0</v>
      </c>
      <c r="CU77" s="19">
        <v>45900.0</v>
      </c>
      <c r="CV77" s="19">
        <v>45900.0</v>
      </c>
      <c r="CW77" s="17">
        <v>210598.0</v>
      </c>
      <c r="CX77" s="17" t="s">
        <v>122</v>
      </c>
      <c r="CY77" s="17" t="s">
        <v>123</v>
      </c>
      <c r="CZ77" s="20">
        <v>0.0</v>
      </c>
      <c r="DA77" s="20">
        <v>0.0</v>
      </c>
      <c r="DB77" s="20">
        <v>-39066.16</v>
      </c>
      <c r="DC77" s="20">
        <v>0.56</v>
      </c>
      <c r="DD77" s="20">
        <v>-6101.2</v>
      </c>
      <c r="DE77" s="20">
        <v>-7016.38</v>
      </c>
      <c r="DF77" s="17"/>
    </row>
    <row r="78" ht="13.5" customHeight="1">
      <c r="A78" s="17" t="s">
        <v>157</v>
      </c>
      <c r="B78" s="18">
        <v>43891.0</v>
      </c>
      <c r="C78" s="17" t="s">
        <v>109</v>
      </c>
      <c r="D78" s="17" t="s">
        <v>137</v>
      </c>
      <c r="E78" s="17" t="s">
        <v>138</v>
      </c>
      <c r="F78" s="17" t="s">
        <v>332</v>
      </c>
      <c r="G78" s="17" t="s">
        <v>140</v>
      </c>
      <c r="H78" s="17" t="s">
        <v>114</v>
      </c>
      <c r="I78" s="19">
        <v>43909.0</v>
      </c>
      <c r="J78" s="19">
        <v>43920.0</v>
      </c>
      <c r="K78" s="17">
        <f t="shared" si="1"/>
        <v>11</v>
      </c>
      <c r="L78" s="17">
        <v>1.0</v>
      </c>
      <c r="M78" s="17">
        <f t="shared" si="2"/>
        <v>10</v>
      </c>
      <c r="N78" s="19">
        <v>43916.0</v>
      </c>
      <c r="O78" s="19">
        <v>43933.0</v>
      </c>
      <c r="P78" s="17">
        <f t="shared" si="3"/>
        <v>17</v>
      </c>
      <c r="Q78" s="17">
        <v>90.0</v>
      </c>
      <c r="R78" s="17">
        <f t="shared" si="4"/>
        <v>-73</v>
      </c>
      <c r="S78" s="17" t="s">
        <v>342</v>
      </c>
      <c r="T78" s="17" t="s">
        <v>343</v>
      </c>
      <c r="U78" s="17" t="s">
        <v>117</v>
      </c>
      <c r="V78" s="17" t="s">
        <v>147</v>
      </c>
      <c r="W78" s="17" t="s">
        <v>119</v>
      </c>
      <c r="X78" s="17" t="s">
        <v>335</v>
      </c>
      <c r="Y78" s="17">
        <v>2024.0</v>
      </c>
      <c r="Z78" s="17" t="s">
        <v>135</v>
      </c>
      <c r="AA78" s="17">
        <v>2498.0</v>
      </c>
      <c r="AB78" s="17">
        <v>16.0</v>
      </c>
      <c r="AC78" s="17">
        <v>6.0</v>
      </c>
      <c r="AD78" s="20">
        <v>456087.0</v>
      </c>
      <c r="AE78" s="20">
        <v>29868.06</v>
      </c>
      <c r="AF78" s="21">
        <v>0.07</v>
      </c>
      <c r="AG78" s="20">
        <v>19280.77</v>
      </c>
      <c r="AH78" s="20">
        <v>2250.0</v>
      </c>
      <c r="AI78" s="17">
        <v>7.75</v>
      </c>
      <c r="AJ78" s="20">
        <v>229079.0</v>
      </c>
      <c r="AK78" s="17">
        <v>50.23</v>
      </c>
      <c r="AL78" s="19">
        <v>43933.0</v>
      </c>
      <c r="AM78" s="19">
        <v>45759.0</v>
      </c>
      <c r="AN78" s="17">
        <v>60.0</v>
      </c>
      <c r="AO78" s="17">
        <v>15000.0</v>
      </c>
      <c r="AP78" s="17">
        <v>210000.0</v>
      </c>
      <c r="AQ78" s="19">
        <v>46142.0</v>
      </c>
      <c r="AR78" s="17">
        <v>117627.0</v>
      </c>
      <c r="AS78" s="17">
        <v>128990.0</v>
      </c>
      <c r="AT78" s="17">
        <v>11363.0</v>
      </c>
      <c r="AU78" s="17">
        <v>128352.0</v>
      </c>
      <c r="AV78" s="17">
        <v>10696.0</v>
      </c>
      <c r="AW78" s="20">
        <v>18821.62</v>
      </c>
      <c r="AX78" s="20">
        <v>8400.0</v>
      </c>
      <c r="AY78" s="20">
        <v>125.0</v>
      </c>
      <c r="AZ78" s="20">
        <v>290.99</v>
      </c>
      <c r="BA78" s="20">
        <v>1584.82</v>
      </c>
      <c r="BB78" s="20">
        <v>29222.43</v>
      </c>
      <c r="BC78" s="20">
        <v>4383.36</v>
      </c>
      <c r="BD78" s="20">
        <v>33605.79</v>
      </c>
      <c r="BE78" s="19">
        <v>45748.0</v>
      </c>
      <c r="BF78" s="19">
        <v>45838.0</v>
      </c>
      <c r="BG78" s="17">
        <v>101452.0</v>
      </c>
      <c r="BH78" s="17">
        <v>128990.0</v>
      </c>
      <c r="BI78" s="17">
        <v>27538.0</v>
      </c>
      <c r="BJ78" s="17">
        <v>45000.0</v>
      </c>
      <c r="BK78" s="17">
        <v>-17462.0</v>
      </c>
      <c r="BL78" s="20">
        <v>0.64</v>
      </c>
      <c r="BM78" s="20">
        <v>1.08</v>
      </c>
      <c r="BN78" s="20">
        <v>0.0</v>
      </c>
      <c r="BO78" s="20">
        <v>0.0</v>
      </c>
      <c r="BP78" s="20">
        <v>0.0</v>
      </c>
      <c r="BQ78" s="20">
        <v>-1466.81</v>
      </c>
      <c r="BR78" s="20">
        <v>0.0</v>
      </c>
      <c r="BS78" s="20">
        <v>0.0</v>
      </c>
      <c r="BT78" s="20">
        <v>0.0</v>
      </c>
      <c r="BU78" s="20">
        <v>0.0</v>
      </c>
      <c r="BV78" s="20">
        <v>0.0</v>
      </c>
      <c r="BW78" s="20">
        <v>0.0</v>
      </c>
      <c r="BX78" s="20">
        <v>0.0</v>
      </c>
      <c r="BY78" s="20">
        <v>22341.01</v>
      </c>
      <c r="BZ78" s="17">
        <v>0.0</v>
      </c>
      <c r="CA78" s="20">
        <v>0.0</v>
      </c>
      <c r="CB78" s="17">
        <v>0.0</v>
      </c>
      <c r="CC78" s="20">
        <v>0.0</v>
      </c>
      <c r="CD78" s="20">
        <v>0.0</v>
      </c>
      <c r="CE78" s="20">
        <v>0.0</v>
      </c>
      <c r="CF78" s="20">
        <v>0.0</v>
      </c>
      <c r="CG78" s="20">
        <v>0.0</v>
      </c>
      <c r="CH78" s="20">
        <v>22360.26</v>
      </c>
      <c r="CI78" s="20">
        <v>2916.55</v>
      </c>
      <c r="CJ78" s="20">
        <v>19443.71</v>
      </c>
      <c r="CK78" s="20">
        <v>1.71</v>
      </c>
      <c r="CL78" s="17">
        <v>0.0</v>
      </c>
      <c r="CM78" s="17">
        <v>0.0</v>
      </c>
      <c r="CN78" s="17">
        <v>0.0</v>
      </c>
      <c r="CO78" s="17">
        <v>100.0</v>
      </c>
      <c r="CP78" s="19"/>
      <c r="CQ78" s="17">
        <v>0.0</v>
      </c>
      <c r="CR78" s="17">
        <v>0.0</v>
      </c>
      <c r="CS78" s="17">
        <v>0.0</v>
      </c>
      <c r="CT78" s="17">
        <v>-64963.0</v>
      </c>
      <c r="CU78" s="19">
        <v>45900.0</v>
      </c>
      <c r="CV78" s="19">
        <v>45900.0</v>
      </c>
      <c r="CW78" s="17">
        <v>210638.0</v>
      </c>
      <c r="CX78" s="17" t="s">
        <v>122</v>
      </c>
      <c r="CY78" s="17" t="s">
        <v>123</v>
      </c>
      <c r="CZ78" s="20">
        <v>7464.24</v>
      </c>
      <c r="DA78" s="20">
        <v>0.0</v>
      </c>
      <c r="DB78" s="20">
        <v>-43843.52</v>
      </c>
      <c r="DC78" s="20">
        <v>0.56</v>
      </c>
      <c r="DD78" s="20">
        <v>-9778.72</v>
      </c>
      <c r="DE78" s="20">
        <v>-11245.53</v>
      </c>
      <c r="DF78" s="17"/>
    </row>
    <row r="79" ht="13.5" customHeight="1">
      <c r="A79" s="17" t="s">
        <v>157</v>
      </c>
      <c r="B79" s="18">
        <v>43891.0</v>
      </c>
      <c r="C79" s="17" t="s">
        <v>124</v>
      </c>
      <c r="D79" s="17" t="s">
        <v>110</v>
      </c>
      <c r="E79" s="17" t="s">
        <v>111</v>
      </c>
      <c r="F79" s="17" t="s">
        <v>332</v>
      </c>
      <c r="G79" s="17" t="s">
        <v>140</v>
      </c>
      <c r="H79" s="17" t="s">
        <v>129</v>
      </c>
      <c r="I79" s="19">
        <v>43910.0</v>
      </c>
      <c r="J79" s="19">
        <v>43921.0</v>
      </c>
      <c r="K79" s="17">
        <f t="shared" si="1"/>
        <v>11</v>
      </c>
      <c r="L79" s="17">
        <v>1.0</v>
      </c>
      <c r="M79" s="17">
        <f t="shared" si="2"/>
        <v>10</v>
      </c>
      <c r="N79" s="19">
        <v>43917.0</v>
      </c>
      <c r="O79" s="19">
        <v>43934.0</v>
      </c>
      <c r="P79" s="17">
        <f t="shared" si="3"/>
        <v>17</v>
      </c>
      <c r="Q79" s="17">
        <v>90.0</v>
      </c>
      <c r="R79" s="17">
        <f t="shared" si="4"/>
        <v>-73</v>
      </c>
      <c r="S79" s="17" t="s">
        <v>344</v>
      </c>
      <c r="T79" s="17" t="s">
        <v>345</v>
      </c>
      <c r="U79" s="17" t="s">
        <v>117</v>
      </c>
      <c r="V79" s="17" t="s">
        <v>147</v>
      </c>
      <c r="W79" s="17" t="s">
        <v>119</v>
      </c>
      <c r="X79" s="17" t="s">
        <v>335</v>
      </c>
      <c r="Y79" s="17">
        <v>2024.0</v>
      </c>
      <c r="Z79" s="17" t="s">
        <v>135</v>
      </c>
      <c r="AA79" s="17">
        <v>2498.0</v>
      </c>
      <c r="AB79" s="17">
        <v>16.0</v>
      </c>
      <c r="AC79" s="17">
        <v>5.0</v>
      </c>
      <c r="AD79" s="20">
        <v>456087.0</v>
      </c>
      <c r="AE79" s="20">
        <v>29868.06</v>
      </c>
      <c r="AF79" s="21">
        <v>0.07</v>
      </c>
      <c r="AG79" s="20">
        <v>18290.3</v>
      </c>
      <c r="AH79" s="20">
        <v>2250.0</v>
      </c>
      <c r="AI79" s="17">
        <v>7.75</v>
      </c>
      <c r="AJ79" s="20">
        <v>229079.0</v>
      </c>
      <c r="AK79" s="17">
        <v>50.23</v>
      </c>
      <c r="AL79" s="19">
        <v>43934.0</v>
      </c>
      <c r="AM79" s="19">
        <v>45760.0</v>
      </c>
      <c r="AN79" s="17">
        <v>60.0</v>
      </c>
      <c r="AO79" s="17">
        <v>15000.0</v>
      </c>
      <c r="AP79" s="17">
        <v>210000.0</v>
      </c>
      <c r="AQ79" s="19">
        <v>46142.0</v>
      </c>
      <c r="AR79" s="17">
        <v>109846.0</v>
      </c>
      <c r="AS79" s="17">
        <v>120874.0</v>
      </c>
      <c r="AT79" s="17">
        <v>11028.0</v>
      </c>
      <c r="AU79" s="17">
        <v>120229.0</v>
      </c>
      <c r="AV79" s="17">
        <v>10019.0</v>
      </c>
      <c r="AW79" s="20">
        <v>18747.21</v>
      </c>
      <c r="AX79" s="20">
        <v>8400.0</v>
      </c>
      <c r="AY79" s="20">
        <v>125.0</v>
      </c>
      <c r="AZ79" s="20">
        <v>290.99</v>
      </c>
      <c r="BA79" s="20">
        <v>1584.82</v>
      </c>
      <c r="BB79" s="20">
        <v>29148.02</v>
      </c>
      <c r="BC79" s="20">
        <v>4372.2</v>
      </c>
      <c r="BD79" s="20">
        <v>33520.22</v>
      </c>
      <c r="BE79" s="19">
        <v>45748.0</v>
      </c>
      <c r="BF79" s="19">
        <v>45838.0</v>
      </c>
      <c r="BG79" s="17">
        <v>90337.0</v>
      </c>
      <c r="BH79" s="17">
        <v>120874.0</v>
      </c>
      <c r="BI79" s="17">
        <v>30537.0</v>
      </c>
      <c r="BJ79" s="17">
        <v>45000.0</v>
      </c>
      <c r="BK79" s="17">
        <v>-14463.0</v>
      </c>
      <c r="BL79" s="20">
        <v>0.64</v>
      </c>
      <c r="BM79" s="20">
        <v>1.08</v>
      </c>
      <c r="BN79" s="20">
        <v>0.0</v>
      </c>
      <c r="BO79" s="20">
        <v>0.0</v>
      </c>
      <c r="BP79" s="20">
        <v>0.0</v>
      </c>
      <c r="BQ79" s="20">
        <v>-1214.89</v>
      </c>
      <c r="BR79" s="20">
        <v>0.0</v>
      </c>
      <c r="BS79" s="20">
        <v>0.0</v>
      </c>
      <c r="BT79" s="20">
        <v>0.0</v>
      </c>
      <c r="BU79" s="20">
        <v>0.0</v>
      </c>
      <c r="BV79" s="20">
        <v>0.0</v>
      </c>
      <c r="BW79" s="20">
        <v>0.0</v>
      </c>
      <c r="BX79" s="20">
        <v>0.0</v>
      </c>
      <c r="BY79" s="20">
        <v>21736.05</v>
      </c>
      <c r="BZ79" s="17">
        <v>0.0</v>
      </c>
      <c r="CA79" s="20">
        <v>0.0</v>
      </c>
      <c r="CB79" s="17">
        <v>0.0</v>
      </c>
      <c r="CC79" s="20">
        <v>0.0</v>
      </c>
      <c r="CD79" s="20">
        <v>0.0</v>
      </c>
      <c r="CE79" s="20">
        <v>0.0</v>
      </c>
      <c r="CF79" s="20">
        <v>0.0</v>
      </c>
      <c r="CG79" s="20">
        <v>0.0</v>
      </c>
      <c r="CH79" s="20">
        <v>24206.05</v>
      </c>
      <c r="CI79" s="20">
        <v>3157.31</v>
      </c>
      <c r="CJ79" s="20">
        <v>21048.74</v>
      </c>
      <c r="CK79" s="20">
        <v>1.91</v>
      </c>
      <c r="CL79" s="17">
        <v>0.0</v>
      </c>
      <c r="CM79" s="17">
        <v>0.0</v>
      </c>
      <c r="CN79" s="17">
        <v>0.0</v>
      </c>
      <c r="CO79" s="17">
        <v>100.0</v>
      </c>
      <c r="CP79" s="19"/>
      <c r="CQ79" s="17">
        <v>0.0</v>
      </c>
      <c r="CR79" s="17">
        <v>0.0</v>
      </c>
      <c r="CS79" s="17">
        <v>0.0</v>
      </c>
      <c r="CT79" s="17">
        <v>-73086.0</v>
      </c>
      <c r="CU79" s="19">
        <v>45900.0</v>
      </c>
      <c r="CV79" s="19">
        <v>45900.0</v>
      </c>
      <c r="CW79" s="17">
        <v>210645.0</v>
      </c>
      <c r="CX79" s="17" t="s">
        <v>122</v>
      </c>
      <c r="CY79" s="17" t="s">
        <v>123</v>
      </c>
      <c r="CZ79" s="20">
        <v>0.0</v>
      </c>
      <c r="DA79" s="20">
        <v>0.0</v>
      </c>
      <c r="DB79" s="20">
        <v>-40928.16</v>
      </c>
      <c r="DC79" s="20">
        <v>0.56</v>
      </c>
      <c r="DD79" s="20">
        <v>-8099.28</v>
      </c>
      <c r="DE79" s="20">
        <v>-9314.17</v>
      </c>
      <c r="DF79" s="17"/>
    </row>
    <row r="80" ht="13.5" customHeight="1">
      <c r="A80" s="17" t="s">
        <v>157</v>
      </c>
      <c r="B80" s="18">
        <v>43891.0</v>
      </c>
      <c r="C80" s="17" t="s">
        <v>136</v>
      </c>
      <c r="D80" s="17" t="s">
        <v>125</v>
      </c>
      <c r="E80" s="17" t="s">
        <v>126</v>
      </c>
      <c r="F80" s="17" t="s">
        <v>332</v>
      </c>
      <c r="G80" s="17" t="s">
        <v>140</v>
      </c>
      <c r="H80" s="17" t="s">
        <v>141</v>
      </c>
      <c r="I80" s="19">
        <v>43903.0</v>
      </c>
      <c r="J80" s="19">
        <v>43904.0</v>
      </c>
      <c r="K80" s="17">
        <f t="shared" si="1"/>
        <v>1</v>
      </c>
      <c r="L80" s="17">
        <v>1.0</v>
      </c>
      <c r="M80" s="17">
        <f t="shared" si="2"/>
        <v>0</v>
      </c>
      <c r="N80" s="19">
        <v>43918.0</v>
      </c>
      <c r="O80" s="19">
        <v>43935.0</v>
      </c>
      <c r="P80" s="17">
        <f t="shared" si="3"/>
        <v>17</v>
      </c>
      <c r="Q80" s="17">
        <v>90.0</v>
      </c>
      <c r="R80" s="17">
        <f t="shared" si="4"/>
        <v>-73</v>
      </c>
      <c r="S80" s="17" t="s">
        <v>346</v>
      </c>
      <c r="T80" s="17" t="s">
        <v>347</v>
      </c>
      <c r="U80" s="17" t="s">
        <v>117</v>
      </c>
      <c r="V80" s="17" t="s">
        <v>147</v>
      </c>
      <c r="W80" s="17" t="s">
        <v>119</v>
      </c>
      <c r="X80" s="17" t="s">
        <v>335</v>
      </c>
      <c r="Y80" s="17">
        <v>2024.0</v>
      </c>
      <c r="Z80" s="17" t="s">
        <v>135</v>
      </c>
      <c r="AA80" s="17">
        <v>2498.0</v>
      </c>
      <c r="AB80" s="17">
        <v>16.0</v>
      </c>
      <c r="AC80" s="17">
        <v>8.0</v>
      </c>
      <c r="AD80" s="20">
        <v>456087.0</v>
      </c>
      <c r="AE80" s="20">
        <v>29868.06</v>
      </c>
      <c r="AF80" s="21">
        <v>0.07</v>
      </c>
      <c r="AG80" s="20">
        <v>18284.79</v>
      </c>
      <c r="AH80" s="20">
        <v>2250.0</v>
      </c>
      <c r="AI80" s="17">
        <v>7.75</v>
      </c>
      <c r="AJ80" s="20">
        <v>229079.0</v>
      </c>
      <c r="AK80" s="17">
        <v>50.23</v>
      </c>
      <c r="AL80" s="19">
        <v>43935.0</v>
      </c>
      <c r="AM80" s="19">
        <v>45761.0</v>
      </c>
      <c r="AN80" s="17">
        <v>60.0</v>
      </c>
      <c r="AO80" s="17">
        <v>15000.0</v>
      </c>
      <c r="AP80" s="17">
        <v>210000.0</v>
      </c>
      <c r="AQ80" s="19">
        <v>46142.0</v>
      </c>
      <c r="AR80" s="17">
        <v>138232.0</v>
      </c>
      <c r="AS80" s="17">
        <v>141416.0</v>
      </c>
      <c r="AT80" s="17">
        <v>3184.0</v>
      </c>
      <c r="AU80" s="17">
        <v>140779.0</v>
      </c>
      <c r="AV80" s="17">
        <v>11732.0</v>
      </c>
      <c r="AW80" s="20">
        <v>18746.8</v>
      </c>
      <c r="AX80" s="20">
        <v>8400.0</v>
      </c>
      <c r="AY80" s="20">
        <v>125.0</v>
      </c>
      <c r="AZ80" s="20">
        <v>290.99</v>
      </c>
      <c r="BA80" s="20">
        <v>1584.82</v>
      </c>
      <c r="BB80" s="20">
        <v>29147.61</v>
      </c>
      <c r="BC80" s="20">
        <v>4372.14</v>
      </c>
      <c r="BD80" s="20">
        <v>33519.75</v>
      </c>
      <c r="BE80" s="19">
        <v>45748.0</v>
      </c>
      <c r="BF80" s="19">
        <v>45838.0</v>
      </c>
      <c r="BG80" s="17">
        <v>117505.0</v>
      </c>
      <c r="BH80" s="17">
        <v>141416.0</v>
      </c>
      <c r="BI80" s="17">
        <v>23911.0</v>
      </c>
      <c r="BJ80" s="17">
        <v>45000.0</v>
      </c>
      <c r="BK80" s="17">
        <v>-21089.0</v>
      </c>
      <c r="BL80" s="20">
        <v>0.64</v>
      </c>
      <c r="BM80" s="20">
        <v>1.08</v>
      </c>
      <c r="BN80" s="20">
        <v>0.0</v>
      </c>
      <c r="BO80" s="20">
        <v>0.0</v>
      </c>
      <c r="BP80" s="20">
        <v>0.0</v>
      </c>
      <c r="BQ80" s="20">
        <v>-1771.48</v>
      </c>
      <c r="BR80" s="20">
        <v>0.0</v>
      </c>
      <c r="BS80" s="20">
        <v>0.0</v>
      </c>
      <c r="BT80" s="20">
        <v>0.0</v>
      </c>
      <c r="BU80" s="20">
        <v>0.0</v>
      </c>
      <c r="BV80" s="20">
        <v>0.0</v>
      </c>
      <c r="BW80" s="20">
        <v>0.0</v>
      </c>
      <c r="BX80" s="20">
        <v>0.0</v>
      </c>
      <c r="BY80" s="20">
        <v>6442.49</v>
      </c>
      <c r="BZ80" s="17">
        <v>0.0</v>
      </c>
      <c r="CA80" s="20">
        <v>0.0</v>
      </c>
      <c r="CB80" s="17">
        <v>0.0</v>
      </c>
      <c r="CC80" s="20">
        <v>0.0</v>
      </c>
      <c r="CD80" s="20">
        <v>0.0</v>
      </c>
      <c r="CE80" s="20">
        <v>0.0</v>
      </c>
      <c r="CF80" s="20">
        <v>0.0</v>
      </c>
      <c r="CG80" s="20">
        <v>0.0</v>
      </c>
      <c r="CH80" s="20">
        <v>19938.43</v>
      </c>
      <c r="CI80" s="20">
        <v>2600.66</v>
      </c>
      <c r="CJ80" s="20">
        <v>17337.77</v>
      </c>
      <c r="CK80" s="20">
        <v>5.45</v>
      </c>
      <c r="CL80" s="17">
        <v>0.0</v>
      </c>
      <c r="CM80" s="17">
        <v>0.0</v>
      </c>
      <c r="CN80" s="17">
        <v>0.0</v>
      </c>
      <c r="CO80" s="17">
        <v>100.0</v>
      </c>
      <c r="CP80" s="19"/>
      <c r="CQ80" s="17">
        <v>0.0</v>
      </c>
      <c r="CR80" s="17">
        <v>0.0</v>
      </c>
      <c r="CS80" s="17">
        <v>0.0</v>
      </c>
      <c r="CT80" s="17">
        <v>-52536.0</v>
      </c>
      <c r="CU80" s="19">
        <v>45900.0</v>
      </c>
      <c r="CV80" s="19">
        <v>45900.0</v>
      </c>
      <c r="CW80" s="17">
        <v>210637.0</v>
      </c>
      <c r="CX80" s="17" t="s">
        <v>122</v>
      </c>
      <c r="CY80" s="17" t="s">
        <v>123</v>
      </c>
      <c r="CZ80" s="20">
        <v>0.0</v>
      </c>
      <c r="DA80" s="20">
        <v>0.0</v>
      </c>
      <c r="DB80" s="20">
        <v>-29420.16</v>
      </c>
      <c r="DC80" s="20">
        <v>0.56</v>
      </c>
      <c r="DD80" s="20">
        <v>-11809.84</v>
      </c>
      <c r="DE80" s="20">
        <v>-13581.32</v>
      </c>
      <c r="DF80" s="17"/>
    </row>
    <row r="81" ht="13.5" customHeight="1">
      <c r="A81" s="17" t="s">
        <v>157</v>
      </c>
      <c r="B81" s="18">
        <v>43891.0</v>
      </c>
      <c r="C81" s="17" t="s">
        <v>109</v>
      </c>
      <c r="D81" s="17" t="s">
        <v>137</v>
      </c>
      <c r="E81" s="17" t="s">
        <v>138</v>
      </c>
      <c r="F81" s="17" t="s">
        <v>176</v>
      </c>
      <c r="G81" s="17" t="s">
        <v>140</v>
      </c>
      <c r="H81" s="17" t="s">
        <v>114</v>
      </c>
      <c r="I81" s="19">
        <v>43903.0</v>
      </c>
      <c r="J81" s="19">
        <v>43904.0</v>
      </c>
      <c r="K81" s="17">
        <f t="shared" si="1"/>
        <v>1</v>
      </c>
      <c r="L81" s="17">
        <v>1.0</v>
      </c>
      <c r="M81" s="17">
        <f t="shared" si="2"/>
        <v>0</v>
      </c>
      <c r="N81" s="19">
        <v>43919.0</v>
      </c>
      <c r="O81" s="19">
        <v>43997.0</v>
      </c>
      <c r="P81" s="17">
        <f t="shared" si="3"/>
        <v>78</v>
      </c>
      <c r="Q81" s="17">
        <v>90.0</v>
      </c>
      <c r="R81" s="17">
        <f t="shared" si="4"/>
        <v>-12</v>
      </c>
      <c r="S81" s="17" t="s">
        <v>348</v>
      </c>
      <c r="T81" s="17" t="s">
        <v>349</v>
      </c>
      <c r="U81" s="17" t="s">
        <v>117</v>
      </c>
      <c r="V81" s="17" t="s">
        <v>207</v>
      </c>
      <c r="W81" s="17" t="s">
        <v>221</v>
      </c>
      <c r="X81" s="17" t="s">
        <v>252</v>
      </c>
      <c r="Y81" s="17">
        <v>2024.0</v>
      </c>
      <c r="Z81" s="17" t="s">
        <v>135</v>
      </c>
      <c r="AA81" s="17">
        <v>2198.0</v>
      </c>
      <c r="AB81" s="17">
        <v>16.0</v>
      </c>
      <c r="AC81" s="17">
        <v>0.0</v>
      </c>
      <c r="AD81" s="20">
        <v>801652.17</v>
      </c>
      <c r="AE81" s="20">
        <v>72148.69</v>
      </c>
      <c r="AF81" s="21">
        <v>0.09</v>
      </c>
      <c r="AG81" s="20">
        <v>11740.16</v>
      </c>
      <c r="AH81" s="20">
        <v>3573.5</v>
      </c>
      <c r="AI81" s="17">
        <v>7.75</v>
      </c>
      <c r="AJ81" s="20">
        <v>301254.1</v>
      </c>
      <c r="AK81" s="17">
        <v>45.47</v>
      </c>
      <c r="AL81" s="19">
        <v>43997.0</v>
      </c>
      <c r="AM81" s="19">
        <v>45823.0</v>
      </c>
      <c r="AN81" s="17">
        <v>60.0</v>
      </c>
      <c r="AO81" s="17">
        <v>3000.0</v>
      </c>
      <c r="AP81" s="17">
        <v>174655.0</v>
      </c>
      <c r="AQ81" s="19">
        <v>46142.0</v>
      </c>
      <c r="AR81" s="17">
        <v>30385.0</v>
      </c>
      <c r="AS81" s="17">
        <v>33199.0</v>
      </c>
      <c r="AT81" s="17">
        <v>2814.0</v>
      </c>
      <c r="AU81" s="17">
        <v>32516.0</v>
      </c>
      <c r="AV81" s="17">
        <v>2501.0</v>
      </c>
      <c r="AW81" s="20">
        <v>11925.41</v>
      </c>
      <c r="AX81" s="20">
        <v>2100.0</v>
      </c>
      <c r="AY81" s="20">
        <v>190.0</v>
      </c>
      <c r="AZ81" s="20">
        <v>291.0</v>
      </c>
      <c r="BA81" s="20">
        <v>1522.99</v>
      </c>
      <c r="BB81" s="20">
        <v>16029.4</v>
      </c>
      <c r="BC81" s="20">
        <v>2404.41</v>
      </c>
      <c r="BD81" s="20">
        <v>18433.81</v>
      </c>
      <c r="BE81" s="19">
        <v>45748.0</v>
      </c>
      <c r="BF81" s="19">
        <v>45838.0</v>
      </c>
      <c r="BG81" s="17">
        <v>24949.0</v>
      </c>
      <c r="BH81" s="17">
        <v>33199.0</v>
      </c>
      <c r="BI81" s="17">
        <v>8250.0</v>
      </c>
      <c r="BJ81" s="17">
        <v>9000.0</v>
      </c>
      <c r="BK81" s="17">
        <v>-750.0</v>
      </c>
      <c r="BL81" s="20">
        <v>0.81</v>
      </c>
      <c r="BM81" s="20">
        <v>2.85</v>
      </c>
      <c r="BN81" s="20">
        <v>0.0</v>
      </c>
      <c r="BO81" s="20">
        <v>0.0</v>
      </c>
      <c r="BP81" s="20">
        <v>0.0</v>
      </c>
      <c r="BQ81" s="20">
        <v>-78.75</v>
      </c>
      <c r="BR81" s="20">
        <v>0.0</v>
      </c>
      <c r="BS81" s="20">
        <v>0.0</v>
      </c>
      <c r="BT81" s="20">
        <v>0.0</v>
      </c>
      <c r="BU81" s="20">
        <v>0.0</v>
      </c>
      <c r="BV81" s="20">
        <v>0.0</v>
      </c>
      <c r="BW81" s="20">
        <v>0.0</v>
      </c>
      <c r="BX81" s="20">
        <v>0.0</v>
      </c>
      <c r="BY81" s="20">
        <v>6298.61</v>
      </c>
      <c r="BZ81" s="17">
        <v>0.0</v>
      </c>
      <c r="CA81" s="20">
        <v>0.0</v>
      </c>
      <c r="CB81" s="17">
        <v>0.0</v>
      </c>
      <c r="CC81" s="20">
        <v>0.0</v>
      </c>
      <c r="CD81" s="20">
        <v>0.0</v>
      </c>
      <c r="CE81" s="20">
        <v>0.0</v>
      </c>
      <c r="CF81" s="20">
        <v>0.0</v>
      </c>
      <c r="CG81" s="20">
        <v>0.0</v>
      </c>
      <c r="CH81" s="20">
        <v>17830.06</v>
      </c>
      <c r="CI81" s="20">
        <v>2325.66</v>
      </c>
      <c r="CJ81" s="20">
        <v>15504.4</v>
      </c>
      <c r="CK81" s="20">
        <v>5.51</v>
      </c>
      <c r="CL81" s="17">
        <v>0.0</v>
      </c>
      <c r="CM81" s="17">
        <v>0.0</v>
      </c>
      <c r="CN81" s="17">
        <v>0.0</v>
      </c>
      <c r="CO81" s="17">
        <v>100.0</v>
      </c>
      <c r="CP81" s="19"/>
      <c r="CQ81" s="17">
        <v>0.0</v>
      </c>
      <c r="CR81" s="17">
        <v>0.0</v>
      </c>
      <c r="CS81" s="17">
        <v>0.0</v>
      </c>
      <c r="CT81" s="17">
        <v>-4378.0</v>
      </c>
      <c r="CU81" s="19">
        <v>47269.0</v>
      </c>
      <c r="CV81" s="19">
        <v>47269.0</v>
      </c>
      <c r="CW81" s="17">
        <v>175338.0</v>
      </c>
      <c r="CX81" s="17" t="s">
        <v>122</v>
      </c>
      <c r="CY81" s="17" t="s">
        <v>123</v>
      </c>
      <c r="CZ81" s="20">
        <v>2001.07</v>
      </c>
      <c r="DA81" s="20">
        <v>8358.9</v>
      </c>
      <c r="DB81" s="20">
        <v>-4954.03</v>
      </c>
      <c r="DC81" s="20">
        <v>0.7</v>
      </c>
      <c r="DD81" s="20">
        <v>-525.0</v>
      </c>
      <c r="DE81" s="20">
        <v>-603.75</v>
      </c>
      <c r="DF81" s="17"/>
    </row>
    <row r="82" ht="13.5" customHeight="1">
      <c r="A82" s="17" t="s">
        <v>175</v>
      </c>
      <c r="B82" s="18">
        <v>43891.0</v>
      </c>
      <c r="C82" s="17" t="s">
        <v>124</v>
      </c>
      <c r="D82" s="17" t="s">
        <v>110</v>
      </c>
      <c r="E82" s="17" t="s">
        <v>111</v>
      </c>
      <c r="F82" s="17" t="s">
        <v>179</v>
      </c>
      <c r="G82" s="17" t="s">
        <v>140</v>
      </c>
      <c r="H82" s="17" t="s">
        <v>129</v>
      </c>
      <c r="I82" s="19">
        <v>43903.0</v>
      </c>
      <c r="J82" s="19">
        <v>43904.0</v>
      </c>
      <c r="K82" s="17">
        <f t="shared" si="1"/>
        <v>1</v>
      </c>
      <c r="L82" s="17">
        <v>1.0</v>
      </c>
      <c r="M82" s="17">
        <f t="shared" si="2"/>
        <v>0</v>
      </c>
      <c r="N82" s="19">
        <v>43920.0</v>
      </c>
      <c r="O82" s="19">
        <v>43937.0</v>
      </c>
      <c r="P82" s="17">
        <f t="shared" si="3"/>
        <v>17</v>
      </c>
      <c r="Q82" s="17">
        <v>90.0</v>
      </c>
      <c r="R82" s="17">
        <f t="shared" si="4"/>
        <v>-73</v>
      </c>
      <c r="S82" s="17" t="s">
        <v>350</v>
      </c>
      <c r="T82" s="17" t="s">
        <v>351</v>
      </c>
      <c r="U82" s="17" t="s">
        <v>117</v>
      </c>
      <c r="V82" s="17" t="s">
        <v>147</v>
      </c>
      <c r="W82" s="17" t="s">
        <v>133</v>
      </c>
      <c r="X82" s="17" t="s">
        <v>168</v>
      </c>
      <c r="Y82" s="17">
        <v>2024.0</v>
      </c>
      <c r="Z82" s="17" t="s">
        <v>135</v>
      </c>
      <c r="AA82" s="17">
        <v>2498.0</v>
      </c>
      <c r="AB82" s="17">
        <v>16.0</v>
      </c>
      <c r="AC82" s="17">
        <v>3.0</v>
      </c>
      <c r="AD82" s="20">
        <v>460956.52</v>
      </c>
      <c r="AE82" s="20">
        <v>86959.0</v>
      </c>
      <c r="AF82" s="21">
        <v>0.19</v>
      </c>
      <c r="AG82" s="20">
        <v>13832.31</v>
      </c>
      <c r="AH82" s="20">
        <v>2124.0</v>
      </c>
      <c r="AI82" s="17">
        <v>7.75</v>
      </c>
      <c r="AJ82" s="20">
        <v>202821.0</v>
      </c>
      <c r="AK82" s="17">
        <v>44.0</v>
      </c>
      <c r="AL82" s="19">
        <v>43937.0</v>
      </c>
      <c r="AM82" s="19">
        <v>45763.0</v>
      </c>
      <c r="AN82" s="17">
        <v>60.0</v>
      </c>
      <c r="AO82" s="17">
        <v>5000.0</v>
      </c>
      <c r="AP82" s="17">
        <v>220000.0</v>
      </c>
      <c r="AQ82" s="19">
        <v>46142.0</v>
      </c>
      <c r="AR82" s="17">
        <v>33666.0</v>
      </c>
      <c r="AS82" s="17">
        <v>37697.0</v>
      </c>
      <c r="AT82" s="17">
        <v>4031.0</v>
      </c>
      <c r="AU82" s="17">
        <v>37292.0</v>
      </c>
      <c r="AV82" s="17">
        <v>2869.0</v>
      </c>
      <c r="AW82" s="20">
        <v>7046.3</v>
      </c>
      <c r="AX82" s="20">
        <v>2000.0</v>
      </c>
      <c r="AY82" s="20">
        <v>125.0</v>
      </c>
      <c r="AZ82" s="20">
        <v>291.0</v>
      </c>
      <c r="BA82" s="20">
        <v>1089.17</v>
      </c>
      <c r="BB82" s="20">
        <v>10551.47</v>
      </c>
      <c r="BC82" s="20">
        <v>1582.72</v>
      </c>
      <c r="BD82" s="20">
        <v>12134.19</v>
      </c>
      <c r="BE82" s="19">
        <v>45748.0</v>
      </c>
      <c r="BF82" s="19">
        <v>45838.0</v>
      </c>
      <c r="BG82" s="17">
        <v>29636.0</v>
      </c>
      <c r="BH82" s="17">
        <v>37697.0</v>
      </c>
      <c r="BI82" s="17">
        <v>8061.0</v>
      </c>
      <c r="BJ82" s="17">
        <v>15000.0</v>
      </c>
      <c r="BK82" s="17">
        <v>-6939.0</v>
      </c>
      <c r="BL82" s="20">
        <v>0.46</v>
      </c>
      <c r="BM82" s="20">
        <v>1.17</v>
      </c>
      <c r="BN82" s="20">
        <v>0.0</v>
      </c>
      <c r="BO82" s="20">
        <v>0.0</v>
      </c>
      <c r="BP82" s="20">
        <v>0.0</v>
      </c>
      <c r="BQ82" s="20">
        <v>-416.34</v>
      </c>
      <c r="BR82" s="20">
        <v>0.0</v>
      </c>
      <c r="BS82" s="20">
        <v>0.0</v>
      </c>
      <c r="BT82" s="20">
        <v>0.0</v>
      </c>
      <c r="BU82" s="20">
        <v>0.0</v>
      </c>
      <c r="BV82" s="20">
        <v>0.0</v>
      </c>
      <c r="BW82" s="20">
        <v>0.0</v>
      </c>
      <c r="BX82" s="20">
        <v>0.0</v>
      </c>
      <c r="BY82" s="20">
        <v>11231.66</v>
      </c>
      <c r="BZ82" s="17">
        <v>0.0</v>
      </c>
      <c r="CA82" s="20">
        <v>0.0</v>
      </c>
      <c r="CB82" s="17">
        <v>0.0</v>
      </c>
      <c r="CC82" s="20">
        <v>0.0</v>
      </c>
      <c r="CD82" s="20">
        <v>0.0</v>
      </c>
      <c r="CE82" s="20">
        <v>0.0</v>
      </c>
      <c r="CF82" s="20">
        <v>0.0</v>
      </c>
      <c r="CG82" s="20">
        <v>0.0</v>
      </c>
      <c r="CH82" s="20">
        <v>8942.25</v>
      </c>
      <c r="CI82" s="20">
        <v>1166.38</v>
      </c>
      <c r="CJ82" s="20">
        <v>7775.87</v>
      </c>
      <c r="CK82" s="20">
        <v>1.93</v>
      </c>
      <c r="CL82" s="17">
        <v>0.0</v>
      </c>
      <c r="CM82" s="17">
        <v>0.0</v>
      </c>
      <c r="CN82" s="17">
        <v>0.0</v>
      </c>
      <c r="CO82" s="17">
        <v>100.0</v>
      </c>
      <c r="CP82" s="19"/>
      <c r="CQ82" s="17">
        <v>0.0</v>
      </c>
      <c r="CR82" s="17">
        <v>0.0</v>
      </c>
      <c r="CS82" s="17">
        <v>0.0</v>
      </c>
      <c r="CT82" s="17">
        <v>-27872.0</v>
      </c>
      <c r="CU82" s="19">
        <v>46783.0</v>
      </c>
      <c r="CV82" s="19">
        <v>46783.0</v>
      </c>
      <c r="CW82" s="17">
        <v>220405.0</v>
      </c>
      <c r="CX82" s="17" t="s">
        <v>122</v>
      </c>
      <c r="CY82" s="17" t="s">
        <v>123</v>
      </c>
      <c r="CZ82" s="20">
        <v>0.0</v>
      </c>
      <c r="DA82" s="20">
        <v>0.0</v>
      </c>
      <c r="DB82" s="20">
        <v>-11148.8</v>
      </c>
      <c r="DC82" s="20">
        <v>0.4</v>
      </c>
      <c r="DD82" s="20">
        <v>-2775.6</v>
      </c>
      <c r="DE82" s="20">
        <v>-3191.94</v>
      </c>
      <c r="DF82" s="17"/>
    </row>
    <row r="83" ht="13.5" customHeight="1">
      <c r="A83" s="17" t="s">
        <v>175</v>
      </c>
      <c r="B83" s="18">
        <v>43891.0</v>
      </c>
      <c r="C83" s="17" t="s">
        <v>136</v>
      </c>
      <c r="D83" s="17" t="s">
        <v>125</v>
      </c>
      <c r="E83" s="17" t="s">
        <v>126</v>
      </c>
      <c r="F83" s="17" t="s">
        <v>179</v>
      </c>
      <c r="G83" s="17" t="s">
        <v>140</v>
      </c>
      <c r="H83" s="17" t="s">
        <v>141</v>
      </c>
      <c r="I83" s="19">
        <v>43914.0</v>
      </c>
      <c r="J83" s="19">
        <v>43925.0</v>
      </c>
      <c r="K83" s="17">
        <f t="shared" si="1"/>
        <v>11</v>
      </c>
      <c r="L83" s="17">
        <v>1.0</v>
      </c>
      <c r="M83" s="17">
        <f t="shared" si="2"/>
        <v>10</v>
      </c>
      <c r="N83" s="19">
        <v>43921.0</v>
      </c>
      <c r="O83" s="19">
        <v>43938.0</v>
      </c>
      <c r="P83" s="17">
        <f t="shared" si="3"/>
        <v>17</v>
      </c>
      <c r="Q83" s="17">
        <v>90.0</v>
      </c>
      <c r="R83" s="17">
        <f t="shared" si="4"/>
        <v>-73</v>
      </c>
      <c r="S83" s="17" t="s">
        <v>352</v>
      </c>
      <c r="T83" s="17" t="s">
        <v>353</v>
      </c>
      <c r="U83" s="17" t="s">
        <v>117</v>
      </c>
      <c r="V83" s="17" t="s">
        <v>147</v>
      </c>
      <c r="W83" s="17" t="s">
        <v>133</v>
      </c>
      <c r="X83" s="17" t="s">
        <v>168</v>
      </c>
      <c r="Y83" s="17">
        <v>2024.0</v>
      </c>
      <c r="Z83" s="17" t="s">
        <v>135</v>
      </c>
      <c r="AA83" s="17">
        <v>2498.0</v>
      </c>
      <c r="AB83" s="17">
        <v>16.0</v>
      </c>
      <c r="AC83" s="17">
        <v>4.0</v>
      </c>
      <c r="AD83" s="20">
        <v>460956.52</v>
      </c>
      <c r="AE83" s="20">
        <v>86959.0</v>
      </c>
      <c r="AF83" s="21">
        <v>0.19</v>
      </c>
      <c r="AG83" s="20">
        <v>13577.29</v>
      </c>
      <c r="AH83" s="20">
        <v>2250.0</v>
      </c>
      <c r="AI83" s="17">
        <v>7.75</v>
      </c>
      <c r="AJ83" s="20">
        <v>202821.0</v>
      </c>
      <c r="AK83" s="17">
        <v>44.0</v>
      </c>
      <c r="AL83" s="19">
        <v>43938.0</v>
      </c>
      <c r="AM83" s="19">
        <v>45764.0</v>
      </c>
      <c r="AN83" s="17">
        <v>60.0</v>
      </c>
      <c r="AO83" s="17">
        <v>5000.0</v>
      </c>
      <c r="AP83" s="17">
        <v>220000.0</v>
      </c>
      <c r="AQ83" s="19">
        <v>46142.0</v>
      </c>
      <c r="AR83" s="17">
        <v>43820.0</v>
      </c>
      <c r="AS83" s="17">
        <v>46305.0</v>
      </c>
      <c r="AT83" s="17">
        <v>2485.0</v>
      </c>
      <c r="AU83" s="17">
        <v>45866.0</v>
      </c>
      <c r="AV83" s="17">
        <v>3822.0</v>
      </c>
      <c r="AW83" s="20">
        <v>7032.77</v>
      </c>
      <c r="AX83" s="20">
        <v>2000.0</v>
      </c>
      <c r="AY83" s="20">
        <v>125.0</v>
      </c>
      <c r="AZ83" s="20">
        <v>291.0</v>
      </c>
      <c r="BA83" s="20">
        <v>1089.17</v>
      </c>
      <c r="BB83" s="20">
        <v>10537.94</v>
      </c>
      <c r="BC83" s="20">
        <v>1580.69</v>
      </c>
      <c r="BD83" s="20">
        <v>12118.63</v>
      </c>
      <c r="BE83" s="19">
        <v>45748.0</v>
      </c>
      <c r="BF83" s="19">
        <v>45838.0</v>
      </c>
      <c r="BG83" s="17">
        <v>37674.0</v>
      </c>
      <c r="BH83" s="17">
        <v>46305.0</v>
      </c>
      <c r="BI83" s="17">
        <v>8631.0</v>
      </c>
      <c r="BJ83" s="17">
        <v>15000.0</v>
      </c>
      <c r="BK83" s="17">
        <v>-6369.0</v>
      </c>
      <c r="BL83" s="20">
        <v>0.46</v>
      </c>
      <c r="BM83" s="20">
        <v>1.17</v>
      </c>
      <c r="BN83" s="20">
        <v>0.0</v>
      </c>
      <c r="BO83" s="20">
        <v>0.0</v>
      </c>
      <c r="BP83" s="20">
        <v>0.0</v>
      </c>
      <c r="BQ83" s="20">
        <v>-382.14</v>
      </c>
      <c r="BR83" s="20">
        <v>0.0</v>
      </c>
      <c r="BS83" s="20">
        <v>0.0</v>
      </c>
      <c r="BT83" s="20">
        <v>0.0</v>
      </c>
      <c r="BU83" s="20">
        <v>0.0</v>
      </c>
      <c r="BV83" s="20">
        <v>0.0</v>
      </c>
      <c r="BW83" s="20">
        <v>0.0</v>
      </c>
      <c r="BX83" s="20">
        <v>0.0</v>
      </c>
      <c r="BY83" s="20">
        <v>7056.02</v>
      </c>
      <c r="BZ83" s="17">
        <v>0.0</v>
      </c>
      <c r="CA83" s="20">
        <v>0.0</v>
      </c>
      <c r="CB83" s="17">
        <v>0.0</v>
      </c>
      <c r="CC83" s="20">
        <v>0.0</v>
      </c>
      <c r="CD83" s="20">
        <v>0.0</v>
      </c>
      <c r="CE83" s="20">
        <v>0.0</v>
      </c>
      <c r="CF83" s="20">
        <v>0.0</v>
      </c>
      <c r="CG83" s="20">
        <v>0.0</v>
      </c>
      <c r="CH83" s="20">
        <v>9188.89</v>
      </c>
      <c r="CI83" s="20">
        <v>1198.55</v>
      </c>
      <c r="CJ83" s="20">
        <v>7990.34</v>
      </c>
      <c r="CK83" s="20">
        <v>3.22</v>
      </c>
      <c r="CL83" s="17">
        <v>0.0</v>
      </c>
      <c r="CM83" s="17">
        <v>0.0</v>
      </c>
      <c r="CN83" s="17">
        <v>0.0</v>
      </c>
      <c r="CO83" s="17">
        <v>100.0</v>
      </c>
      <c r="CP83" s="19"/>
      <c r="CQ83" s="17">
        <v>0.0</v>
      </c>
      <c r="CR83" s="17">
        <v>0.0</v>
      </c>
      <c r="CS83" s="17">
        <v>0.0</v>
      </c>
      <c r="CT83" s="17">
        <v>-18736.0</v>
      </c>
      <c r="CU83" s="19">
        <v>46812.0</v>
      </c>
      <c r="CV83" s="19">
        <v>46812.0</v>
      </c>
      <c r="CW83" s="17">
        <v>220439.0</v>
      </c>
      <c r="CX83" s="17" t="s">
        <v>122</v>
      </c>
      <c r="CY83" s="17" t="s">
        <v>123</v>
      </c>
      <c r="CZ83" s="20">
        <v>0.0</v>
      </c>
      <c r="DA83" s="20">
        <v>0.0</v>
      </c>
      <c r="DB83" s="20">
        <v>-7494.4</v>
      </c>
      <c r="DC83" s="20">
        <v>0.4</v>
      </c>
      <c r="DD83" s="20">
        <v>-2547.6</v>
      </c>
      <c r="DE83" s="20">
        <v>-2929.74</v>
      </c>
      <c r="DF83" s="17"/>
    </row>
    <row r="84" ht="13.5" customHeight="1">
      <c r="A84" s="17" t="s">
        <v>175</v>
      </c>
      <c r="B84" s="18">
        <v>43891.0</v>
      </c>
      <c r="C84" s="17" t="s">
        <v>109</v>
      </c>
      <c r="D84" s="17" t="s">
        <v>137</v>
      </c>
      <c r="E84" s="17" t="s">
        <v>138</v>
      </c>
      <c r="F84" s="17" t="s">
        <v>172</v>
      </c>
      <c r="G84" s="17" t="s">
        <v>140</v>
      </c>
      <c r="H84" s="17" t="s">
        <v>114</v>
      </c>
      <c r="I84" s="19">
        <v>43915.0</v>
      </c>
      <c r="J84" s="19">
        <v>43926.0</v>
      </c>
      <c r="K84" s="17">
        <f t="shared" si="1"/>
        <v>11</v>
      </c>
      <c r="L84" s="17">
        <v>1.0</v>
      </c>
      <c r="M84" s="17">
        <f t="shared" si="2"/>
        <v>10</v>
      </c>
      <c r="N84" s="19">
        <v>43915.0</v>
      </c>
      <c r="O84" s="19">
        <v>43939.0</v>
      </c>
      <c r="P84" s="17">
        <f t="shared" si="3"/>
        <v>24</v>
      </c>
      <c r="Q84" s="17">
        <v>90.0</v>
      </c>
      <c r="R84" s="17">
        <f t="shared" si="4"/>
        <v>-66</v>
      </c>
      <c r="S84" s="17" t="s">
        <v>354</v>
      </c>
      <c r="T84" s="17" t="s">
        <v>355</v>
      </c>
      <c r="U84" s="17" t="s">
        <v>117</v>
      </c>
      <c r="V84" s="17" t="s">
        <v>190</v>
      </c>
      <c r="W84" s="17" t="s">
        <v>194</v>
      </c>
      <c r="X84" s="17" t="s">
        <v>195</v>
      </c>
      <c r="Y84" s="17">
        <v>2024.0</v>
      </c>
      <c r="Z84" s="17" t="s">
        <v>121</v>
      </c>
      <c r="AA84" s="17">
        <v>1198.0</v>
      </c>
      <c r="AB84" s="17">
        <v>16.0</v>
      </c>
      <c r="AC84" s="17">
        <v>7.0</v>
      </c>
      <c r="AD84" s="20">
        <v>184260.87</v>
      </c>
      <c r="AE84" s="20">
        <v>3700.0</v>
      </c>
      <c r="AF84" s="21">
        <v>0.02</v>
      </c>
      <c r="AG84" s="20">
        <v>13515.0</v>
      </c>
      <c r="AH84" s="20">
        <v>1650.0</v>
      </c>
      <c r="AI84" s="17">
        <v>7.75</v>
      </c>
      <c r="AJ84" s="20">
        <v>83794.58</v>
      </c>
      <c r="AK84" s="17">
        <v>89.19</v>
      </c>
      <c r="AL84" s="19">
        <v>43939.0</v>
      </c>
      <c r="AM84" s="19">
        <v>45765.0</v>
      </c>
      <c r="AN84" s="17">
        <v>60.0</v>
      </c>
      <c r="AO84" s="17">
        <v>12500.0</v>
      </c>
      <c r="AP84" s="17">
        <v>173769.0</v>
      </c>
      <c r="AQ84" s="19">
        <v>46142.0</v>
      </c>
      <c r="AR84" s="17">
        <v>136889.0</v>
      </c>
      <c r="AS84" s="17">
        <v>137115.0</v>
      </c>
      <c r="AT84" s="17">
        <v>226.0</v>
      </c>
      <c r="AU84" s="17">
        <v>136495.0</v>
      </c>
      <c r="AV84" s="17">
        <v>11375.0</v>
      </c>
      <c r="AW84" s="20">
        <v>5729.11</v>
      </c>
      <c r="AX84" s="20">
        <v>4125.0</v>
      </c>
      <c r="AY84" s="20">
        <v>115.0</v>
      </c>
      <c r="AZ84" s="20">
        <v>291.0</v>
      </c>
      <c r="BA84" s="20">
        <v>1119.45</v>
      </c>
      <c r="BB84" s="20">
        <v>11379.56</v>
      </c>
      <c r="BC84" s="20">
        <v>1706.93</v>
      </c>
      <c r="BD84" s="20">
        <v>13086.49</v>
      </c>
      <c r="BE84" s="19">
        <v>45748.0</v>
      </c>
      <c r="BF84" s="19">
        <v>45838.0</v>
      </c>
      <c r="BG84" s="17">
        <v>120793.0</v>
      </c>
      <c r="BH84" s="17">
        <v>137115.0</v>
      </c>
      <c r="BI84" s="17">
        <v>16322.0</v>
      </c>
      <c r="BJ84" s="17">
        <v>42500.0</v>
      </c>
      <c r="BK84" s="17">
        <v>-26178.0</v>
      </c>
      <c r="BL84" s="20">
        <v>0.38</v>
      </c>
      <c r="BM84" s="20">
        <v>0.57</v>
      </c>
      <c r="BN84" s="20">
        <v>0.0</v>
      </c>
      <c r="BO84" s="20">
        <v>0.0</v>
      </c>
      <c r="BP84" s="20">
        <v>0.0</v>
      </c>
      <c r="BQ84" s="20">
        <v>-1295.81</v>
      </c>
      <c r="BR84" s="20">
        <v>0.0</v>
      </c>
      <c r="BS84" s="20">
        <v>0.0</v>
      </c>
      <c r="BT84" s="20">
        <v>0.0</v>
      </c>
      <c r="BU84" s="20">
        <v>0.0</v>
      </c>
      <c r="BV84" s="20">
        <v>0.0</v>
      </c>
      <c r="BW84" s="20">
        <v>0.0</v>
      </c>
      <c r="BX84" s="20">
        <v>0.0</v>
      </c>
      <c r="BY84" s="20">
        <v>0.0</v>
      </c>
      <c r="BZ84" s="17">
        <v>0.0</v>
      </c>
      <c r="CA84" s="20">
        <v>0.0</v>
      </c>
      <c r="CB84" s="17">
        <v>0.0</v>
      </c>
      <c r="CC84" s="20">
        <v>0.0</v>
      </c>
      <c r="CD84" s="20">
        <v>0.0</v>
      </c>
      <c r="CE84" s="20">
        <v>0.0</v>
      </c>
      <c r="CF84" s="20">
        <v>0.0</v>
      </c>
      <c r="CG84" s="20">
        <v>0.0</v>
      </c>
      <c r="CH84" s="20">
        <v>3151.94</v>
      </c>
      <c r="CI84" s="20">
        <v>411.12</v>
      </c>
      <c r="CJ84" s="20">
        <v>2740.82</v>
      </c>
      <c r="CK84" s="20">
        <v>12.13</v>
      </c>
      <c r="CL84" s="17">
        <v>0.0</v>
      </c>
      <c r="CM84" s="17">
        <v>0.0</v>
      </c>
      <c r="CN84" s="17">
        <v>0.0</v>
      </c>
      <c r="CO84" s="17">
        <v>100.0</v>
      </c>
      <c r="CP84" s="19"/>
      <c r="CQ84" s="17">
        <v>0.0</v>
      </c>
      <c r="CR84" s="17">
        <v>0.0</v>
      </c>
      <c r="CS84" s="17">
        <v>0.0</v>
      </c>
      <c r="CT84" s="17">
        <v>-53826.0</v>
      </c>
      <c r="CU84" s="19">
        <v>45900.0</v>
      </c>
      <c r="CV84" s="19">
        <v>45900.0</v>
      </c>
      <c r="CW84" s="17">
        <v>174389.0</v>
      </c>
      <c r="CX84" s="17" t="s">
        <v>122</v>
      </c>
      <c r="CY84" s="17" t="s">
        <v>123</v>
      </c>
      <c r="CZ84" s="20">
        <v>4886.64</v>
      </c>
      <c r="DA84" s="20">
        <v>0.0</v>
      </c>
      <c r="DB84" s="20">
        <v>-22661.76</v>
      </c>
      <c r="DC84" s="20">
        <v>0.33</v>
      </c>
      <c r="DD84" s="20">
        <v>-8638.74</v>
      </c>
      <c r="DE84" s="20">
        <v>-9934.55</v>
      </c>
      <c r="DF84" s="17"/>
    </row>
    <row r="85" ht="13.5" customHeight="1">
      <c r="A85" s="17" t="s">
        <v>175</v>
      </c>
      <c r="B85" s="18">
        <v>43891.0</v>
      </c>
      <c r="C85" s="17" t="s">
        <v>124</v>
      </c>
      <c r="D85" s="17" t="s">
        <v>110</v>
      </c>
      <c r="E85" s="17" t="s">
        <v>111</v>
      </c>
      <c r="F85" s="17" t="s">
        <v>176</v>
      </c>
      <c r="G85" s="17" t="s">
        <v>140</v>
      </c>
      <c r="H85" s="17" t="s">
        <v>129</v>
      </c>
      <c r="I85" s="19">
        <v>43916.0</v>
      </c>
      <c r="J85" s="19">
        <v>43927.0</v>
      </c>
      <c r="K85" s="17">
        <f t="shared" si="1"/>
        <v>11</v>
      </c>
      <c r="L85" s="17">
        <v>1.0</v>
      </c>
      <c r="M85" s="17">
        <f t="shared" si="2"/>
        <v>10</v>
      </c>
      <c r="N85" s="19">
        <v>43916.0</v>
      </c>
      <c r="O85" s="19">
        <v>43940.0</v>
      </c>
      <c r="P85" s="17">
        <f t="shared" si="3"/>
        <v>24</v>
      </c>
      <c r="Q85" s="17">
        <v>90.0</v>
      </c>
      <c r="R85" s="17">
        <f t="shared" si="4"/>
        <v>-66</v>
      </c>
      <c r="S85" s="17" t="s">
        <v>356</v>
      </c>
      <c r="T85" s="17" t="s">
        <v>357</v>
      </c>
      <c r="U85" s="17" t="s">
        <v>117</v>
      </c>
      <c r="V85" s="17" t="s">
        <v>207</v>
      </c>
      <c r="W85" s="17" t="s">
        <v>182</v>
      </c>
      <c r="X85" s="17" t="s">
        <v>284</v>
      </c>
      <c r="Y85" s="17">
        <v>2024.0</v>
      </c>
      <c r="Z85" s="17" t="s">
        <v>135</v>
      </c>
      <c r="AA85" s="17">
        <v>2198.0</v>
      </c>
      <c r="AB85" s="17">
        <v>16.0</v>
      </c>
      <c r="AC85" s="17">
        <v>5.0</v>
      </c>
      <c r="AD85" s="20">
        <v>720000.0</v>
      </c>
      <c r="AE85" s="20">
        <v>53038.7</v>
      </c>
      <c r="AF85" s="21">
        <v>0.07</v>
      </c>
      <c r="AG85" s="20">
        <v>7373.47</v>
      </c>
      <c r="AH85" s="20">
        <v>2297.0</v>
      </c>
      <c r="AI85" s="17">
        <v>7.75</v>
      </c>
      <c r="AJ85" s="20">
        <v>266400.0</v>
      </c>
      <c r="AK85" s="17">
        <v>37.0</v>
      </c>
      <c r="AL85" s="19">
        <v>43940.0</v>
      </c>
      <c r="AM85" s="19">
        <v>45766.0</v>
      </c>
      <c r="AN85" s="17">
        <v>60.0</v>
      </c>
      <c r="AO85" s="17">
        <v>3000.0</v>
      </c>
      <c r="AP85" s="17">
        <v>180000.0</v>
      </c>
      <c r="AQ85" s="19">
        <v>46142.0</v>
      </c>
      <c r="AR85" s="17">
        <v>32574.0</v>
      </c>
      <c r="AS85" s="17">
        <v>35507.0</v>
      </c>
      <c r="AT85" s="17">
        <v>2933.0</v>
      </c>
      <c r="AU85" s="17">
        <v>34856.0</v>
      </c>
      <c r="AV85" s="17">
        <v>2905.0</v>
      </c>
      <c r="AW85" s="20">
        <v>10944.82</v>
      </c>
      <c r="AX85" s="20">
        <v>1350.0</v>
      </c>
      <c r="AY85" s="20">
        <v>125.0</v>
      </c>
      <c r="AZ85" s="20">
        <v>290.99</v>
      </c>
      <c r="BA85" s="20">
        <v>1083.24</v>
      </c>
      <c r="BB85" s="20">
        <v>13794.05</v>
      </c>
      <c r="BC85" s="20">
        <v>2069.11</v>
      </c>
      <c r="BD85" s="20">
        <v>15863.16</v>
      </c>
      <c r="BE85" s="19">
        <v>45748.0</v>
      </c>
      <c r="BF85" s="19">
        <v>45838.0</v>
      </c>
      <c r="BG85" s="17">
        <v>28283.0</v>
      </c>
      <c r="BH85" s="17">
        <v>35507.0</v>
      </c>
      <c r="BI85" s="17">
        <v>7224.0</v>
      </c>
      <c r="BJ85" s="17">
        <v>9000.0</v>
      </c>
      <c r="BK85" s="17">
        <v>-1776.0</v>
      </c>
      <c r="BL85" s="20">
        <v>0.52</v>
      </c>
      <c r="BM85" s="20">
        <v>2.52</v>
      </c>
      <c r="BN85" s="20">
        <v>0.0</v>
      </c>
      <c r="BO85" s="20">
        <v>0.0</v>
      </c>
      <c r="BP85" s="20">
        <v>0.0</v>
      </c>
      <c r="BQ85" s="20">
        <v>-119.88</v>
      </c>
      <c r="BR85" s="20">
        <v>0.0</v>
      </c>
      <c r="BS85" s="20">
        <v>0.0</v>
      </c>
      <c r="BT85" s="20">
        <v>0.0</v>
      </c>
      <c r="BU85" s="20">
        <v>0.0</v>
      </c>
      <c r="BV85" s="20">
        <v>0.0</v>
      </c>
      <c r="BW85" s="20">
        <v>0.0</v>
      </c>
      <c r="BX85" s="20">
        <v>0.0</v>
      </c>
      <c r="BY85" s="20">
        <v>7452.31</v>
      </c>
      <c r="BZ85" s="17">
        <v>0.0</v>
      </c>
      <c r="CA85" s="20">
        <v>0.0</v>
      </c>
      <c r="CB85" s="17">
        <v>0.0</v>
      </c>
      <c r="CC85" s="20">
        <v>0.0</v>
      </c>
      <c r="CD85" s="20">
        <v>0.0</v>
      </c>
      <c r="CE85" s="20">
        <v>0.0</v>
      </c>
      <c r="CF85" s="20">
        <v>0.0</v>
      </c>
      <c r="CG85" s="20">
        <v>0.0</v>
      </c>
      <c r="CH85" s="20">
        <v>14944.08</v>
      </c>
      <c r="CI85" s="20">
        <v>1949.23</v>
      </c>
      <c r="CJ85" s="20">
        <v>12994.85</v>
      </c>
      <c r="CK85" s="20">
        <v>4.43</v>
      </c>
      <c r="CL85" s="17">
        <v>0.0</v>
      </c>
      <c r="CM85" s="17">
        <v>0.0</v>
      </c>
      <c r="CN85" s="17">
        <v>0.0</v>
      </c>
      <c r="CO85" s="17">
        <v>100.0</v>
      </c>
      <c r="CP85" s="19"/>
      <c r="CQ85" s="17">
        <v>0.0</v>
      </c>
      <c r="CR85" s="17">
        <v>0.0</v>
      </c>
      <c r="CS85" s="17">
        <v>0.0</v>
      </c>
      <c r="CT85" s="17">
        <v>-3609.0</v>
      </c>
      <c r="CU85" s="19">
        <v>47299.0</v>
      </c>
      <c r="CV85" s="19">
        <v>47299.0</v>
      </c>
      <c r="CW85" s="17">
        <v>180651.0</v>
      </c>
      <c r="CX85" s="17" t="s">
        <v>122</v>
      </c>
      <c r="CY85" s="17" t="s">
        <v>123</v>
      </c>
      <c r="CZ85" s="20">
        <v>893.88</v>
      </c>
      <c r="DA85" s="20">
        <v>4331.88</v>
      </c>
      <c r="DB85" s="20">
        <v>-2397.6</v>
      </c>
      <c r="DC85" s="20">
        <v>0.45</v>
      </c>
      <c r="DD85" s="20">
        <v>-799.2</v>
      </c>
      <c r="DE85" s="20">
        <v>-919.08</v>
      </c>
      <c r="DF85" s="17"/>
    </row>
    <row r="86" ht="13.5" customHeight="1">
      <c r="A86" s="17" t="s">
        <v>175</v>
      </c>
      <c r="B86" s="18">
        <v>43891.0</v>
      </c>
      <c r="C86" s="17" t="s">
        <v>136</v>
      </c>
      <c r="D86" s="17" t="s">
        <v>125</v>
      </c>
      <c r="E86" s="17" t="s">
        <v>126</v>
      </c>
      <c r="F86" s="17" t="s">
        <v>176</v>
      </c>
      <c r="G86" s="17" t="s">
        <v>140</v>
      </c>
      <c r="H86" s="17" t="s">
        <v>141</v>
      </c>
      <c r="I86" s="19">
        <v>43917.0</v>
      </c>
      <c r="J86" s="19">
        <v>43928.0</v>
      </c>
      <c r="K86" s="17">
        <f t="shared" si="1"/>
        <v>11</v>
      </c>
      <c r="L86" s="17">
        <v>1.0</v>
      </c>
      <c r="M86" s="17">
        <f t="shared" si="2"/>
        <v>10</v>
      </c>
      <c r="N86" s="19">
        <v>43917.0</v>
      </c>
      <c r="O86" s="19">
        <v>43941.0</v>
      </c>
      <c r="P86" s="17">
        <f t="shared" si="3"/>
        <v>24</v>
      </c>
      <c r="Q86" s="17">
        <v>90.0</v>
      </c>
      <c r="R86" s="17">
        <f t="shared" si="4"/>
        <v>-66</v>
      </c>
      <c r="S86" s="17" t="s">
        <v>358</v>
      </c>
      <c r="T86" s="17" t="s">
        <v>359</v>
      </c>
      <c r="U86" s="17" t="s">
        <v>117</v>
      </c>
      <c r="V86" s="17" t="s">
        <v>147</v>
      </c>
      <c r="W86" s="17" t="s">
        <v>133</v>
      </c>
      <c r="X86" s="17" t="s">
        <v>168</v>
      </c>
      <c r="Y86" s="17">
        <v>2024.0</v>
      </c>
      <c r="Z86" s="17" t="s">
        <v>135</v>
      </c>
      <c r="AA86" s="17">
        <v>2498.0</v>
      </c>
      <c r="AB86" s="17">
        <v>16.0</v>
      </c>
      <c r="AC86" s="17">
        <v>0.0</v>
      </c>
      <c r="AD86" s="20">
        <v>460956.52</v>
      </c>
      <c r="AE86" s="20">
        <v>86959.0</v>
      </c>
      <c r="AF86" s="21">
        <v>0.19</v>
      </c>
      <c r="AG86" s="20">
        <v>29194.21</v>
      </c>
      <c r="AH86" s="20">
        <v>2420.03</v>
      </c>
      <c r="AI86" s="17">
        <v>7.75</v>
      </c>
      <c r="AJ86" s="20">
        <v>193602.0</v>
      </c>
      <c r="AK86" s="17">
        <v>42.0</v>
      </c>
      <c r="AL86" s="19">
        <v>43941.0</v>
      </c>
      <c r="AM86" s="19">
        <v>45767.0</v>
      </c>
      <c r="AN86" s="17">
        <v>60.0</v>
      </c>
      <c r="AO86" s="17">
        <v>2000.0</v>
      </c>
      <c r="AP86" s="17">
        <v>72000.0</v>
      </c>
      <c r="AQ86" s="19">
        <v>46173.0</v>
      </c>
      <c r="AR86" s="17">
        <v>28400.0</v>
      </c>
      <c r="AS86" s="17">
        <v>31217.0</v>
      </c>
      <c r="AT86" s="17">
        <v>2817.0</v>
      </c>
      <c r="AU86" s="17">
        <v>30405.0</v>
      </c>
      <c r="AV86" s="17">
        <v>2534.0</v>
      </c>
      <c r="AW86" s="20">
        <v>8713.51</v>
      </c>
      <c r="AX86" s="20">
        <v>1580.0</v>
      </c>
      <c r="AY86" s="20">
        <v>125.0</v>
      </c>
      <c r="AZ86" s="20">
        <v>290.99</v>
      </c>
      <c r="BA86" s="20">
        <v>1083.24</v>
      </c>
      <c r="BB86" s="20">
        <v>11792.74</v>
      </c>
      <c r="BC86" s="20">
        <v>1768.91</v>
      </c>
      <c r="BD86" s="20">
        <v>13561.65</v>
      </c>
      <c r="BE86" s="19">
        <v>45748.0</v>
      </c>
      <c r="BF86" s="19">
        <v>45838.0</v>
      </c>
      <c r="BG86" s="17">
        <v>20201.0</v>
      </c>
      <c r="BH86" s="17">
        <v>31217.0</v>
      </c>
      <c r="BI86" s="17">
        <v>11016.0</v>
      </c>
      <c r="BJ86" s="17">
        <v>6000.0</v>
      </c>
      <c r="BK86" s="17">
        <v>5016.0</v>
      </c>
      <c r="BL86" s="20">
        <v>0.91</v>
      </c>
      <c r="BM86" s="20">
        <v>3.71</v>
      </c>
      <c r="BN86" s="20">
        <v>4564.56</v>
      </c>
      <c r="BO86" s="20">
        <v>18609.36</v>
      </c>
      <c r="BP86" s="20">
        <v>23173.92</v>
      </c>
      <c r="BQ86" s="20">
        <v>3476.09</v>
      </c>
      <c r="BR86" s="20">
        <v>26650.01</v>
      </c>
      <c r="BS86" s="20">
        <v>0.0</v>
      </c>
      <c r="BT86" s="20">
        <v>0.0</v>
      </c>
      <c r="BU86" s="20">
        <v>0.0</v>
      </c>
      <c r="BV86" s="20">
        <v>0.0</v>
      </c>
      <c r="BW86" s="20">
        <v>0.0</v>
      </c>
      <c r="BX86" s="20">
        <v>0.0</v>
      </c>
      <c r="BY86" s="20">
        <v>6480.88</v>
      </c>
      <c r="BZ86" s="17">
        <v>0.0</v>
      </c>
      <c r="CA86" s="20">
        <v>0.0</v>
      </c>
      <c r="CB86" s="17">
        <v>0.0</v>
      </c>
      <c r="CC86" s="20">
        <v>0.0</v>
      </c>
      <c r="CD86" s="20">
        <v>0.0</v>
      </c>
      <c r="CE86" s="20">
        <v>0.0</v>
      </c>
      <c r="CF86" s="20">
        <v>0.0</v>
      </c>
      <c r="CG86" s="20">
        <v>0.0</v>
      </c>
      <c r="CH86" s="20">
        <v>40211.66</v>
      </c>
      <c r="CI86" s="20">
        <v>5245.0</v>
      </c>
      <c r="CJ86" s="20">
        <v>34966.66</v>
      </c>
      <c r="CK86" s="20">
        <v>12.41</v>
      </c>
      <c r="CL86" s="17">
        <v>0.0</v>
      </c>
      <c r="CM86" s="17">
        <v>0.0</v>
      </c>
      <c r="CN86" s="17">
        <v>0.0</v>
      </c>
      <c r="CO86" s="17">
        <v>100.0</v>
      </c>
      <c r="CP86" s="19"/>
      <c r="CQ86" s="17">
        <v>0.0</v>
      </c>
      <c r="CR86" s="17">
        <v>0.0</v>
      </c>
      <c r="CS86" s="17">
        <v>0.0</v>
      </c>
      <c r="CT86" s="17">
        <v>5156.0</v>
      </c>
      <c r="CU86" s="19">
        <v>46568.0</v>
      </c>
      <c r="CV86" s="19">
        <v>46568.0</v>
      </c>
      <c r="CW86" s="17">
        <v>72812.0</v>
      </c>
      <c r="CX86" s="17" t="s">
        <v>122</v>
      </c>
      <c r="CY86" s="17" t="s">
        <v>123</v>
      </c>
      <c r="CZ86" s="20">
        <v>8277.36</v>
      </c>
      <c r="DA86" s="20">
        <v>33746.16</v>
      </c>
      <c r="DB86" s="20">
        <v>-3112.6</v>
      </c>
      <c r="DC86" s="20">
        <v>0.79</v>
      </c>
      <c r="DD86" s="20">
        <v>0.0</v>
      </c>
      <c r="DE86" s="20">
        <v>0.0</v>
      </c>
      <c r="DF86" s="17"/>
    </row>
    <row r="87" ht="13.5" customHeight="1">
      <c r="A87" s="17" t="s">
        <v>175</v>
      </c>
      <c r="B87" s="18">
        <v>43891.0</v>
      </c>
      <c r="C87" s="17" t="s">
        <v>109</v>
      </c>
      <c r="D87" s="17" t="s">
        <v>137</v>
      </c>
      <c r="E87" s="17" t="s">
        <v>138</v>
      </c>
      <c r="F87" s="17" t="s">
        <v>172</v>
      </c>
      <c r="G87" s="17" t="s">
        <v>140</v>
      </c>
      <c r="H87" s="17" t="s">
        <v>114</v>
      </c>
      <c r="I87" s="19">
        <v>43918.0</v>
      </c>
      <c r="J87" s="19">
        <v>43929.0</v>
      </c>
      <c r="K87" s="17">
        <f t="shared" si="1"/>
        <v>11</v>
      </c>
      <c r="L87" s="17">
        <v>1.0</v>
      </c>
      <c r="M87" s="17">
        <f t="shared" si="2"/>
        <v>10</v>
      </c>
      <c r="N87" s="19">
        <v>43918.0</v>
      </c>
      <c r="O87" s="19">
        <v>44033.0</v>
      </c>
      <c r="P87" s="17">
        <f t="shared" si="3"/>
        <v>115</v>
      </c>
      <c r="Q87" s="17">
        <v>90.0</v>
      </c>
      <c r="R87" s="17">
        <f t="shared" si="4"/>
        <v>25</v>
      </c>
      <c r="S87" s="17" t="s">
        <v>360</v>
      </c>
      <c r="T87" s="17" t="s">
        <v>361</v>
      </c>
      <c r="U87" s="17" t="s">
        <v>117</v>
      </c>
      <c r="V87" s="17" t="s">
        <v>190</v>
      </c>
      <c r="W87" s="17" t="s">
        <v>194</v>
      </c>
      <c r="X87" s="17" t="s">
        <v>195</v>
      </c>
      <c r="Y87" s="17">
        <v>2024.0</v>
      </c>
      <c r="Z87" s="17" t="s">
        <v>121</v>
      </c>
      <c r="AA87" s="17">
        <v>1198.0</v>
      </c>
      <c r="AB87" s="17">
        <v>16.0</v>
      </c>
      <c r="AC87" s="17">
        <v>6.0</v>
      </c>
      <c r="AD87" s="20">
        <v>184260.87</v>
      </c>
      <c r="AE87" s="20">
        <v>11200.0</v>
      </c>
      <c r="AF87" s="21">
        <v>0.06</v>
      </c>
      <c r="AG87" s="20">
        <v>13201.89</v>
      </c>
      <c r="AH87" s="20">
        <v>1689.5</v>
      </c>
      <c r="AI87" s="17">
        <v>7.75</v>
      </c>
      <c r="AJ87" s="20">
        <v>82960.22</v>
      </c>
      <c r="AK87" s="17">
        <v>88.94</v>
      </c>
      <c r="AL87" s="19">
        <v>44033.0</v>
      </c>
      <c r="AM87" s="19">
        <v>45859.0</v>
      </c>
      <c r="AN87" s="17">
        <v>60.0</v>
      </c>
      <c r="AO87" s="17">
        <v>10000.0</v>
      </c>
      <c r="AP87" s="17">
        <v>174140.0</v>
      </c>
      <c r="AQ87" s="19">
        <v>46173.0</v>
      </c>
      <c r="AR87" s="17">
        <v>134760.0</v>
      </c>
      <c r="AS87" s="17">
        <v>143799.0</v>
      </c>
      <c r="AT87" s="17">
        <v>9039.0</v>
      </c>
      <c r="AU87" s="17">
        <v>143179.0</v>
      </c>
      <c r="AV87" s="17">
        <v>11932.0</v>
      </c>
      <c r="AW87" s="20">
        <v>4893.2</v>
      </c>
      <c r="AX87" s="20">
        <v>3300.0</v>
      </c>
      <c r="AY87" s="20">
        <v>115.0</v>
      </c>
      <c r="AZ87" s="20">
        <v>290.99</v>
      </c>
      <c r="BA87" s="20">
        <v>1119.45</v>
      </c>
      <c r="BB87" s="20">
        <v>9718.64</v>
      </c>
      <c r="BC87" s="20">
        <v>1457.8</v>
      </c>
      <c r="BD87" s="20">
        <v>11176.44</v>
      </c>
      <c r="BE87" s="19">
        <v>45748.0</v>
      </c>
      <c r="BF87" s="19">
        <v>45838.0</v>
      </c>
      <c r="BG87" s="17">
        <v>111456.0</v>
      </c>
      <c r="BH87" s="17">
        <v>143799.0</v>
      </c>
      <c r="BI87" s="17">
        <v>32343.0</v>
      </c>
      <c r="BJ87" s="17">
        <v>40000.0</v>
      </c>
      <c r="BK87" s="17">
        <v>-7657.0</v>
      </c>
      <c r="BL87" s="20">
        <v>0.38</v>
      </c>
      <c r="BM87" s="20">
        <v>0.57</v>
      </c>
      <c r="BN87" s="20">
        <v>0.0</v>
      </c>
      <c r="BO87" s="20">
        <v>0.0</v>
      </c>
      <c r="BP87" s="20">
        <v>0.0</v>
      </c>
      <c r="BQ87" s="20">
        <v>-379.02</v>
      </c>
      <c r="BR87" s="20">
        <v>0.0</v>
      </c>
      <c r="BS87" s="20">
        <v>0.0</v>
      </c>
      <c r="BT87" s="20">
        <v>0.0</v>
      </c>
      <c r="BU87" s="20">
        <v>0.0</v>
      </c>
      <c r="BV87" s="20">
        <v>0.0</v>
      </c>
      <c r="BW87" s="20">
        <v>0.0</v>
      </c>
      <c r="BX87" s="20">
        <v>0.0</v>
      </c>
      <c r="BY87" s="20">
        <v>11519.03</v>
      </c>
      <c r="BZ87" s="17">
        <v>0.0</v>
      </c>
      <c r="CA87" s="20">
        <v>0.0</v>
      </c>
      <c r="CB87" s="17">
        <v>0.0</v>
      </c>
      <c r="CC87" s="20">
        <v>0.0</v>
      </c>
      <c r="CD87" s="20">
        <v>0.0</v>
      </c>
      <c r="CE87" s="20">
        <v>0.0</v>
      </c>
      <c r="CF87" s="20">
        <v>0.0</v>
      </c>
      <c r="CG87" s="20">
        <v>0.0</v>
      </c>
      <c r="CH87" s="20">
        <v>8270.61</v>
      </c>
      <c r="CI87" s="20">
        <v>1078.78</v>
      </c>
      <c r="CJ87" s="20">
        <v>7191.83</v>
      </c>
      <c r="CK87" s="20">
        <v>0.8</v>
      </c>
      <c r="CL87" s="17">
        <v>0.0</v>
      </c>
      <c r="CM87" s="17">
        <v>0.0</v>
      </c>
      <c r="CN87" s="17">
        <v>0.0</v>
      </c>
      <c r="CO87" s="17">
        <v>100.0</v>
      </c>
      <c r="CP87" s="19"/>
      <c r="CQ87" s="17">
        <v>0.0</v>
      </c>
      <c r="CR87" s="17">
        <v>0.0</v>
      </c>
      <c r="CS87" s="17">
        <v>0.0</v>
      </c>
      <c r="CT87" s="17">
        <v>-42177.0</v>
      </c>
      <c r="CU87" s="19">
        <v>45930.0</v>
      </c>
      <c r="CV87" s="19">
        <v>45930.0</v>
      </c>
      <c r="CW87" s="17">
        <v>174760.0</v>
      </c>
      <c r="CX87" s="17" t="s">
        <v>122</v>
      </c>
      <c r="CY87" s="17" t="s">
        <v>123</v>
      </c>
      <c r="CZ87" s="20">
        <v>3494.37</v>
      </c>
      <c r="DA87" s="20">
        <v>0.0</v>
      </c>
      <c r="DB87" s="20">
        <v>-17412.78</v>
      </c>
      <c r="DC87" s="20">
        <v>0.33</v>
      </c>
      <c r="DD87" s="20">
        <v>-2526.81</v>
      </c>
      <c r="DE87" s="20">
        <v>-2905.83</v>
      </c>
      <c r="DF87" s="17"/>
    </row>
    <row r="88" ht="13.5" customHeight="1">
      <c r="A88" s="17" t="s">
        <v>175</v>
      </c>
      <c r="B88" s="18">
        <v>43891.0</v>
      </c>
      <c r="C88" s="17" t="s">
        <v>124</v>
      </c>
      <c r="D88" s="17" t="s">
        <v>110</v>
      </c>
      <c r="E88" s="17" t="s">
        <v>111</v>
      </c>
      <c r="F88" s="17" t="s">
        <v>176</v>
      </c>
      <c r="G88" s="17" t="s">
        <v>140</v>
      </c>
      <c r="H88" s="17" t="s">
        <v>129</v>
      </c>
      <c r="I88" s="19">
        <v>43919.0</v>
      </c>
      <c r="J88" s="19">
        <v>43930.0</v>
      </c>
      <c r="K88" s="17">
        <f t="shared" si="1"/>
        <v>11</v>
      </c>
      <c r="L88" s="17">
        <v>1.0</v>
      </c>
      <c r="M88" s="17">
        <f t="shared" si="2"/>
        <v>10</v>
      </c>
      <c r="N88" s="19">
        <v>43919.0</v>
      </c>
      <c r="O88" s="19">
        <v>43943.0</v>
      </c>
      <c r="P88" s="17">
        <f t="shared" si="3"/>
        <v>24</v>
      </c>
      <c r="Q88" s="17">
        <v>90.0</v>
      </c>
      <c r="R88" s="17">
        <f t="shared" si="4"/>
        <v>-66</v>
      </c>
      <c r="S88" s="17" t="s">
        <v>362</v>
      </c>
      <c r="T88" s="17" t="s">
        <v>363</v>
      </c>
      <c r="U88" s="17" t="s">
        <v>117</v>
      </c>
      <c r="V88" s="17" t="s">
        <v>147</v>
      </c>
      <c r="W88" s="17" t="s">
        <v>133</v>
      </c>
      <c r="X88" s="17" t="s">
        <v>168</v>
      </c>
      <c r="Y88" s="17">
        <v>2024.0</v>
      </c>
      <c r="Z88" s="17" t="s">
        <v>135</v>
      </c>
      <c r="AA88" s="17">
        <v>2498.0</v>
      </c>
      <c r="AB88" s="17">
        <v>16.0</v>
      </c>
      <c r="AC88" s="17">
        <v>0.0</v>
      </c>
      <c r="AD88" s="20">
        <v>460956.52</v>
      </c>
      <c r="AE88" s="20">
        <v>86959.0</v>
      </c>
      <c r="AF88" s="21">
        <v>0.19</v>
      </c>
      <c r="AG88" s="20">
        <v>29016.89</v>
      </c>
      <c r="AH88" s="20">
        <v>2514.0</v>
      </c>
      <c r="AI88" s="17">
        <v>7.75</v>
      </c>
      <c r="AJ88" s="20">
        <v>193602.0</v>
      </c>
      <c r="AK88" s="17">
        <v>42.0</v>
      </c>
      <c r="AL88" s="19">
        <v>43943.0</v>
      </c>
      <c r="AM88" s="19">
        <v>45769.0</v>
      </c>
      <c r="AN88" s="17">
        <v>60.0</v>
      </c>
      <c r="AO88" s="17">
        <v>2000.0</v>
      </c>
      <c r="AP88" s="17">
        <v>72000.0</v>
      </c>
      <c r="AQ88" s="19">
        <v>46173.0</v>
      </c>
      <c r="AR88" s="17">
        <v>16998.0</v>
      </c>
      <c r="AS88" s="17">
        <v>18769.0</v>
      </c>
      <c r="AT88" s="17">
        <v>1771.0</v>
      </c>
      <c r="AU88" s="17">
        <v>18174.0</v>
      </c>
      <c r="AV88" s="17">
        <v>1515.0</v>
      </c>
      <c r="AW88" s="20">
        <v>8710.85</v>
      </c>
      <c r="AX88" s="20">
        <v>1580.0</v>
      </c>
      <c r="AY88" s="20">
        <v>125.0</v>
      </c>
      <c r="AZ88" s="20">
        <v>290.99</v>
      </c>
      <c r="BA88" s="20">
        <v>1083.24</v>
      </c>
      <c r="BB88" s="20">
        <v>11790.08</v>
      </c>
      <c r="BC88" s="20">
        <v>1768.51</v>
      </c>
      <c r="BD88" s="20">
        <v>13558.59</v>
      </c>
      <c r="BE88" s="19">
        <v>45748.0</v>
      </c>
      <c r="BF88" s="19">
        <v>45838.0</v>
      </c>
      <c r="BG88" s="17">
        <v>14981.0</v>
      </c>
      <c r="BH88" s="17">
        <v>18769.0</v>
      </c>
      <c r="BI88" s="17">
        <v>3788.0</v>
      </c>
      <c r="BJ88" s="17">
        <v>6000.0</v>
      </c>
      <c r="BK88" s="17">
        <v>-2212.0</v>
      </c>
      <c r="BL88" s="20">
        <v>0.91</v>
      </c>
      <c r="BM88" s="20">
        <v>3.71</v>
      </c>
      <c r="BN88" s="20">
        <v>0.0</v>
      </c>
      <c r="BO88" s="20">
        <v>0.0</v>
      </c>
      <c r="BP88" s="20">
        <v>0.0</v>
      </c>
      <c r="BQ88" s="20">
        <v>-262.12</v>
      </c>
      <c r="BR88" s="20">
        <v>0.0</v>
      </c>
      <c r="BS88" s="20">
        <v>0.0</v>
      </c>
      <c r="BT88" s="20">
        <v>0.0</v>
      </c>
      <c r="BU88" s="20">
        <v>0.0</v>
      </c>
      <c r="BV88" s="20">
        <v>0.0</v>
      </c>
      <c r="BW88" s="20">
        <v>0.0</v>
      </c>
      <c r="BX88" s="20">
        <v>0.0</v>
      </c>
      <c r="BY88" s="20">
        <v>1471.39</v>
      </c>
      <c r="BZ88" s="17">
        <v>0.0</v>
      </c>
      <c r="CA88" s="20">
        <v>0.0</v>
      </c>
      <c r="CB88" s="17">
        <v>0.0</v>
      </c>
      <c r="CC88" s="20">
        <v>0.0</v>
      </c>
      <c r="CD88" s="20">
        <v>0.0</v>
      </c>
      <c r="CE88" s="20">
        <v>0.0</v>
      </c>
      <c r="CF88" s="20">
        <v>0.0</v>
      </c>
      <c r="CG88" s="20">
        <v>0.0</v>
      </c>
      <c r="CH88" s="20">
        <v>11548.99</v>
      </c>
      <c r="CI88" s="20">
        <v>1506.39</v>
      </c>
      <c r="CJ88" s="20">
        <v>10042.6</v>
      </c>
      <c r="CK88" s="20">
        <v>5.67</v>
      </c>
      <c r="CL88" s="17">
        <v>0.0</v>
      </c>
      <c r="CM88" s="17">
        <v>0.0</v>
      </c>
      <c r="CN88" s="17">
        <v>0.0</v>
      </c>
      <c r="CO88" s="17">
        <v>100.0</v>
      </c>
      <c r="CP88" s="19"/>
      <c r="CQ88" s="17">
        <v>0.0</v>
      </c>
      <c r="CR88" s="17">
        <v>0.0</v>
      </c>
      <c r="CS88" s="17">
        <v>0.0</v>
      </c>
      <c r="CT88" s="17">
        <v>-7075.0</v>
      </c>
      <c r="CU88" s="19">
        <v>46568.0</v>
      </c>
      <c r="CV88" s="19">
        <v>46568.0</v>
      </c>
      <c r="CW88" s="17">
        <v>72595.0</v>
      </c>
      <c r="CX88" s="17" t="s">
        <v>122</v>
      </c>
      <c r="CY88" s="17" t="s">
        <v>123</v>
      </c>
      <c r="CZ88" s="20">
        <v>1440.53</v>
      </c>
      <c r="DA88" s="20">
        <v>5872.93</v>
      </c>
      <c r="DB88" s="20">
        <v>-6839.82</v>
      </c>
      <c r="DC88" s="20">
        <v>0.79</v>
      </c>
      <c r="DD88" s="20">
        <v>-1747.48</v>
      </c>
      <c r="DE88" s="20">
        <v>-2009.6</v>
      </c>
      <c r="DF88" s="17"/>
    </row>
    <row r="89" ht="13.5" customHeight="1">
      <c r="A89" s="17" t="s">
        <v>175</v>
      </c>
      <c r="B89" s="18">
        <v>43891.0</v>
      </c>
      <c r="C89" s="17" t="s">
        <v>136</v>
      </c>
      <c r="D89" s="17" t="s">
        <v>125</v>
      </c>
      <c r="E89" s="17" t="s">
        <v>126</v>
      </c>
      <c r="F89" s="17" t="s">
        <v>176</v>
      </c>
      <c r="G89" s="17" t="s">
        <v>140</v>
      </c>
      <c r="H89" s="17" t="s">
        <v>141</v>
      </c>
      <c r="I89" s="19">
        <v>43920.0</v>
      </c>
      <c r="J89" s="19">
        <v>43931.0</v>
      </c>
      <c r="K89" s="17">
        <f t="shared" si="1"/>
        <v>11</v>
      </c>
      <c r="L89" s="17">
        <v>1.0</v>
      </c>
      <c r="M89" s="17">
        <f t="shared" si="2"/>
        <v>10</v>
      </c>
      <c r="N89" s="19">
        <v>43920.0</v>
      </c>
      <c r="O89" s="19">
        <v>43944.0</v>
      </c>
      <c r="P89" s="17">
        <f t="shared" si="3"/>
        <v>24</v>
      </c>
      <c r="Q89" s="17">
        <v>90.0</v>
      </c>
      <c r="R89" s="17">
        <f t="shared" si="4"/>
        <v>-66</v>
      </c>
      <c r="S89" s="17" t="s">
        <v>364</v>
      </c>
      <c r="T89" s="17" t="s">
        <v>365</v>
      </c>
      <c r="U89" s="17" t="s">
        <v>117</v>
      </c>
      <c r="V89" s="17" t="s">
        <v>147</v>
      </c>
      <c r="W89" s="17" t="s">
        <v>133</v>
      </c>
      <c r="X89" s="17" t="s">
        <v>168</v>
      </c>
      <c r="Y89" s="17">
        <v>2024.0</v>
      </c>
      <c r="Z89" s="17" t="s">
        <v>135</v>
      </c>
      <c r="AA89" s="17">
        <v>2498.0</v>
      </c>
      <c r="AB89" s="17">
        <v>16.0</v>
      </c>
      <c r="AC89" s="17">
        <v>0.0</v>
      </c>
      <c r="AD89" s="20">
        <v>460956.52</v>
      </c>
      <c r="AE89" s="20">
        <v>86959.0</v>
      </c>
      <c r="AF89" s="21">
        <v>0.19</v>
      </c>
      <c r="AG89" s="20">
        <v>30635.28</v>
      </c>
      <c r="AH89" s="20">
        <v>2514.0</v>
      </c>
      <c r="AI89" s="17">
        <v>7.75</v>
      </c>
      <c r="AJ89" s="20">
        <v>193602.0</v>
      </c>
      <c r="AK89" s="17">
        <v>42.0</v>
      </c>
      <c r="AL89" s="19">
        <v>43944.0</v>
      </c>
      <c r="AM89" s="19">
        <v>45770.0</v>
      </c>
      <c r="AN89" s="17">
        <v>60.0</v>
      </c>
      <c r="AO89" s="17">
        <v>2000.0</v>
      </c>
      <c r="AP89" s="17">
        <v>72000.0</v>
      </c>
      <c r="AQ89" s="19">
        <v>46173.0</v>
      </c>
      <c r="AR89" s="17">
        <v>28432.0</v>
      </c>
      <c r="AS89" s="17">
        <v>33263.0</v>
      </c>
      <c r="AT89" s="17">
        <v>4831.0</v>
      </c>
      <c r="AU89" s="17">
        <v>32666.0</v>
      </c>
      <c r="AV89" s="17">
        <v>2722.0</v>
      </c>
      <c r="AW89" s="20">
        <v>8761.48</v>
      </c>
      <c r="AX89" s="20">
        <v>1580.0</v>
      </c>
      <c r="AY89" s="20">
        <v>125.0</v>
      </c>
      <c r="AZ89" s="20">
        <v>290.99</v>
      </c>
      <c r="BA89" s="20">
        <v>1083.24</v>
      </c>
      <c r="BB89" s="20">
        <v>11840.71</v>
      </c>
      <c r="BC89" s="20">
        <v>1776.11</v>
      </c>
      <c r="BD89" s="20">
        <v>13616.82</v>
      </c>
      <c r="BE89" s="19">
        <v>45748.0</v>
      </c>
      <c r="BF89" s="19">
        <v>45838.0</v>
      </c>
      <c r="BG89" s="17">
        <v>16366.0</v>
      </c>
      <c r="BH89" s="17">
        <v>33263.0</v>
      </c>
      <c r="BI89" s="17">
        <v>16897.0</v>
      </c>
      <c r="BJ89" s="17">
        <v>6000.0</v>
      </c>
      <c r="BK89" s="17">
        <v>10897.0</v>
      </c>
      <c r="BL89" s="20">
        <v>0.91</v>
      </c>
      <c r="BM89" s="20">
        <v>3.71</v>
      </c>
      <c r="BN89" s="20">
        <v>9916.27</v>
      </c>
      <c r="BO89" s="20">
        <v>40427.87</v>
      </c>
      <c r="BP89" s="20">
        <v>50344.14</v>
      </c>
      <c r="BQ89" s="20">
        <v>7551.62</v>
      </c>
      <c r="BR89" s="20">
        <v>57895.76</v>
      </c>
      <c r="BS89" s="20">
        <v>0.0</v>
      </c>
      <c r="BT89" s="20">
        <v>0.0</v>
      </c>
      <c r="BU89" s="20">
        <v>0.0</v>
      </c>
      <c r="BV89" s="20">
        <v>0.0</v>
      </c>
      <c r="BW89" s="20">
        <v>0.0</v>
      </c>
      <c r="BX89" s="20">
        <v>0.0</v>
      </c>
      <c r="BY89" s="20">
        <v>9855.54</v>
      </c>
      <c r="BZ89" s="17">
        <v>0.0</v>
      </c>
      <c r="CA89" s="20">
        <v>0.0</v>
      </c>
      <c r="CB89" s="17">
        <v>0.0</v>
      </c>
      <c r="CC89" s="20">
        <v>0.0</v>
      </c>
      <c r="CD89" s="20">
        <v>0.0</v>
      </c>
      <c r="CE89" s="20">
        <v>0.0</v>
      </c>
      <c r="CF89" s="20">
        <v>0.0</v>
      </c>
      <c r="CG89" s="20">
        <v>0.0</v>
      </c>
      <c r="CH89" s="20">
        <v>71512.58</v>
      </c>
      <c r="CI89" s="20">
        <v>9327.73</v>
      </c>
      <c r="CJ89" s="20">
        <v>62184.85</v>
      </c>
      <c r="CK89" s="20">
        <v>12.87</v>
      </c>
      <c r="CL89" s="17">
        <v>0.0</v>
      </c>
      <c r="CM89" s="17">
        <v>0.0</v>
      </c>
      <c r="CN89" s="17">
        <v>0.0</v>
      </c>
      <c r="CO89" s="17">
        <v>100.0</v>
      </c>
      <c r="CP89" s="19"/>
      <c r="CQ89" s="17">
        <v>0.0</v>
      </c>
      <c r="CR89" s="17">
        <v>0.0</v>
      </c>
      <c r="CS89" s="17">
        <v>0.0</v>
      </c>
      <c r="CT89" s="17">
        <v>7417.0</v>
      </c>
      <c r="CU89" s="19">
        <v>46568.0</v>
      </c>
      <c r="CV89" s="19">
        <v>46568.0</v>
      </c>
      <c r="CW89" s="17">
        <v>72597.0</v>
      </c>
      <c r="CX89" s="17" t="s">
        <v>122</v>
      </c>
      <c r="CY89" s="17" t="s">
        <v>123</v>
      </c>
      <c r="CZ89" s="20">
        <v>11714.43</v>
      </c>
      <c r="DA89" s="20">
        <v>47758.83</v>
      </c>
      <c r="DB89" s="20">
        <v>-4310.24</v>
      </c>
      <c r="DC89" s="20">
        <v>0.79</v>
      </c>
      <c r="DD89" s="20">
        <v>0.0</v>
      </c>
      <c r="DE89" s="20">
        <v>0.0</v>
      </c>
      <c r="DF89" s="17"/>
    </row>
    <row r="90" ht="13.5" customHeight="1">
      <c r="A90" s="17" t="s">
        <v>203</v>
      </c>
      <c r="B90" s="18">
        <v>43891.0</v>
      </c>
      <c r="C90" s="17" t="s">
        <v>109</v>
      </c>
      <c r="D90" s="17" t="s">
        <v>137</v>
      </c>
      <c r="E90" s="17" t="s">
        <v>138</v>
      </c>
      <c r="F90" s="17" t="s">
        <v>176</v>
      </c>
      <c r="G90" s="17" t="s">
        <v>140</v>
      </c>
      <c r="H90" s="17" t="s">
        <v>114</v>
      </c>
      <c r="I90" s="19">
        <v>43921.0</v>
      </c>
      <c r="J90" s="19">
        <v>43932.0</v>
      </c>
      <c r="K90" s="17">
        <f t="shared" si="1"/>
        <v>11</v>
      </c>
      <c r="L90" s="17">
        <v>1.0</v>
      </c>
      <c r="M90" s="17">
        <f t="shared" si="2"/>
        <v>10</v>
      </c>
      <c r="N90" s="19">
        <v>43921.0</v>
      </c>
      <c r="O90" s="19">
        <v>43945.0</v>
      </c>
      <c r="P90" s="17">
        <f t="shared" si="3"/>
        <v>24</v>
      </c>
      <c r="Q90" s="17">
        <v>90.0</v>
      </c>
      <c r="R90" s="17">
        <f t="shared" si="4"/>
        <v>-66</v>
      </c>
      <c r="S90" s="17" t="s">
        <v>366</v>
      </c>
      <c r="T90" s="17" t="s">
        <v>367</v>
      </c>
      <c r="U90" s="17" t="s">
        <v>117</v>
      </c>
      <c r="V90" s="17" t="s">
        <v>147</v>
      </c>
      <c r="W90" s="17" t="s">
        <v>133</v>
      </c>
      <c r="X90" s="17" t="s">
        <v>168</v>
      </c>
      <c r="Y90" s="17">
        <v>2024.0</v>
      </c>
      <c r="Z90" s="17" t="s">
        <v>135</v>
      </c>
      <c r="AA90" s="17">
        <v>2498.0</v>
      </c>
      <c r="AB90" s="17">
        <v>16.0</v>
      </c>
      <c r="AC90" s="17">
        <v>0.0</v>
      </c>
      <c r="AD90" s="20">
        <v>460956.52</v>
      </c>
      <c r="AE90" s="20">
        <v>86959.0</v>
      </c>
      <c r="AF90" s="21">
        <v>0.19</v>
      </c>
      <c r="AG90" s="20">
        <v>29202.01</v>
      </c>
      <c r="AH90" s="20">
        <v>2514.0</v>
      </c>
      <c r="AI90" s="17">
        <v>7.75</v>
      </c>
      <c r="AJ90" s="20">
        <v>193602.0</v>
      </c>
      <c r="AK90" s="17">
        <v>42.0</v>
      </c>
      <c r="AL90" s="19">
        <v>43945.0</v>
      </c>
      <c r="AM90" s="19">
        <v>45771.0</v>
      </c>
      <c r="AN90" s="17">
        <v>60.0</v>
      </c>
      <c r="AO90" s="17">
        <v>2000.0</v>
      </c>
      <c r="AP90" s="17">
        <v>72000.0</v>
      </c>
      <c r="AQ90" s="19">
        <v>46173.0</v>
      </c>
      <c r="AR90" s="17">
        <v>21992.0</v>
      </c>
      <c r="AS90" s="17">
        <v>26285.0</v>
      </c>
      <c r="AT90" s="17">
        <v>4293.0</v>
      </c>
      <c r="AU90" s="17">
        <v>25685.0</v>
      </c>
      <c r="AV90" s="17">
        <v>2140.0</v>
      </c>
      <c r="AW90" s="20">
        <v>8716.65</v>
      </c>
      <c r="AX90" s="20">
        <v>1580.0</v>
      </c>
      <c r="AY90" s="20">
        <v>125.0</v>
      </c>
      <c r="AZ90" s="20">
        <v>290.99</v>
      </c>
      <c r="BA90" s="20">
        <v>1083.24</v>
      </c>
      <c r="BB90" s="20">
        <v>11795.88</v>
      </c>
      <c r="BC90" s="20">
        <v>1769.38</v>
      </c>
      <c r="BD90" s="20">
        <v>13565.26</v>
      </c>
      <c r="BE90" s="19">
        <v>45748.0</v>
      </c>
      <c r="BF90" s="19">
        <v>45838.0</v>
      </c>
      <c r="BG90" s="17">
        <v>14552.0</v>
      </c>
      <c r="BH90" s="17">
        <v>26285.0</v>
      </c>
      <c r="BI90" s="17">
        <v>11733.0</v>
      </c>
      <c r="BJ90" s="17">
        <v>6000.0</v>
      </c>
      <c r="BK90" s="17">
        <v>5733.0</v>
      </c>
      <c r="BL90" s="20">
        <v>0.91</v>
      </c>
      <c r="BM90" s="20">
        <v>3.71</v>
      </c>
      <c r="BN90" s="20">
        <v>5217.03</v>
      </c>
      <c r="BO90" s="20">
        <v>21269.43</v>
      </c>
      <c r="BP90" s="20">
        <v>26486.46</v>
      </c>
      <c r="BQ90" s="20">
        <v>3972.97</v>
      </c>
      <c r="BR90" s="20">
        <v>30459.43</v>
      </c>
      <c r="BS90" s="20">
        <v>0.0</v>
      </c>
      <c r="BT90" s="20">
        <v>0.0</v>
      </c>
      <c r="BU90" s="20">
        <v>0.0</v>
      </c>
      <c r="BV90" s="20">
        <v>0.0</v>
      </c>
      <c r="BW90" s="20">
        <v>0.0</v>
      </c>
      <c r="BX90" s="20">
        <v>0.0</v>
      </c>
      <c r="BY90" s="20">
        <v>5599.3</v>
      </c>
      <c r="BZ90" s="17">
        <v>0.0</v>
      </c>
      <c r="CA90" s="20">
        <v>120.0</v>
      </c>
      <c r="CB90" s="17">
        <v>0.0</v>
      </c>
      <c r="CC90" s="20">
        <v>0.0</v>
      </c>
      <c r="CD90" s="20">
        <v>0.0</v>
      </c>
      <c r="CE90" s="20">
        <v>0.0</v>
      </c>
      <c r="CF90" s="20">
        <v>0.0</v>
      </c>
      <c r="CG90" s="20">
        <v>0.0</v>
      </c>
      <c r="CH90" s="20">
        <v>44024.69</v>
      </c>
      <c r="CI90" s="20">
        <v>5742.35</v>
      </c>
      <c r="CJ90" s="20">
        <v>38282.34</v>
      </c>
      <c r="CK90" s="20">
        <v>8.92</v>
      </c>
      <c r="CL90" s="17">
        <v>0.0</v>
      </c>
      <c r="CM90" s="17">
        <v>0.0</v>
      </c>
      <c r="CN90" s="17">
        <v>0.0</v>
      </c>
      <c r="CO90" s="17">
        <v>100.0</v>
      </c>
      <c r="CP90" s="19"/>
      <c r="CQ90" s="17">
        <v>0.0</v>
      </c>
      <c r="CR90" s="17">
        <v>0.0</v>
      </c>
      <c r="CS90" s="17">
        <v>0.0</v>
      </c>
      <c r="CT90" s="17">
        <v>436.0</v>
      </c>
      <c r="CU90" s="19">
        <v>46568.0</v>
      </c>
      <c r="CV90" s="19">
        <v>46568.0</v>
      </c>
      <c r="CW90" s="17">
        <v>72600.0</v>
      </c>
      <c r="CX90" s="17" t="s">
        <v>122</v>
      </c>
      <c r="CY90" s="17" t="s">
        <v>123</v>
      </c>
      <c r="CZ90" s="20">
        <v>5217.03</v>
      </c>
      <c r="DA90" s="20">
        <v>21269.43</v>
      </c>
      <c r="DB90" s="20">
        <v>-4184.63</v>
      </c>
      <c r="DC90" s="20">
        <v>0.79</v>
      </c>
      <c r="DD90" s="20">
        <v>0.0</v>
      </c>
      <c r="DE90" s="20">
        <v>0.0</v>
      </c>
      <c r="DF90" s="17"/>
    </row>
    <row r="91" ht="13.5" customHeight="1">
      <c r="A91" s="17" t="s">
        <v>203</v>
      </c>
      <c r="B91" s="18">
        <v>43891.0</v>
      </c>
      <c r="C91" s="17" t="s">
        <v>124</v>
      </c>
      <c r="D91" s="17" t="s">
        <v>110</v>
      </c>
      <c r="E91" s="17" t="s">
        <v>111</v>
      </c>
      <c r="F91" s="17" t="s">
        <v>176</v>
      </c>
      <c r="G91" s="17" t="s">
        <v>140</v>
      </c>
      <c r="H91" s="17" t="s">
        <v>129</v>
      </c>
      <c r="I91" s="19">
        <v>43902.0</v>
      </c>
      <c r="J91" s="19">
        <v>43933.0</v>
      </c>
      <c r="K91" s="17">
        <f t="shared" si="1"/>
        <v>31</v>
      </c>
      <c r="L91" s="17">
        <v>1.0</v>
      </c>
      <c r="M91" s="17">
        <f t="shared" si="2"/>
        <v>30</v>
      </c>
      <c r="N91" s="19">
        <v>43915.0</v>
      </c>
      <c r="O91" s="19">
        <v>44129.0</v>
      </c>
      <c r="P91" s="17">
        <f t="shared" si="3"/>
        <v>214</v>
      </c>
      <c r="Q91" s="17">
        <v>90.0</v>
      </c>
      <c r="R91" s="17">
        <f t="shared" si="4"/>
        <v>124</v>
      </c>
      <c r="S91" s="17" t="s">
        <v>368</v>
      </c>
      <c r="T91" s="17" t="s">
        <v>369</v>
      </c>
      <c r="U91" s="17" t="s">
        <v>117</v>
      </c>
      <c r="V91" s="17" t="s">
        <v>147</v>
      </c>
      <c r="W91" s="17" t="s">
        <v>133</v>
      </c>
      <c r="X91" s="17" t="s">
        <v>370</v>
      </c>
      <c r="Y91" s="17">
        <v>2024.0</v>
      </c>
      <c r="Z91" s="17" t="s">
        <v>135</v>
      </c>
      <c r="AA91" s="17">
        <v>1898.0</v>
      </c>
      <c r="AB91" s="17">
        <v>16.0</v>
      </c>
      <c r="AC91" s="17">
        <v>0.0</v>
      </c>
      <c r="AD91" s="20">
        <v>479043.48</v>
      </c>
      <c r="AE91" s="20">
        <v>89778.48</v>
      </c>
      <c r="AF91" s="21">
        <v>0.19</v>
      </c>
      <c r="AG91" s="20">
        <v>24532.97</v>
      </c>
      <c r="AH91" s="20">
        <v>2420.03</v>
      </c>
      <c r="AI91" s="17">
        <v>7.75</v>
      </c>
      <c r="AJ91" s="20">
        <v>177054.36</v>
      </c>
      <c r="AK91" s="17">
        <v>50.1</v>
      </c>
      <c r="AL91" s="19">
        <v>44129.0</v>
      </c>
      <c r="AM91" s="19">
        <v>45955.0</v>
      </c>
      <c r="AN91" s="17">
        <v>60.0</v>
      </c>
      <c r="AO91" s="17">
        <v>2500.0</v>
      </c>
      <c r="AP91" s="17">
        <v>150889.0</v>
      </c>
      <c r="AQ91" s="19">
        <v>46173.0</v>
      </c>
      <c r="AR91" s="17">
        <v>28600.0</v>
      </c>
      <c r="AS91" s="17">
        <v>29548.0</v>
      </c>
      <c r="AT91" s="17">
        <v>948.0</v>
      </c>
      <c r="AU91" s="17">
        <v>28738.0</v>
      </c>
      <c r="AV91" s="17">
        <v>2395.0</v>
      </c>
      <c r="AW91" s="20">
        <v>6962.22</v>
      </c>
      <c r="AX91" s="20">
        <v>1925.0</v>
      </c>
      <c r="AY91" s="20">
        <v>125.0</v>
      </c>
      <c r="AZ91" s="20">
        <v>291.0</v>
      </c>
      <c r="BA91" s="20">
        <v>1089.17</v>
      </c>
      <c r="BB91" s="20">
        <v>10392.39</v>
      </c>
      <c r="BC91" s="20">
        <v>1558.86</v>
      </c>
      <c r="BD91" s="20">
        <v>11951.25</v>
      </c>
      <c r="BE91" s="19">
        <v>45748.0</v>
      </c>
      <c r="BF91" s="19">
        <v>45838.0</v>
      </c>
      <c r="BG91" s="17">
        <v>23966.0</v>
      </c>
      <c r="BH91" s="17">
        <v>29548.0</v>
      </c>
      <c r="BI91" s="17">
        <v>5582.0</v>
      </c>
      <c r="BJ91" s="17">
        <v>10000.0</v>
      </c>
      <c r="BK91" s="17">
        <v>-4418.0</v>
      </c>
      <c r="BL91" s="20">
        <v>0.89</v>
      </c>
      <c r="BM91" s="20">
        <v>1.99</v>
      </c>
      <c r="BN91" s="20">
        <v>0.0</v>
      </c>
      <c r="BO91" s="20">
        <v>0.0</v>
      </c>
      <c r="BP91" s="20">
        <v>0.0</v>
      </c>
      <c r="BQ91" s="20">
        <v>-510.28</v>
      </c>
      <c r="BR91" s="20">
        <v>0.0</v>
      </c>
      <c r="BS91" s="20">
        <v>0.0</v>
      </c>
      <c r="BT91" s="20">
        <v>0.0</v>
      </c>
      <c r="BU91" s="20">
        <v>0.0</v>
      </c>
      <c r="BV91" s="20">
        <v>0.0</v>
      </c>
      <c r="BW91" s="20">
        <v>0.0</v>
      </c>
      <c r="BX91" s="20">
        <v>0.0</v>
      </c>
      <c r="BY91" s="20">
        <v>0.0</v>
      </c>
      <c r="BZ91" s="17">
        <v>0.0</v>
      </c>
      <c r="CA91" s="20">
        <v>0.0</v>
      </c>
      <c r="CB91" s="17">
        <v>0.0</v>
      </c>
      <c r="CC91" s="20">
        <v>0.0</v>
      </c>
      <c r="CD91" s="20">
        <v>0.0</v>
      </c>
      <c r="CE91" s="20">
        <v>0.0</v>
      </c>
      <c r="CF91" s="20">
        <v>0.0</v>
      </c>
      <c r="CG91" s="20">
        <v>0.0</v>
      </c>
      <c r="CH91" s="20">
        <v>8039.11</v>
      </c>
      <c r="CI91" s="20">
        <v>1048.58</v>
      </c>
      <c r="CJ91" s="20">
        <v>6990.53</v>
      </c>
      <c r="CK91" s="20">
        <v>7.37</v>
      </c>
      <c r="CL91" s="17">
        <v>0.0</v>
      </c>
      <c r="CM91" s="17">
        <v>0.0</v>
      </c>
      <c r="CN91" s="17">
        <v>0.0</v>
      </c>
      <c r="CO91" s="17">
        <v>100.0</v>
      </c>
      <c r="CP91" s="19"/>
      <c r="CQ91" s="17">
        <v>0.0</v>
      </c>
      <c r="CR91" s="17">
        <v>0.0</v>
      </c>
      <c r="CS91" s="17">
        <v>0.0</v>
      </c>
      <c r="CT91" s="17">
        <v>-29385.0</v>
      </c>
      <c r="CU91" s="19">
        <v>47299.0</v>
      </c>
      <c r="CV91" s="19">
        <v>47299.0</v>
      </c>
      <c r="CW91" s="17">
        <v>151699.0</v>
      </c>
      <c r="CX91" s="17" t="s">
        <v>122</v>
      </c>
      <c r="CY91" s="17" t="s">
        <v>123</v>
      </c>
      <c r="CZ91" s="20">
        <v>0.0</v>
      </c>
      <c r="DA91" s="20">
        <v>0.0</v>
      </c>
      <c r="DB91" s="20">
        <v>-13388.66</v>
      </c>
      <c r="DC91" s="20">
        <v>0.77</v>
      </c>
      <c r="DD91" s="20">
        <v>-3401.86</v>
      </c>
      <c r="DE91" s="20">
        <v>-3912.14</v>
      </c>
      <c r="DF91" s="17"/>
    </row>
    <row r="92" ht="13.5" customHeight="1">
      <c r="A92" s="17" t="s">
        <v>203</v>
      </c>
      <c r="B92" s="18">
        <v>43891.0</v>
      </c>
      <c r="C92" s="17" t="s">
        <v>136</v>
      </c>
      <c r="D92" s="17" t="s">
        <v>125</v>
      </c>
      <c r="E92" s="17" t="s">
        <v>126</v>
      </c>
      <c r="F92" s="17" t="s">
        <v>176</v>
      </c>
      <c r="G92" s="17" t="s">
        <v>140</v>
      </c>
      <c r="H92" s="17" t="s">
        <v>141</v>
      </c>
      <c r="I92" s="19">
        <v>43903.0</v>
      </c>
      <c r="J92" s="19">
        <v>43934.0</v>
      </c>
      <c r="K92" s="17">
        <f t="shared" si="1"/>
        <v>31</v>
      </c>
      <c r="L92" s="17">
        <v>1.0</v>
      </c>
      <c r="M92" s="17">
        <f t="shared" si="2"/>
        <v>30</v>
      </c>
      <c r="N92" s="19">
        <v>43916.0</v>
      </c>
      <c r="O92" s="19">
        <v>43947.0</v>
      </c>
      <c r="P92" s="17">
        <f t="shared" si="3"/>
        <v>31</v>
      </c>
      <c r="Q92" s="17">
        <v>90.0</v>
      </c>
      <c r="R92" s="17">
        <f t="shared" si="4"/>
        <v>-59</v>
      </c>
      <c r="S92" s="17" t="s">
        <v>371</v>
      </c>
      <c r="T92" s="17" t="s">
        <v>372</v>
      </c>
      <c r="U92" s="17" t="s">
        <v>117</v>
      </c>
      <c r="V92" s="17" t="s">
        <v>147</v>
      </c>
      <c r="W92" s="17" t="s">
        <v>133</v>
      </c>
      <c r="X92" s="17" t="s">
        <v>168</v>
      </c>
      <c r="Y92" s="17">
        <v>2024.0</v>
      </c>
      <c r="Z92" s="17" t="s">
        <v>135</v>
      </c>
      <c r="AA92" s="17">
        <v>2498.0</v>
      </c>
      <c r="AB92" s="17">
        <v>16.0</v>
      </c>
      <c r="AC92" s="17">
        <v>0.0</v>
      </c>
      <c r="AD92" s="20">
        <v>460956.52</v>
      </c>
      <c r="AE92" s="20">
        <v>86959.0</v>
      </c>
      <c r="AF92" s="21">
        <v>0.19</v>
      </c>
      <c r="AG92" s="20">
        <v>29060.89</v>
      </c>
      <c r="AH92" s="20">
        <v>2514.0</v>
      </c>
      <c r="AI92" s="17">
        <v>7.75</v>
      </c>
      <c r="AJ92" s="20">
        <v>193602.0</v>
      </c>
      <c r="AK92" s="17">
        <v>42.0</v>
      </c>
      <c r="AL92" s="19">
        <v>43947.0</v>
      </c>
      <c r="AM92" s="19">
        <v>45773.0</v>
      </c>
      <c r="AN92" s="17">
        <v>60.0</v>
      </c>
      <c r="AO92" s="17">
        <v>2000.0</v>
      </c>
      <c r="AP92" s="17">
        <v>72000.0</v>
      </c>
      <c r="AQ92" s="19">
        <v>46173.0</v>
      </c>
      <c r="AR92" s="17">
        <v>16380.0</v>
      </c>
      <c r="AS92" s="17">
        <v>18280.0</v>
      </c>
      <c r="AT92" s="17">
        <v>1900.0</v>
      </c>
      <c r="AU92" s="17">
        <v>17684.0</v>
      </c>
      <c r="AV92" s="17">
        <v>1474.0</v>
      </c>
      <c r="AW92" s="20">
        <v>8712.24</v>
      </c>
      <c r="AX92" s="20">
        <v>1580.0</v>
      </c>
      <c r="AY92" s="20">
        <v>125.0</v>
      </c>
      <c r="AZ92" s="20">
        <v>290.99</v>
      </c>
      <c r="BA92" s="20">
        <v>1083.24</v>
      </c>
      <c r="BB92" s="20">
        <v>11791.47</v>
      </c>
      <c r="BC92" s="20">
        <v>1768.72</v>
      </c>
      <c r="BD92" s="20">
        <v>13560.19</v>
      </c>
      <c r="BE92" s="19">
        <v>45748.0</v>
      </c>
      <c r="BF92" s="19">
        <v>45838.0</v>
      </c>
      <c r="BG92" s="17">
        <v>14784.0</v>
      </c>
      <c r="BH92" s="17">
        <v>18280.0</v>
      </c>
      <c r="BI92" s="17">
        <v>3496.0</v>
      </c>
      <c r="BJ92" s="17">
        <v>6000.0</v>
      </c>
      <c r="BK92" s="17">
        <v>-2504.0</v>
      </c>
      <c r="BL92" s="20">
        <v>0.91</v>
      </c>
      <c r="BM92" s="20">
        <v>3.71</v>
      </c>
      <c r="BN92" s="20">
        <v>0.0</v>
      </c>
      <c r="BO92" s="20">
        <v>0.0</v>
      </c>
      <c r="BP92" s="20">
        <v>0.0</v>
      </c>
      <c r="BQ92" s="20">
        <v>-296.72</v>
      </c>
      <c r="BR92" s="20">
        <v>0.0</v>
      </c>
      <c r="BS92" s="20">
        <v>0.0</v>
      </c>
      <c r="BT92" s="20">
        <v>0.0</v>
      </c>
      <c r="BU92" s="20">
        <v>0.0</v>
      </c>
      <c r="BV92" s="20">
        <v>0.0</v>
      </c>
      <c r="BW92" s="20">
        <v>0.0</v>
      </c>
      <c r="BX92" s="20">
        <v>0.0</v>
      </c>
      <c r="BY92" s="20">
        <v>2920.11</v>
      </c>
      <c r="BZ92" s="17">
        <v>0.0</v>
      </c>
      <c r="CA92" s="20">
        <v>0.0</v>
      </c>
      <c r="CB92" s="17">
        <v>0.0</v>
      </c>
      <c r="CC92" s="20">
        <v>0.0</v>
      </c>
      <c r="CD92" s="20">
        <v>0.0</v>
      </c>
      <c r="CE92" s="20">
        <v>0.0</v>
      </c>
      <c r="CF92" s="20">
        <v>0.0</v>
      </c>
      <c r="CG92" s="20">
        <v>0.0</v>
      </c>
      <c r="CH92" s="20">
        <v>11285.31</v>
      </c>
      <c r="CI92" s="20">
        <v>1472.0</v>
      </c>
      <c r="CJ92" s="20">
        <v>9813.31</v>
      </c>
      <c r="CK92" s="20">
        <v>5.16</v>
      </c>
      <c r="CL92" s="17">
        <v>0.0</v>
      </c>
      <c r="CM92" s="17">
        <v>0.0</v>
      </c>
      <c r="CN92" s="17">
        <v>0.0</v>
      </c>
      <c r="CO92" s="17">
        <v>100.0</v>
      </c>
      <c r="CP92" s="19"/>
      <c r="CQ92" s="17">
        <v>0.0</v>
      </c>
      <c r="CR92" s="17">
        <v>0.0</v>
      </c>
      <c r="CS92" s="17">
        <v>0.0</v>
      </c>
      <c r="CT92" s="17">
        <v>-7565.0</v>
      </c>
      <c r="CU92" s="19">
        <v>46568.0</v>
      </c>
      <c r="CV92" s="19">
        <v>46568.0</v>
      </c>
      <c r="CW92" s="17">
        <v>72596.0</v>
      </c>
      <c r="CX92" s="17" t="s">
        <v>122</v>
      </c>
      <c r="CY92" s="17" t="s">
        <v>123</v>
      </c>
      <c r="CZ92" s="20">
        <v>2513.42</v>
      </c>
      <c r="DA92" s="20">
        <v>10247.02</v>
      </c>
      <c r="DB92" s="20">
        <v>-8158.33</v>
      </c>
      <c r="DC92" s="20">
        <v>0.79</v>
      </c>
      <c r="DD92" s="20">
        <v>-1978.16</v>
      </c>
      <c r="DE92" s="20">
        <v>-2274.88</v>
      </c>
      <c r="DF92" s="17"/>
    </row>
    <row r="93" ht="13.5" customHeight="1">
      <c r="A93" s="17" t="s">
        <v>203</v>
      </c>
      <c r="B93" s="18">
        <v>43891.0</v>
      </c>
      <c r="C93" s="17" t="s">
        <v>109</v>
      </c>
      <c r="D93" s="17" t="s">
        <v>137</v>
      </c>
      <c r="E93" s="17" t="s">
        <v>138</v>
      </c>
      <c r="F93" s="17" t="s">
        <v>179</v>
      </c>
      <c r="G93" s="17" t="s">
        <v>140</v>
      </c>
      <c r="H93" s="17" t="s">
        <v>114</v>
      </c>
      <c r="I93" s="19">
        <v>43904.0</v>
      </c>
      <c r="J93" s="19">
        <v>43935.0</v>
      </c>
      <c r="K93" s="17">
        <f t="shared" si="1"/>
        <v>31</v>
      </c>
      <c r="L93" s="17">
        <v>1.0</v>
      </c>
      <c r="M93" s="17">
        <f t="shared" si="2"/>
        <v>30</v>
      </c>
      <c r="N93" s="19">
        <v>43917.0</v>
      </c>
      <c r="O93" s="19">
        <v>43948.0</v>
      </c>
      <c r="P93" s="17">
        <f t="shared" si="3"/>
        <v>31</v>
      </c>
      <c r="Q93" s="17">
        <v>90.0</v>
      </c>
      <c r="R93" s="17">
        <f t="shared" si="4"/>
        <v>-59</v>
      </c>
      <c r="S93" s="17" t="s">
        <v>373</v>
      </c>
      <c r="T93" s="17" t="s">
        <v>374</v>
      </c>
      <c r="U93" s="17" t="s">
        <v>117</v>
      </c>
      <c r="V93" s="17" t="s">
        <v>147</v>
      </c>
      <c r="W93" s="17" t="s">
        <v>133</v>
      </c>
      <c r="X93" s="17" t="s">
        <v>168</v>
      </c>
      <c r="Y93" s="17">
        <v>2024.0</v>
      </c>
      <c r="Z93" s="17" t="s">
        <v>135</v>
      </c>
      <c r="AA93" s="17">
        <v>2498.0</v>
      </c>
      <c r="AB93" s="17">
        <v>16.0</v>
      </c>
      <c r="AC93" s="17">
        <v>4.0</v>
      </c>
      <c r="AD93" s="20">
        <v>460956.52</v>
      </c>
      <c r="AE93" s="20">
        <v>86959.0</v>
      </c>
      <c r="AF93" s="21">
        <v>0.19</v>
      </c>
      <c r="AG93" s="20">
        <v>29673.49</v>
      </c>
      <c r="AH93" s="20">
        <v>2203.0</v>
      </c>
      <c r="AI93" s="17">
        <v>7.75</v>
      </c>
      <c r="AJ93" s="20">
        <v>202821.0</v>
      </c>
      <c r="AK93" s="17">
        <v>44.0</v>
      </c>
      <c r="AL93" s="19">
        <v>43948.0</v>
      </c>
      <c r="AM93" s="19">
        <v>45774.0</v>
      </c>
      <c r="AN93" s="17">
        <v>60.0</v>
      </c>
      <c r="AO93" s="17">
        <v>5000.0</v>
      </c>
      <c r="AP93" s="17">
        <v>220000.0</v>
      </c>
      <c r="AQ93" s="19">
        <v>46173.0</v>
      </c>
      <c r="AR93" s="17">
        <v>64047.0</v>
      </c>
      <c r="AS93" s="17">
        <v>70176.0</v>
      </c>
      <c r="AT93" s="17">
        <v>6129.0</v>
      </c>
      <c r="AU93" s="17">
        <v>69770.0</v>
      </c>
      <c r="AV93" s="17">
        <v>5814.0</v>
      </c>
      <c r="AW93" s="20">
        <v>7462.28</v>
      </c>
      <c r="AX93" s="20">
        <v>2000.0</v>
      </c>
      <c r="AY93" s="20">
        <v>125.0</v>
      </c>
      <c r="AZ93" s="20">
        <v>291.0</v>
      </c>
      <c r="BA93" s="20">
        <v>1089.17</v>
      </c>
      <c r="BB93" s="20">
        <v>10967.45</v>
      </c>
      <c r="BC93" s="20">
        <v>1645.12</v>
      </c>
      <c r="BD93" s="20">
        <v>12612.57</v>
      </c>
      <c r="BE93" s="19">
        <v>45748.0</v>
      </c>
      <c r="BF93" s="19">
        <v>45838.0</v>
      </c>
      <c r="BG93" s="17">
        <v>49589.0</v>
      </c>
      <c r="BH93" s="17">
        <v>70176.0</v>
      </c>
      <c r="BI93" s="17">
        <v>20587.0</v>
      </c>
      <c r="BJ93" s="17">
        <v>15000.0</v>
      </c>
      <c r="BK93" s="17">
        <v>5587.0</v>
      </c>
      <c r="BL93" s="20">
        <v>0.46</v>
      </c>
      <c r="BM93" s="20">
        <v>1.17</v>
      </c>
      <c r="BN93" s="20">
        <v>2570.02</v>
      </c>
      <c r="BO93" s="20">
        <v>6536.79</v>
      </c>
      <c r="BP93" s="20">
        <v>9106.81</v>
      </c>
      <c r="BQ93" s="20">
        <v>1366.02</v>
      </c>
      <c r="BR93" s="20">
        <v>10472.83</v>
      </c>
      <c r="BS93" s="20">
        <v>0.0</v>
      </c>
      <c r="BT93" s="20">
        <v>0.0</v>
      </c>
      <c r="BU93" s="20">
        <v>0.0</v>
      </c>
      <c r="BV93" s="20">
        <v>0.0</v>
      </c>
      <c r="BW93" s="20">
        <v>0.0</v>
      </c>
      <c r="BX93" s="20">
        <v>0.0</v>
      </c>
      <c r="BY93" s="20">
        <v>14631.65</v>
      </c>
      <c r="BZ93" s="17">
        <v>0.0</v>
      </c>
      <c r="CA93" s="20">
        <v>0.0</v>
      </c>
      <c r="CB93" s="17">
        <v>0.0</v>
      </c>
      <c r="CC93" s="20">
        <v>0.0</v>
      </c>
      <c r="CD93" s="20">
        <v>0.0</v>
      </c>
      <c r="CE93" s="20">
        <v>0.0</v>
      </c>
      <c r="CF93" s="20">
        <v>0.0</v>
      </c>
      <c r="CG93" s="20">
        <v>0.0</v>
      </c>
      <c r="CH93" s="20">
        <v>23085.4</v>
      </c>
      <c r="CI93" s="20">
        <v>3011.14</v>
      </c>
      <c r="CJ93" s="20">
        <v>20074.26</v>
      </c>
      <c r="CK93" s="20">
        <v>3.28</v>
      </c>
      <c r="CL93" s="17">
        <v>0.0</v>
      </c>
      <c r="CM93" s="17">
        <v>0.0</v>
      </c>
      <c r="CN93" s="17">
        <v>0.0</v>
      </c>
      <c r="CO93" s="17">
        <v>100.0</v>
      </c>
      <c r="CP93" s="19"/>
      <c r="CQ93" s="17">
        <v>0.0</v>
      </c>
      <c r="CR93" s="17">
        <v>0.0</v>
      </c>
      <c r="CS93" s="17">
        <v>0.0</v>
      </c>
      <c r="CT93" s="17">
        <v>6812.0</v>
      </c>
      <c r="CU93" s="19">
        <v>46812.0</v>
      </c>
      <c r="CV93" s="19">
        <v>46812.0</v>
      </c>
      <c r="CW93" s="17">
        <v>220406.0</v>
      </c>
      <c r="CX93" s="17" t="s">
        <v>122</v>
      </c>
      <c r="CY93" s="17" t="s">
        <v>123</v>
      </c>
      <c r="CZ93" s="20">
        <v>5356.24</v>
      </c>
      <c r="DA93" s="20">
        <v>13623.48</v>
      </c>
      <c r="DB93" s="20">
        <v>-1932.8</v>
      </c>
      <c r="DC93" s="20">
        <v>0.4</v>
      </c>
      <c r="DD93" s="20">
        <v>0.0</v>
      </c>
      <c r="DE93" s="20">
        <v>0.0</v>
      </c>
      <c r="DF93" s="17"/>
    </row>
    <row r="94" ht="13.5" customHeight="1">
      <c r="A94" s="17" t="s">
        <v>203</v>
      </c>
      <c r="B94" s="18">
        <v>43891.0</v>
      </c>
      <c r="C94" s="17" t="s">
        <v>124</v>
      </c>
      <c r="D94" s="17" t="s">
        <v>110</v>
      </c>
      <c r="E94" s="17" t="s">
        <v>111</v>
      </c>
      <c r="F94" s="17" t="s">
        <v>179</v>
      </c>
      <c r="G94" s="17" t="s">
        <v>140</v>
      </c>
      <c r="H94" s="17" t="s">
        <v>129</v>
      </c>
      <c r="I94" s="19">
        <v>43905.0</v>
      </c>
      <c r="J94" s="19">
        <v>43926.0</v>
      </c>
      <c r="K94" s="17">
        <f t="shared" si="1"/>
        <v>21</v>
      </c>
      <c r="L94" s="17">
        <v>1.0</v>
      </c>
      <c r="M94" s="17">
        <f t="shared" si="2"/>
        <v>20</v>
      </c>
      <c r="N94" s="19">
        <v>43918.0</v>
      </c>
      <c r="O94" s="19">
        <v>43949.0</v>
      </c>
      <c r="P94" s="17">
        <f t="shared" si="3"/>
        <v>31</v>
      </c>
      <c r="Q94" s="17">
        <v>90.0</v>
      </c>
      <c r="R94" s="17">
        <f t="shared" si="4"/>
        <v>-59</v>
      </c>
      <c r="S94" s="17" t="s">
        <v>375</v>
      </c>
      <c r="T94" s="17" t="s">
        <v>376</v>
      </c>
      <c r="U94" s="17" t="s">
        <v>117</v>
      </c>
      <c r="V94" s="17" t="s">
        <v>147</v>
      </c>
      <c r="W94" s="17" t="s">
        <v>133</v>
      </c>
      <c r="X94" s="17" t="s">
        <v>168</v>
      </c>
      <c r="Y94" s="17">
        <v>2024.0</v>
      </c>
      <c r="Z94" s="17" t="s">
        <v>135</v>
      </c>
      <c r="AA94" s="17">
        <v>2498.0</v>
      </c>
      <c r="AB94" s="17">
        <v>16.0</v>
      </c>
      <c r="AC94" s="17">
        <v>0.0</v>
      </c>
      <c r="AD94" s="20">
        <v>460956.52</v>
      </c>
      <c r="AE94" s="20">
        <v>86959.0</v>
      </c>
      <c r="AF94" s="21">
        <v>0.19</v>
      </c>
      <c r="AG94" s="20">
        <v>29589.39</v>
      </c>
      <c r="AH94" s="20">
        <v>2203.0</v>
      </c>
      <c r="AI94" s="17">
        <v>7.75</v>
      </c>
      <c r="AJ94" s="20">
        <v>202821.0</v>
      </c>
      <c r="AK94" s="17">
        <v>44.0</v>
      </c>
      <c r="AL94" s="19">
        <v>43949.0</v>
      </c>
      <c r="AM94" s="19">
        <v>45775.0</v>
      </c>
      <c r="AN94" s="17">
        <v>60.0</v>
      </c>
      <c r="AO94" s="17">
        <v>5000.0</v>
      </c>
      <c r="AP94" s="17">
        <v>220000.0</v>
      </c>
      <c r="AQ94" s="19">
        <v>46173.0</v>
      </c>
      <c r="AR94" s="17">
        <v>32553.0</v>
      </c>
      <c r="AS94" s="17">
        <v>36806.0</v>
      </c>
      <c r="AT94" s="17">
        <v>4253.0</v>
      </c>
      <c r="AU94" s="17">
        <v>36402.0</v>
      </c>
      <c r="AV94" s="17">
        <v>3034.0</v>
      </c>
      <c r="AW94" s="20">
        <v>7460.07</v>
      </c>
      <c r="AX94" s="20">
        <v>2000.0</v>
      </c>
      <c r="AY94" s="20">
        <v>125.0</v>
      </c>
      <c r="AZ94" s="20">
        <v>291.0</v>
      </c>
      <c r="BA94" s="20">
        <v>1089.17</v>
      </c>
      <c r="BB94" s="20">
        <v>10965.24</v>
      </c>
      <c r="BC94" s="20">
        <v>1644.79</v>
      </c>
      <c r="BD94" s="20">
        <v>12610.03</v>
      </c>
      <c r="BE94" s="19">
        <v>45748.0</v>
      </c>
      <c r="BF94" s="19">
        <v>45838.0</v>
      </c>
      <c r="BG94" s="17">
        <v>27364.0</v>
      </c>
      <c r="BH94" s="17">
        <v>36806.0</v>
      </c>
      <c r="BI94" s="17">
        <v>9442.0</v>
      </c>
      <c r="BJ94" s="17">
        <v>15000.0</v>
      </c>
      <c r="BK94" s="17">
        <v>-5558.0</v>
      </c>
      <c r="BL94" s="20">
        <v>0.46</v>
      </c>
      <c r="BM94" s="20">
        <v>1.17</v>
      </c>
      <c r="BN94" s="20">
        <v>0.0</v>
      </c>
      <c r="BO94" s="20">
        <v>0.0</v>
      </c>
      <c r="BP94" s="20">
        <v>0.0</v>
      </c>
      <c r="BQ94" s="20">
        <v>-333.48</v>
      </c>
      <c r="BR94" s="20">
        <v>0.0</v>
      </c>
      <c r="BS94" s="20">
        <v>0.0</v>
      </c>
      <c r="BT94" s="20">
        <v>0.0</v>
      </c>
      <c r="BU94" s="20">
        <v>0.0</v>
      </c>
      <c r="BV94" s="20">
        <v>0.0</v>
      </c>
      <c r="BW94" s="20">
        <v>0.0</v>
      </c>
      <c r="BX94" s="20">
        <v>0.0</v>
      </c>
      <c r="BY94" s="20">
        <v>9288.66</v>
      </c>
      <c r="BZ94" s="17">
        <v>0.0</v>
      </c>
      <c r="CA94" s="20">
        <v>0.0</v>
      </c>
      <c r="CB94" s="17">
        <v>0.0</v>
      </c>
      <c r="CC94" s="20">
        <v>0.0</v>
      </c>
      <c r="CD94" s="20">
        <v>0.0</v>
      </c>
      <c r="CE94" s="20">
        <v>0.0</v>
      </c>
      <c r="CF94" s="20">
        <v>0.0</v>
      </c>
      <c r="CG94" s="20">
        <v>0.0</v>
      </c>
      <c r="CH94" s="20">
        <v>10053.35</v>
      </c>
      <c r="CI94" s="20">
        <v>1311.31</v>
      </c>
      <c r="CJ94" s="20">
        <v>8742.04</v>
      </c>
      <c r="CK94" s="20">
        <v>2.06</v>
      </c>
      <c r="CL94" s="17">
        <v>0.0</v>
      </c>
      <c r="CM94" s="17">
        <v>0.0</v>
      </c>
      <c r="CN94" s="17">
        <v>0.0</v>
      </c>
      <c r="CO94" s="17">
        <v>100.0</v>
      </c>
      <c r="CP94" s="19"/>
      <c r="CQ94" s="17">
        <v>0.0</v>
      </c>
      <c r="CR94" s="17">
        <v>0.0</v>
      </c>
      <c r="CS94" s="17">
        <v>0.0</v>
      </c>
      <c r="CT94" s="17">
        <v>-26556.0</v>
      </c>
      <c r="CU94" s="19">
        <v>46812.0</v>
      </c>
      <c r="CV94" s="19">
        <v>46812.0</v>
      </c>
      <c r="CW94" s="17">
        <v>220404.0</v>
      </c>
      <c r="CX94" s="17" t="s">
        <v>122</v>
      </c>
      <c r="CY94" s="17" t="s">
        <v>123</v>
      </c>
      <c r="CZ94" s="20">
        <v>0.0</v>
      </c>
      <c r="DA94" s="20">
        <v>0.0</v>
      </c>
      <c r="DB94" s="20">
        <v>-10622.4</v>
      </c>
      <c r="DC94" s="20">
        <v>0.4</v>
      </c>
      <c r="DD94" s="20">
        <v>-2223.2</v>
      </c>
      <c r="DE94" s="20">
        <v>-2556.68</v>
      </c>
      <c r="DF94" s="17"/>
    </row>
    <row r="95" ht="13.5" customHeight="1">
      <c r="A95" s="17" t="s">
        <v>203</v>
      </c>
      <c r="B95" s="18">
        <v>43891.0</v>
      </c>
      <c r="C95" s="17" t="s">
        <v>136</v>
      </c>
      <c r="D95" s="17" t="s">
        <v>125</v>
      </c>
      <c r="E95" s="17" t="s">
        <v>126</v>
      </c>
      <c r="F95" s="17" t="s">
        <v>179</v>
      </c>
      <c r="G95" s="17" t="s">
        <v>140</v>
      </c>
      <c r="H95" s="17" t="s">
        <v>141</v>
      </c>
      <c r="I95" s="19">
        <v>43906.0</v>
      </c>
      <c r="J95" s="19">
        <v>43927.0</v>
      </c>
      <c r="K95" s="17">
        <f t="shared" si="1"/>
        <v>21</v>
      </c>
      <c r="L95" s="17">
        <v>1.0</v>
      </c>
      <c r="M95" s="17">
        <f t="shared" si="2"/>
        <v>20</v>
      </c>
      <c r="N95" s="19">
        <v>43919.0</v>
      </c>
      <c r="O95" s="19">
        <v>43950.0</v>
      </c>
      <c r="P95" s="17">
        <f t="shared" si="3"/>
        <v>31</v>
      </c>
      <c r="Q95" s="17">
        <v>90.0</v>
      </c>
      <c r="R95" s="17">
        <f t="shared" si="4"/>
        <v>-59</v>
      </c>
      <c r="S95" s="17" t="s">
        <v>377</v>
      </c>
      <c r="T95" s="17" t="s">
        <v>378</v>
      </c>
      <c r="U95" s="17" t="s">
        <v>117</v>
      </c>
      <c r="V95" s="17" t="s">
        <v>147</v>
      </c>
      <c r="W95" s="17" t="s">
        <v>133</v>
      </c>
      <c r="X95" s="17" t="s">
        <v>168</v>
      </c>
      <c r="Y95" s="17">
        <v>2024.0</v>
      </c>
      <c r="Z95" s="17" t="s">
        <v>135</v>
      </c>
      <c r="AA95" s="17">
        <v>2498.0</v>
      </c>
      <c r="AB95" s="17">
        <v>16.0</v>
      </c>
      <c r="AC95" s="17">
        <v>2.0</v>
      </c>
      <c r="AD95" s="20">
        <v>460956.52</v>
      </c>
      <c r="AE95" s="20">
        <v>86959.0</v>
      </c>
      <c r="AF95" s="21">
        <v>0.19</v>
      </c>
      <c r="AG95" s="20">
        <v>26748.7</v>
      </c>
      <c r="AH95" s="20">
        <v>2203.0</v>
      </c>
      <c r="AI95" s="17">
        <v>7.75</v>
      </c>
      <c r="AJ95" s="20">
        <v>202821.0</v>
      </c>
      <c r="AK95" s="17">
        <v>44.0</v>
      </c>
      <c r="AL95" s="19">
        <v>43950.0</v>
      </c>
      <c r="AM95" s="19">
        <v>45776.0</v>
      </c>
      <c r="AN95" s="17">
        <v>60.0</v>
      </c>
      <c r="AO95" s="17">
        <v>5000.0</v>
      </c>
      <c r="AP95" s="17">
        <v>220000.0</v>
      </c>
      <c r="AQ95" s="19">
        <v>46173.0</v>
      </c>
      <c r="AR95" s="17">
        <v>40987.0</v>
      </c>
      <c r="AS95" s="17">
        <v>44622.0</v>
      </c>
      <c r="AT95" s="17">
        <v>3635.0</v>
      </c>
      <c r="AU95" s="17">
        <v>44219.0</v>
      </c>
      <c r="AV95" s="17">
        <v>3685.0</v>
      </c>
      <c r="AW95" s="20">
        <v>7385.51</v>
      </c>
      <c r="AX95" s="20">
        <v>2000.0</v>
      </c>
      <c r="AY95" s="20">
        <v>125.0</v>
      </c>
      <c r="AZ95" s="20">
        <v>291.0</v>
      </c>
      <c r="BA95" s="20">
        <v>1089.17</v>
      </c>
      <c r="BB95" s="20">
        <v>10890.68</v>
      </c>
      <c r="BC95" s="20">
        <v>1633.6</v>
      </c>
      <c r="BD95" s="20">
        <v>12524.28</v>
      </c>
      <c r="BE95" s="19">
        <v>45748.0</v>
      </c>
      <c r="BF95" s="19">
        <v>45838.0</v>
      </c>
      <c r="BG95" s="17">
        <v>31494.0</v>
      </c>
      <c r="BH95" s="17">
        <v>44622.0</v>
      </c>
      <c r="BI95" s="17">
        <v>13128.0</v>
      </c>
      <c r="BJ95" s="17">
        <v>15000.0</v>
      </c>
      <c r="BK95" s="17">
        <v>-1872.0</v>
      </c>
      <c r="BL95" s="20">
        <v>0.46</v>
      </c>
      <c r="BM95" s="20">
        <v>1.17</v>
      </c>
      <c r="BN95" s="20">
        <v>0.0</v>
      </c>
      <c r="BO95" s="20">
        <v>0.0</v>
      </c>
      <c r="BP95" s="20">
        <v>0.0</v>
      </c>
      <c r="BQ95" s="20">
        <v>-112.32</v>
      </c>
      <c r="BR95" s="20">
        <v>0.0</v>
      </c>
      <c r="BS95" s="20">
        <v>0.0</v>
      </c>
      <c r="BT95" s="20">
        <v>0.0</v>
      </c>
      <c r="BU95" s="20">
        <v>0.0</v>
      </c>
      <c r="BV95" s="20">
        <v>0.0</v>
      </c>
      <c r="BW95" s="20">
        <v>0.0</v>
      </c>
      <c r="BX95" s="20">
        <v>0.0</v>
      </c>
      <c r="BY95" s="20">
        <v>7186.0</v>
      </c>
      <c r="BZ95" s="17">
        <v>0.0</v>
      </c>
      <c r="CA95" s="20">
        <v>0.0</v>
      </c>
      <c r="CB95" s="17">
        <v>0.0</v>
      </c>
      <c r="CC95" s="20">
        <v>0.0</v>
      </c>
      <c r="CD95" s="20">
        <v>0.0</v>
      </c>
      <c r="CE95" s="20">
        <v>0.0</v>
      </c>
      <c r="CF95" s="20">
        <v>0.0</v>
      </c>
      <c r="CG95" s="20">
        <v>0.0</v>
      </c>
      <c r="CH95" s="20">
        <v>11663.16</v>
      </c>
      <c r="CI95" s="20">
        <v>1521.28</v>
      </c>
      <c r="CJ95" s="20">
        <v>10141.88</v>
      </c>
      <c r="CK95" s="20">
        <v>2.79</v>
      </c>
      <c r="CL95" s="17">
        <v>0.0</v>
      </c>
      <c r="CM95" s="17">
        <v>0.0</v>
      </c>
      <c r="CN95" s="17">
        <v>0.0</v>
      </c>
      <c r="CO95" s="17">
        <v>100.0</v>
      </c>
      <c r="CP95" s="19"/>
      <c r="CQ95" s="17">
        <v>0.0</v>
      </c>
      <c r="CR95" s="17">
        <v>0.0</v>
      </c>
      <c r="CS95" s="17">
        <v>0.0</v>
      </c>
      <c r="CT95" s="17">
        <v>-18739.0</v>
      </c>
      <c r="CU95" s="19">
        <v>46812.0</v>
      </c>
      <c r="CV95" s="19">
        <v>46812.0</v>
      </c>
      <c r="CW95" s="17">
        <v>220403.0</v>
      </c>
      <c r="CX95" s="17" t="s">
        <v>122</v>
      </c>
      <c r="CY95" s="17" t="s">
        <v>123</v>
      </c>
      <c r="CZ95" s="20">
        <v>0.0</v>
      </c>
      <c r="DA95" s="20">
        <v>0.0</v>
      </c>
      <c r="DB95" s="20">
        <v>-7495.6</v>
      </c>
      <c r="DC95" s="20">
        <v>0.4</v>
      </c>
      <c r="DD95" s="20">
        <v>-748.8</v>
      </c>
      <c r="DE95" s="20">
        <v>-861.12</v>
      </c>
      <c r="DF95" s="17"/>
    </row>
    <row r="96" ht="13.5" customHeight="1">
      <c r="A96" s="17" t="s">
        <v>203</v>
      </c>
      <c r="B96" s="18">
        <v>43891.0</v>
      </c>
      <c r="C96" s="17" t="s">
        <v>109</v>
      </c>
      <c r="D96" s="17" t="s">
        <v>110</v>
      </c>
      <c r="E96" s="17" t="s">
        <v>111</v>
      </c>
      <c r="F96" s="17" t="s">
        <v>176</v>
      </c>
      <c r="G96" s="17" t="s">
        <v>140</v>
      </c>
      <c r="H96" s="17" t="s">
        <v>114</v>
      </c>
      <c r="I96" s="19">
        <v>43907.0</v>
      </c>
      <c r="J96" s="19">
        <v>43928.0</v>
      </c>
      <c r="K96" s="17">
        <f t="shared" si="1"/>
        <v>21</v>
      </c>
      <c r="L96" s="17">
        <v>1.0</v>
      </c>
      <c r="M96" s="17">
        <f t="shared" si="2"/>
        <v>20</v>
      </c>
      <c r="N96" s="19">
        <v>43920.0</v>
      </c>
      <c r="O96" s="19">
        <v>43951.0</v>
      </c>
      <c r="P96" s="17">
        <f t="shared" si="3"/>
        <v>31</v>
      </c>
      <c r="Q96" s="17">
        <v>90.0</v>
      </c>
      <c r="R96" s="17">
        <f t="shared" si="4"/>
        <v>-59</v>
      </c>
      <c r="S96" s="17" t="s">
        <v>379</v>
      </c>
      <c r="T96" s="17" t="s">
        <v>380</v>
      </c>
      <c r="U96" s="17" t="s">
        <v>117</v>
      </c>
      <c r="V96" s="17" t="s">
        <v>147</v>
      </c>
      <c r="W96" s="17" t="s">
        <v>133</v>
      </c>
      <c r="X96" s="17" t="s">
        <v>370</v>
      </c>
      <c r="Y96" s="17">
        <v>2024.0</v>
      </c>
      <c r="Z96" s="17" t="s">
        <v>135</v>
      </c>
      <c r="AA96" s="17">
        <v>1898.0</v>
      </c>
      <c r="AB96" s="17">
        <v>16.0</v>
      </c>
      <c r="AC96" s="17">
        <v>3.0</v>
      </c>
      <c r="AD96" s="20">
        <v>479043.48</v>
      </c>
      <c r="AE96" s="20">
        <v>89778.48</v>
      </c>
      <c r="AF96" s="21">
        <v>0.19</v>
      </c>
      <c r="AG96" s="20">
        <v>24561.45</v>
      </c>
      <c r="AH96" s="20">
        <v>2353.03</v>
      </c>
      <c r="AI96" s="17">
        <v>7.75</v>
      </c>
      <c r="AJ96" s="20">
        <v>210779.0</v>
      </c>
      <c r="AK96" s="17">
        <v>44.0</v>
      </c>
      <c r="AL96" s="19">
        <v>43951.0</v>
      </c>
      <c r="AM96" s="19">
        <v>45777.0</v>
      </c>
      <c r="AN96" s="17">
        <v>60.0</v>
      </c>
      <c r="AO96" s="17">
        <v>5000.0</v>
      </c>
      <c r="AP96" s="17">
        <v>220000.0</v>
      </c>
      <c r="AQ96" s="19">
        <v>46173.0</v>
      </c>
      <c r="AR96" s="17">
        <v>37119.0</v>
      </c>
      <c r="AS96" s="17">
        <v>38551.0</v>
      </c>
      <c r="AT96" s="17">
        <v>1432.0</v>
      </c>
      <c r="AU96" s="17">
        <v>37707.0</v>
      </c>
      <c r="AV96" s="17">
        <v>3142.0</v>
      </c>
      <c r="AW96" s="20">
        <v>7594.79</v>
      </c>
      <c r="AX96" s="20">
        <v>2000.0</v>
      </c>
      <c r="AY96" s="20">
        <v>125.0</v>
      </c>
      <c r="AZ96" s="20">
        <v>291.0</v>
      </c>
      <c r="BA96" s="20">
        <v>1089.17</v>
      </c>
      <c r="BB96" s="20">
        <v>11099.96</v>
      </c>
      <c r="BC96" s="20">
        <v>1664.99</v>
      </c>
      <c r="BD96" s="20">
        <v>12764.95</v>
      </c>
      <c r="BE96" s="19">
        <v>45748.0</v>
      </c>
      <c r="BF96" s="19">
        <v>45838.0</v>
      </c>
      <c r="BG96" s="17">
        <v>31383.0</v>
      </c>
      <c r="BH96" s="17">
        <v>38551.0</v>
      </c>
      <c r="BI96" s="17">
        <v>7168.0</v>
      </c>
      <c r="BJ96" s="17">
        <v>15000.0</v>
      </c>
      <c r="BK96" s="17">
        <v>-7832.0</v>
      </c>
      <c r="BL96" s="20">
        <v>0.64</v>
      </c>
      <c r="BM96" s="20">
        <v>0.94</v>
      </c>
      <c r="BN96" s="20">
        <v>0.0</v>
      </c>
      <c r="BO96" s="20">
        <v>0.0</v>
      </c>
      <c r="BP96" s="20">
        <v>0.0</v>
      </c>
      <c r="BQ96" s="20">
        <v>-469.92</v>
      </c>
      <c r="BR96" s="20">
        <v>0.0</v>
      </c>
      <c r="BS96" s="20">
        <v>0.0</v>
      </c>
      <c r="BT96" s="20">
        <v>0.0</v>
      </c>
      <c r="BU96" s="20">
        <v>0.0</v>
      </c>
      <c r="BV96" s="20">
        <v>0.0</v>
      </c>
      <c r="BW96" s="20">
        <v>0.0</v>
      </c>
      <c r="BX96" s="20">
        <v>0.0</v>
      </c>
      <c r="BY96" s="20">
        <v>1298.99</v>
      </c>
      <c r="BZ96" s="17">
        <v>0.0</v>
      </c>
      <c r="CA96" s="20">
        <v>0.0</v>
      </c>
      <c r="CB96" s="17">
        <v>0.0</v>
      </c>
      <c r="CC96" s="20">
        <v>0.0</v>
      </c>
      <c r="CD96" s="20">
        <v>0.0</v>
      </c>
      <c r="CE96" s="20">
        <v>0.0</v>
      </c>
      <c r="CF96" s="20">
        <v>0.0</v>
      </c>
      <c r="CG96" s="20">
        <v>0.0</v>
      </c>
      <c r="CH96" s="20">
        <v>9162.23</v>
      </c>
      <c r="CI96" s="20">
        <v>1195.07</v>
      </c>
      <c r="CJ96" s="20">
        <v>7967.16</v>
      </c>
      <c r="CK96" s="20">
        <v>5.56</v>
      </c>
      <c r="CL96" s="17">
        <v>0.0</v>
      </c>
      <c r="CM96" s="17">
        <v>0.0</v>
      </c>
      <c r="CN96" s="17">
        <v>0.0</v>
      </c>
      <c r="CO96" s="17">
        <v>100.0</v>
      </c>
      <c r="CP96" s="19"/>
      <c r="CQ96" s="17">
        <v>0.0</v>
      </c>
      <c r="CR96" s="17">
        <v>0.0</v>
      </c>
      <c r="CS96" s="17">
        <v>0.0</v>
      </c>
      <c r="CT96" s="17">
        <v>-25416.0</v>
      </c>
      <c r="CU96" s="19">
        <v>46812.0</v>
      </c>
      <c r="CV96" s="19">
        <v>46812.0</v>
      </c>
      <c r="CW96" s="17">
        <v>220844.0</v>
      </c>
      <c r="CX96" s="17" t="s">
        <v>122</v>
      </c>
      <c r="CY96" s="17" t="s">
        <v>123</v>
      </c>
      <c r="CZ96" s="20">
        <v>0.0</v>
      </c>
      <c r="DA96" s="20">
        <v>0.0</v>
      </c>
      <c r="DB96" s="20">
        <v>-10195.2</v>
      </c>
      <c r="DC96" s="20">
        <v>0.4</v>
      </c>
      <c r="DD96" s="20">
        <v>-3132.8</v>
      </c>
      <c r="DE96" s="20">
        <v>-3602.72</v>
      </c>
      <c r="DF96" s="17"/>
    </row>
    <row r="97" ht="13.5" customHeight="1">
      <c r="A97" s="17" t="s">
        <v>228</v>
      </c>
      <c r="B97" s="18">
        <v>43891.0</v>
      </c>
      <c r="C97" s="17" t="s">
        <v>124</v>
      </c>
      <c r="D97" s="17" t="s">
        <v>125</v>
      </c>
      <c r="E97" s="17" t="s">
        <v>126</v>
      </c>
      <c r="F97" s="17" t="s">
        <v>169</v>
      </c>
      <c r="G97" s="17" t="s">
        <v>128</v>
      </c>
      <c r="H97" s="17" t="s">
        <v>129</v>
      </c>
      <c r="I97" s="19">
        <v>43908.0</v>
      </c>
      <c r="J97" s="19">
        <v>43929.0</v>
      </c>
      <c r="K97" s="17">
        <f t="shared" si="1"/>
        <v>21</v>
      </c>
      <c r="L97" s="17">
        <v>1.0</v>
      </c>
      <c r="M97" s="17">
        <f t="shared" si="2"/>
        <v>20</v>
      </c>
      <c r="N97" s="19">
        <v>43921.0</v>
      </c>
      <c r="O97" s="19">
        <v>43952.0</v>
      </c>
      <c r="P97" s="17">
        <f t="shared" si="3"/>
        <v>31</v>
      </c>
      <c r="Q97" s="17">
        <v>90.0</v>
      </c>
      <c r="R97" s="17">
        <f t="shared" si="4"/>
        <v>-59</v>
      </c>
      <c r="S97" s="17" t="s">
        <v>381</v>
      </c>
      <c r="T97" s="17" t="s">
        <v>382</v>
      </c>
      <c r="U97" s="17" t="s">
        <v>117</v>
      </c>
      <c r="V97" s="17" t="s">
        <v>147</v>
      </c>
      <c r="W97" s="17" t="s">
        <v>182</v>
      </c>
      <c r="X97" s="17" t="s">
        <v>183</v>
      </c>
      <c r="Y97" s="17">
        <v>2024.0</v>
      </c>
      <c r="Z97" s="17" t="s">
        <v>135</v>
      </c>
      <c r="AA97" s="17">
        <v>1998.0</v>
      </c>
      <c r="AB97" s="17">
        <v>16.0</v>
      </c>
      <c r="AC97" s="17">
        <v>5.0</v>
      </c>
      <c r="AD97" s="20">
        <v>494174.0</v>
      </c>
      <c r="AE97" s="20">
        <v>40250.09</v>
      </c>
      <c r="AF97" s="21">
        <v>0.08</v>
      </c>
      <c r="AG97" s="20">
        <v>33309.34</v>
      </c>
      <c r="AH97" s="20">
        <v>3655.03</v>
      </c>
      <c r="AI97" s="17">
        <v>7.75</v>
      </c>
      <c r="AJ97" s="20">
        <v>255573.0</v>
      </c>
      <c r="AK97" s="17">
        <v>59.97</v>
      </c>
      <c r="AL97" s="19">
        <v>43952.0</v>
      </c>
      <c r="AM97" s="19">
        <v>45778.0</v>
      </c>
      <c r="AN97" s="17">
        <v>60.0</v>
      </c>
      <c r="AO97" s="17">
        <v>3500.0</v>
      </c>
      <c r="AP97" s="17">
        <v>210877.0</v>
      </c>
      <c r="AQ97" s="19">
        <v>46173.0</v>
      </c>
      <c r="AR97" s="17">
        <v>37098.0</v>
      </c>
      <c r="AS97" s="17">
        <v>40376.0</v>
      </c>
      <c r="AT97" s="17">
        <v>3278.0</v>
      </c>
      <c r="AU97" s="17">
        <v>39548.0</v>
      </c>
      <c r="AV97" s="17">
        <v>3296.0</v>
      </c>
      <c r="AW97" s="20">
        <v>7281.18</v>
      </c>
      <c r="AX97" s="20">
        <v>2310.0</v>
      </c>
      <c r="AY97" s="20">
        <v>125.0</v>
      </c>
      <c r="AZ97" s="20">
        <v>290.99</v>
      </c>
      <c r="BA97" s="20">
        <v>1522.99</v>
      </c>
      <c r="BB97" s="20">
        <v>11530.16</v>
      </c>
      <c r="BC97" s="20">
        <v>1729.52</v>
      </c>
      <c r="BD97" s="20">
        <v>13259.68</v>
      </c>
      <c r="BE97" s="19">
        <v>45748.0</v>
      </c>
      <c r="BF97" s="19">
        <v>45838.0</v>
      </c>
      <c r="BG97" s="17">
        <v>32564.0</v>
      </c>
      <c r="BH97" s="17">
        <v>40376.0</v>
      </c>
      <c r="BI97" s="17">
        <v>7812.0</v>
      </c>
      <c r="BJ97" s="17">
        <v>10500.0</v>
      </c>
      <c r="BK97" s="17">
        <v>-2688.0</v>
      </c>
      <c r="BL97" s="20">
        <v>0.69</v>
      </c>
      <c r="BM97" s="20">
        <v>1.13</v>
      </c>
      <c r="BN97" s="20">
        <v>0.0</v>
      </c>
      <c r="BO97" s="20">
        <v>0.0</v>
      </c>
      <c r="BP97" s="20">
        <v>0.0</v>
      </c>
      <c r="BQ97" s="20">
        <v>-266.11</v>
      </c>
      <c r="BR97" s="20">
        <v>0.0</v>
      </c>
      <c r="BS97" s="20">
        <v>0.0</v>
      </c>
      <c r="BT97" s="20">
        <v>0.0</v>
      </c>
      <c r="BU97" s="20">
        <v>0.0</v>
      </c>
      <c r="BV97" s="20">
        <v>0.0</v>
      </c>
      <c r="BW97" s="20">
        <v>0.0</v>
      </c>
      <c r="BX97" s="20">
        <v>0.0</v>
      </c>
      <c r="BY97" s="20">
        <v>5605.78</v>
      </c>
      <c r="BZ97" s="17">
        <v>0.0</v>
      </c>
      <c r="CA97" s="20">
        <v>0.0</v>
      </c>
      <c r="CB97" s="17">
        <v>0.0</v>
      </c>
      <c r="CC97" s="20">
        <v>0.0</v>
      </c>
      <c r="CD97" s="20">
        <v>0.0</v>
      </c>
      <c r="CE97" s="20">
        <v>0.0</v>
      </c>
      <c r="CF97" s="20">
        <v>0.0</v>
      </c>
      <c r="CG97" s="20">
        <v>0.0</v>
      </c>
      <c r="CH97" s="20">
        <v>11219.49</v>
      </c>
      <c r="CI97" s="20">
        <v>1463.41</v>
      </c>
      <c r="CJ97" s="20">
        <v>9756.08</v>
      </c>
      <c r="CK97" s="20">
        <v>2.98</v>
      </c>
      <c r="CL97" s="17">
        <v>0.0</v>
      </c>
      <c r="CM97" s="17">
        <v>0.0</v>
      </c>
      <c r="CN97" s="17">
        <v>0.0</v>
      </c>
      <c r="CO97" s="17">
        <v>100.0</v>
      </c>
      <c r="CP97" s="19"/>
      <c r="CQ97" s="17">
        <v>0.0</v>
      </c>
      <c r="CR97" s="17">
        <v>0.0</v>
      </c>
      <c r="CS97" s="17">
        <v>0.0</v>
      </c>
      <c r="CT97" s="17">
        <v>-325.0</v>
      </c>
      <c r="CU97" s="19">
        <v>47299.0</v>
      </c>
      <c r="CV97" s="19">
        <v>47299.0</v>
      </c>
      <c r="CW97" s="17">
        <v>211705.0</v>
      </c>
      <c r="CX97" s="17" t="s">
        <v>122</v>
      </c>
      <c r="CY97" s="17" t="s">
        <v>123</v>
      </c>
      <c r="CZ97" s="20">
        <v>5319.9</v>
      </c>
      <c r="DA97" s="20">
        <v>9603.3</v>
      </c>
      <c r="DB97" s="20">
        <v>-4982.28</v>
      </c>
      <c r="DC97" s="20">
        <v>0.66</v>
      </c>
      <c r="DD97" s="20">
        <v>-1774.08</v>
      </c>
      <c r="DE97" s="20">
        <v>-2040.19</v>
      </c>
      <c r="DF97" s="17"/>
    </row>
    <row r="98" ht="13.5" customHeight="1">
      <c r="A98" s="17" t="s">
        <v>228</v>
      </c>
      <c r="B98" s="18">
        <v>43891.0</v>
      </c>
      <c r="C98" s="17" t="s">
        <v>136</v>
      </c>
      <c r="D98" s="17" t="s">
        <v>137</v>
      </c>
      <c r="E98" s="17" t="s">
        <v>138</v>
      </c>
      <c r="F98" s="17" t="s">
        <v>172</v>
      </c>
      <c r="G98" s="17" t="s">
        <v>140</v>
      </c>
      <c r="H98" s="17" t="s">
        <v>141</v>
      </c>
      <c r="I98" s="19">
        <v>43909.0</v>
      </c>
      <c r="J98" s="19">
        <v>43930.0</v>
      </c>
      <c r="K98" s="17">
        <f t="shared" si="1"/>
        <v>21</v>
      </c>
      <c r="L98" s="17">
        <v>1.0</v>
      </c>
      <c r="M98" s="17">
        <f t="shared" si="2"/>
        <v>20</v>
      </c>
      <c r="N98" s="19">
        <v>43921.0</v>
      </c>
      <c r="O98" s="19">
        <v>43953.0</v>
      </c>
      <c r="P98" s="17">
        <f t="shared" si="3"/>
        <v>32</v>
      </c>
      <c r="Q98" s="17">
        <v>90.0</v>
      </c>
      <c r="R98" s="17">
        <f t="shared" si="4"/>
        <v>-58</v>
      </c>
      <c r="S98" s="17" t="s">
        <v>383</v>
      </c>
      <c r="T98" s="17" t="s">
        <v>384</v>
      </c>
      <c r="U98" s="17" t="s">
        <v>117</v>
      </c>
      <c r="V98" s="17" t="s">
        <v>118</v>
      </c>
      <c r="W98" s="17" t="s">
        <v>119</v>
      </c>
      <c r="X98" s="17" t="s">
        <v>120</v>
      </c>
      <c r="Y98" s="17">
        <v>2024.0</v>
      </c>
      <c r="Z98" s="17" t="s">
        <v>121</v>
      </c>
      <c r="AA98" s="17">
        <v>1598.0</v>
      </c>
      <c r="AB98" s="17">
        <v>16.0</v>
      </c>
      <c r="AC98" s="17">
        <v>0.0</v>
      </c>
      <c r="AD98" s="20">
        <v>220696.0</v>
      </c>
      <c r="AE98" s="20">
        <v>37696.0</v>
      </c>
      <c r="AF98" s="21">
        <v>0.17</v>
      </c>
      <c r="AG98" s="20">
        <v>42540.98</v>
      </c>
      <c r="AH98" s="20">
        <v>2276.0</v>
      </c>
      <c r="AI98" s="17">
        <v>7.75</v>
      </c>
      <c r="AJ98" s="20">
        <v>101520.0</v>
      </c>
      <c r="AK98" s="17">
        <v>46.0</v>
      </c>
      <c r="AL98" s="19">
        <v>43953.0</v>
      </c>
      <c r="AM98" s="19">
        <v>45779.0</v>
      </c>
      <c r="AN98" s="17">
        <v>60.0</v>
      </c>
      <c r="AO98" s="17">
        <v>4500.0</v>
      </c>
      <c r="AP98" s="17">
        <v>216000.0</v>
      </c>
      <c r="AQ98" s="19">
        <v>46173.0</v>
      </c>
      <c r="AR98" s="17">
        <v>32245.0</v>
      </c>
      <c r="AS98" s="17">
        <v>32883.0</v>
      </c>
      <c r="AT98" s="17">
        <v>638.0</v>
      </c>
      <c r="AU98" s="17">
        <v>32261.0</v>
      </c>
      <c r="AV98" s="17">
        <v>2688.0</v>
      </c>
      <c r="AW98" s="20">
        <v>4446.56</v>
      </c>
      <c r="AX98" s="20">
        <v>1935.0</v>
      </c>
      <c r="AY98" s="20">
        <v>125.0</v>
      </c>
      <c r="AZ98" s="20">
        <v>290.99</v>
      </c>
      <c r="BA98" s="20">
        <v>1095.07</v>
      </c>
      <c r="BB98" s="20">
        <v>7892.62</v>
      </c>
      <c r="BC98" s="20">
        <v>1183.89</v>
      </c>
      <c r="BD98" s="20">
        <v>9076.51</v>
      </c>
      <c r="BE98" s="19">
        <v>45748.0</v>
      </c>
      <c r="BF98" s="19">
        <v>45838.0</v>
      </c>
      <c r="BG98" s="17">
        <v>24010.0</v>
      </c>
      <c r="BH98" s="17">
        <v>32883.0</v>
      </c>
      <c r="BI98" s="17">
        <v>8873.0</v>
      </c>
      <c r="BJ98" s="17">
        <v>13500.0</v>
      </c>
      <c r="BK98" s="17">
        <v>-4627.0</v>
      </c>
      <c r="BL98" s="20">
        <v>0.49</v>
      </c>
      <c r="BM98" s="20">
        <v>0.55</v>
      </c>
      <c r="BN98" s="20">
        <v>0.0</v>
      </c>
      <c r="BO98" s="20">
        <v>0.0</v>
      </c>
      <c r="BP98" s="20">
        <v>0.0</v>
      </c>
      <c r="BQ98" s="20">
        <v>-298.44</v>
      </c>
      <c r="BR98" s="20">
        <v>0.0</v>
      </c>
      <c r="BS98" s="20">
        <v>0.0</v>
      </c>
      <c r="BT98" s="20">
        <v>0.0</v>
      </c>
      <c r="BU98" s="20">
        <v>0.0</v>
      </c>
      <c r="BV98" s="20">
        <v>0.0</v>
      </c>
      <c r="BW98" s="20">
        <v>0.0</v>
      </c>
      <c r="BX98" s="20">
        <v>0.0</v>
      </c>
      <c r="BY98" s="20">
        <v>1970.9</v>
      </c>
      <c r="BZ98" s="17">
        <v>0.0</v>
      </c>
      <c r="CA98" s="20">
        <v>0.0</v>
      </c>
      <c r="CB98" s="17">
        <v>0.0</v>
      </c>
      <c r="CC98" s="20">
        <v>0.0</v>
      </c>
      <c r="CD98" s="20">
        <v>0.0</v>
      </c>
      <c r="CE98" s="20">
        <v>0.0</v>
      </c>
      <c r="CF98" s="20">
        <v>0.0</v>
      </c>
      <c r="CG98" s="20">
        <v>0.0</v>
      </c>
      <c r="CH98" s="20">
        <v>6788.46</v>
      </c>
      <c r="CI98" s="20">
        <v>885.45</v>
      </c>
      <c r="CJ98" s="20">
        <v>5903.01</v>
      </c>
      <c r="CK98" s="20">
        <v>9.25</v>
      </c>
      <c r="CL98" s="17">
        <v>0.0</v>
      </c>
      <c r="CM98" s="17">
        <v>0.0</v>
      </c>
      <c r="CN98" s="17">
        <v>0.0</v>
      </c>
      <c r="CO98" s="17">
        <v>100.0</v>
      </c>
      <c r="CP98" s="19"/>
      <c r="CQ98" s="17">
        <v>0.0</v>
      </c>
      <c r="CR98" s="17">
        <v>0.0</v>
      </c>
      <c r="CS98" s="17">
        <v>0.0</v>
      </c>
      <c r="CT98" s="17">
        <v>-23514.0</v>
      </c>
      <c r="CU98" s="19">
        <v>46934.0</v>
      </c>
      <c r="CV98" s="19">
        <v>46934.0</v>
      </c>
      <c r="CW98" s="17">
        <v>216622.0</v>
      </c>
      <c r="CX98" s="17" t="s">
        <v>122</v>
      </c>
      <c r="CY98" s="17" t="s">
        <v>123</v>
      </c>
      <c r="CZ98" s="20">
        <v>3280.9</v>
      </c>
      <c r="DA98" s="20">
        <v>0.0</v>
      </c>
      <c r="DB98" s="20">
        <v>-13391.92</v>
      </c>
      <c r="DC98" s="20">
        <v>0.43</v>
      </c>
      <c r="DD98" s="20">
        <v>-1989.61</v>
      </c>
      <c r="DE98" s="20">
        <v>-2288.05</v>
      </c>
      <c r="DF98" s="17"/>
    </row>
    <row r="99" ht="13.5" customHeight="1">
      <c r="A99" s="22" t="s">
        <v>108</v>
      </c>
      <c r="B99" s="23">
        <v>43922.0</v>
      </c>
      <c r="C99" s="22" t="s">
        <v>109</v>
      </c>
      <c r="D99" s="22" t="s">
        <v>110</v>
      </c>
      <c r="E99" s="22" t="s">
        <v>111</v>
      </c>
      <c r="F99" s="22" t="s">
        <v>172</v>
      </c>
      <c r="G99" s="22" t="s">
        <v>140</v>
      </c>
      <c r="H99" s="22" t="s">
        <v>114</v>
      </c>
      <c r="I99" s="24">
        <v>43930.0</v>
      </c>
      <c r="J99" s="24">
        <v>43931.0</v>
      </c>
      <c r="K99" s="22">
        <f t="shared" si="1"/>
        <v>1</v>
      </c>
      <c r="L99" s="22">
        <v>1.0</v>
      </c>
      <c r="M99" s="22">
        <f t="shared" si="2"/>
        <v>0</v>
      </c>
      <c r="N99" s="24">
        <v>43944.0</v>
      </c>
      <c r="O99" s="24">
        <v>43954.0</v>
      </c>
      <c r="P99" s="22">
        <f t="shared" si="3"/>
        <v>10</v>
      </c>
      <c r="Q99" s="22">
        <v>90.0</v>
      </c>
      <c r="R99" s="22">
        <f t="shared" si="4"/>
        <v>-80</v>
      </c>
      <c r="S99" s="22" t="s">
        <v>385</v>
      </c>
      <c r="T99" s="22" t="s">
        <v>386</v>
      </c>
      <c r="U99" s="22" t="s">
        <v>117</v>
      </c>
      <c r="V99" s="22" t="s">
        <v>190</v>
      </c>
      <c r="W99" s="22" t="s">
        <v>194</v>
      </c>
      <c r="X99" s="22" t="s">
        <v>387</v>
      </c>
      <c r="Y99" s="22">
        <v>2024.0</v>
      </c>
      <c r="Z99" s="22" t="s">
        <v>121</v>
      </c>
      <c r="AA99" s="22">
        <v>1498.0</v>
      </c>
      <c r="AB99" s="22">
        <v>16.0</v>
      </c>
      <c r="AC99" s="22">
        <v>0.0</v>
      </c>
      <c r="AD99" s="25">
        <v>184261.0</v>
      </c>
      <c r="AE99" s="25">
        <v>10200.0</v>
      </c>
      <c r="AF99" s="26">
        <v>0.06</v>
      </c>
      <c r="AG99" s="25">
        <v>5617.36</v>
      </c>
      <c r="AH99" s="25">
        <v>1662.0</v>
      </c>
      <c r="AI99" s="22">
        <v>7.75</v>
      </c>
      <c r="AJ99" s="25">
        <v>79232.0</v>
      </c>
      <c r="AK99" s="22">
        <v>43.0</v>
      </c>
      <c r="AL99" s="24">
        <v>43954.0</v>
      </c>
      <c r="AM99" s="24">
        <v>45780.0</v>
      </c>
      <c r="AN99" s="22">
        <v>60.0</v>
      </c>
      <c r="AO99" s="22">
        <v>1500.0</v>
      </c>
      <c r="AP99" s="22">
        <v>90000.0</v>
      </c>
      <c r="AQ99" s="24">
        <v>46173.0</v>
      </c>
      <c r="AR99" s="22">
        <v>7661.0</v>
      </c>
      <c r="AS99" s="22">
        <v>8340.0</v>
      </c>
      <c r="AT99" s="22">
        <v>679.0</v>
      </c>
      <c r="AU99" s="22">
        <v>7694.0</v>
      </c>
      <c r="AV99" s="22">
        <v>641.0</v>
      </c>
      <c r="AW99" s="25">
        <v>2626.71</v>
      </c>
      <c r="AX99" s="25">
        <v>945.0</v>
      </c>
      <c r="AY99" s="25">
        <v>125.0</v>
      </c>
      <c r="AZ99" s="25">
        <v>290.99</v>
      </c>
      <c r="BA99" s="25">
        <v>1083.24</v>
      </c>
      <c r="BB99" s="25">
        <v>5070.94</v>
      </c>
      <c r="BC99" s="25">
        <v>760.64</v>
      </c>
      <c r="BD99" s="25">
        <v>5831.58</v>
      </c>
      <c r="BE99" s="24">
        <v>45748.0</v>
      </c>
      <c r="BF99" s="24">
        <v>45838.0</v>
      </c>
      <c r="BG99" s="22">
        <v>6474.0</v>
      </c>
      <c r="BH99" s="22">
        <v>8340.0</v>
      </c>
      <c r="BI99" s="22">
        <v>1866.0</v>
      </c>
      <c r="BJ99" s="22">
        <v>4500.0</v>
      </c>
      <c r="BK99" s="22">
        <v>-2634.0</v>
      </c>
      <c r="BL99" s="25">
        <v>0.72</v>
      </c>
      <c r="BM99" s="25">
        <v>1.17</v>
      </c>
      <c r="BN99" s="25">
        <v>0.0</v>
      </c>
      <c r="BO99" s="25">
        <v>0.0</v>
      </c>
      <c r="BP99" s="25">
        <v>0.0</v>
      </c>
      <c r="BQ99" s="25">
        <v>-248.91</v>
      </c>
      <c r="BR99" s="25">
        <v>0.0</v>
      </c>
      <c r="BS99" s="25">
        <v>0.0</v>
      </c>
      <c r="BT99" s="25">
        <v>0.0</v>
      </c>
      <c r="BU99" s="25">
        <v>0.0</v>
      </c>
      <c r="BV99" s="25">
        <v>0.0</v>
      </c>
      <c r="BW99" s="25">
        <v>0.0</v>
      </c>
      <c r="BX99" s="25">
        <v>0.0</v>
      </c>
      <c r="BY99" s="25">
        <v>682.6</v>
      </c>
      <c r="BZ99" s="22">
        <v>0.0</v>
      </c>
      <c r="CA99" s="25">
        <v>0.0</v>
      </c>
      <c r="CB99" s="22">
        <v>0.0</v>
      </c>
      <c r="CC99" s="25">
        <v>0.0</v>
      </c>
      <c r="CD99" s="25">
        <v>0.0</v>
      </c>
      <c r="CE99" s="25">
        <v>0.0</v>
      </c>
      <c r="CF99" s="25">
        <v>0.0</v>
      </c>
      <c r="CG99" s="25">
        <v>0.0</v>
      </c>
      <c r="CH99" s="25">
        <v>3923.25</v>
      </c>
      <c r="CI99" s="25">
        <v>511.73</v>
      </c>
      <c r="CJ99" s="25">
        <v>3411.52</v>
      </c>
      <c r="CK99" s="25">
        <v>5.02</v>
      </c>
      <c r="CL99" s="22">
        <v>0.0</v>
      </c>
      <c r="CM99" s="22">
        <v>0.0</v>
      </c>
      <c r="CN99" s="22">
        <v>0.0</v>
      </c>
      <c r="CO99" s="22">
        <v>100.0</v>
      </c>
      <c r="CP99" s="24"/>
      <c r="CQ99" s="22">
        <v>0.0</v>
      </c>
      <c r="CR99" s="22">
        <v>0.0</v>
      </c>
      <c r="CS99" s="22">
        <v>0.0</v>
      </c>
      <c r="CT99" s="22">
        <v>-10799.0</v>
      </c>
      <c r="CU99" s="24">
        <v>47299.0</v>
      </c>
      <c r="CV99" s="24">
        <v>47299.0</v>
      </c>
      <c r="CW99" s="22">
        <v>90646.0</v>
      </c>
      <c r="CX99" s="22" t="s">
        <v>122</v>
      </c>
      <c r="CY99" s="22" t="s">
        <v>123</v>
      </c>
      <c r="CZ99" s="25">
        <v>0.0</v>
      </c>
      <c r="DA99" s="25">
        <v>0.0</v>
      </c>
      <c r="DB99" s="25">
        <v>-6803.37</v>
      </c>
      <c r="DC99" s="25">
        <v>0.63</v>
      </c>
      <c r="DD99" s="25">
        <v>-1659.42</v>
      </c>
      <c r="DE99" s="25">
        <v>-1908.33</v>
      </c>
      <c r="DF99" s="22"/>
    </row>
    <row r="100" ht="13.5" customHeight="1">
      <c r="A100" s="22" t="s">
        <v>108</v>
      </c>
      <c r="B100" s="23">
        <v>43922.0</v>
      </c>
      <c r="C100" s="22" t="s">
        <v>124</v>
      </c>
      <c r="D100" s="22" t="s">
        <v>125</v>
      </c>
      <c r="E100" s="22" t="s">
        <v>126</v>
      </c>
      <c r="F100" s="22" t="s">
        <v>176</v>
      </c>
      <c r="G100" s="22" t="s">
        <v>140</v>
      </c>
      <c r="H100" s="22" t="s">
        <v>129</v>
      </c>
      <c r="I100" s="24">
        <v>43931.0</v>
      </c>
      <c r="J100" s="24">
        <v>43936.0</v>
      </c>
      <c r="K100" s="22">
        <f t="shared" si="1"/>
        <v>5</v>
      </c>
      <c r="L100" s="22">
        <v>1.0</v>
      </c>
      <c r="M100" s="22">
        <f t="shared" si="2"/>
        <v>4</v>
      </c>
      <c r="N100" s="24">
        <v>43945.0</v>
      </c>
      <c r="O100" s="24">
        <v>44016.0</v>
      </c>
      <c r="P100" s="22">
        <f t="shared" si="3"/>
        <v>71</v>
      </c>
      <c r="Q100" s="22">
        <v>90.0</v>
      </c>
      <c r="R100" s="22">
        <f t="shared" si="4"/>
        <v>-19</v>
      </c>
      <c r="S100" s="22" t="s">
        <v>388</v>
      </c>
      <c r="T100" s="22" t="s">
        <v>389</v>
      </c>
      <c r="U100" s="22" t="s">
        <v>117</v>
      </c>
      <c r="V100" s="22" t="s">
        <v>147</v>
      </c>
      <c r="W100" s="22" t="s">
        <v>182</v>
      </c>
      <c r="X100" s="22" t="s">
        <v>259</v>
      </c>
      <c r="Y100" s="22">
        <v>2024.0</v>
      </c>
      <c r="Z100" s="22" t="s">
        <v>135</v>
      </c>
      <c r="AA100" s="22">
        <v>1998.0</v>
      </c>
      <c r="AB100" s="22">
        <v>16.0</v>
      </c>
      <c r="AC100" s="22">
        <v>4.0</v>
      </c>
      <c r="AD100" s="25">
        <v>453264.78</v>
      </c>
      <c r="AE100" s="25">
        <v>34630.07</v>
      </c>
      <c r="AF100" s="26">
        <v>0.08</v>
      </c>
      <c r="AG100" s="25">
        <v>14823.37</v>
      </c>
      <c r="AH100" s="25">
        <v>2531.0</v>
      </c>
      <c r="AI100" s="22">
        <v>7.75</v>
      </c>
      <c r="AJ100" s="25">
        <v>234700.0</v>
      </c>
      <c r="AK100" s="22">
        <v>51.78</v>
      </c>
      <c r="AL100" s="24">
        <v>44016.0</v>
      </c>
      <c r="AM100" s="24">
        <v>45842.0</v>
      </c>
      <c r="AN100" s="22">
        <v>60.0</v>
      </c>
      <c r="AO100" s="22">
        <v>3000.0</v>
      </c>
      <c r="AP100" s="22">
        <v>180000.0</v>
      </c>
      <c r="AQ100" s="24">
        <v>46173.0</v>
      </c>
      <c r="AR100" s="22">
        <v>19195.0</v>
      </c>
      <c r="AS100" s="22">
        <v>21237.0</v>
      </c>
      <c r="AT100" s="22">
        <v>2042.0</v>
      </c>
      <c r="AU100" s="22">
        <v>20827.0</v>
      </c>
      <c r="AV100" s="22">
        <v>1736.0</v>
      </c>
      <c r="AW100" s="25">
        <v>6439.52</v>
      </c>
      <c r="AX100" s="25">
        <v>1800.0</v>
      </c>
      <c r="AY100" s="25">
        <v>125.0</v>
      </c>
      <c r="AZ100" s="25">
        <v>291.0</v>
      </c>
      <c r="BA100" s="25">
        <v>1522.99</v>
      </c>
      <c r="BB100" s="25">
        <v>10178.51</v>
      </c>
      <c r="BC100" s="25">
        <v>1526.78</v>
      </c>
      <c r="BD100" s="25">
        <v>11705.29</v>
      </c>
      <c r="BE100" s="24">
        <v>45748.0</v>
      </c>
      <c r="BF100" s="24">
        <v>45838.0</v>
      </c>
      <c r="BG100" s="22">
        <v>16177.0</v>
      </c>
      <c r="BH100" s="22">
        <v>21237.0</v>
      </c>
      <c r="BI100" s="22">
        <v>5060.0</v>
      </c>
      <c r="BJ100" s="22">
        <v>9000.0</v>
      </c>
      <c r="BK100" s="22">
        <v>-3940.0</v>
      </c>
      <c r="BL100" s="25">
        <v>0.69</v>
      </c>
      <c r="BM100" s="25">
        <v>1.21</v>
      </c>
      <c r="BN100" s="25">
        <v>0.0</v>
      </c>
      <c r="BO100" s="25">
        <v>0.0</v>
      </c>
      <c r="BP100" s="25">
        <v>0.0</v>
      </c>
      <c r="BQ100" s="25">
        <v>-354.6</v>
      </c>
      <c r="BR100" s="25">
        <v>0.0</v>
      </c>
      <c r="BS100" s="25">
        <v>0.0</v>
      </c>
      <c r="BT100" s="25">
        <v>0.0</v>
      </c>
      <c r="BU100" s="25">
        <v>0.0</v>
      </c>
      <c r="BV100" s="25">
        <v>0.0</v>
      </c>
      <c r="BW100" s="25">
        <v>0.0</v>
      </c>
      <c r="BX100" s="25">
        <v>0.0</v>
      </c>
      <c r="BY100" s="25">
        <v>2568.9</v>
      </c>
      <c r="BZ100" s="22">
        <v>0.0</v>
      </c>
      <c r="CA100" s="25">
        <v>0.0</v>
      </c>
      <c r="CB100" s="22">
        <v>0.0</v>
      </c>
      <c r="CC100" s="25">
        <v>0.0</v>
      </c>
      <c r="CD100" s="25">
        <v>0.0</v>
      </c>
      <c r="CE100" s="25">
        <v>0.0</v>
      </c>
      <c r="CF100" s="25">
        <v>0.0</v>
      </c>
      <c r="CG100" s="25">
        <v>0.0</v>
      </c>
      <c r="CH100" s="25">
        <v>8986.69</v>
      </c>
      <c r="CI100" s="25">
        <v>1172.18</v>
      </c>
      <c r="CJ100" s="25">
        <v>7814.51</v>
      </c>
      <c r="CK100" s="25">
        <v>3.83</v>
      </c>
      <c r="CL100" s="22">
        <v>0.0</v>
      </c>
      <c r="CM100" s="22">
        <v>0.0</v>
      </c>
      <c r="CN100" s="22">
        <v>0.0</v>
      </c>
      <c r="CO100" s="22">
        <v>100.0</v>
      </c>
      <c r="CP100" s="24"/>
      <c r="CQ100" s="22">
        <v>0.0</v>
      </c>
      <c r="CR100" s="22">
        <v>0.0</v>
      </c>
      <c r="CS100" s="22">
        <v>0.0</v>
      </c>
      <c r="CT100" s="22">
        <v>-15666.0</v>
      </c>
      <c r="CU100" s="24">
        <v>47299.0</v>
      </c>
      <c r="CV100" s="24">
        <v>47299.0</v>
      </c>
      <c r="CW100" s="22">
        <v>180410.0</v>
      </c>
      <c r="CX100" s="22" t="s">
        <v>122</v>
      </c>
      <c r="CY100" s="22" t="s">
        <v>123</v>
      </c>
      <c r="CZ100" s="25">
        <v>0.0</v>
      </c>
      <c r="DA100" s="25">
        <v>0.0</v>
      </c>
      <c r="DB100" s="25">
        <v>-9399.6</v>
      </c>
      <c r="DC100" s="25">
        <v>0.6</v>
      </c>
      <c r="DD100" s="25">
        <v>-2364.0</v>
      </c>
      <c r="DE100" s="25">
        <v>-2718.6</v>
      </c>
      <c r="DF100" s="22"/>
    </row>
    <row r="101" ht="13.5" customHeight="1">
      <c r="A101" s="22" t="s">
        <v>108</v>
      </c>
      <c r="B101" s="23">
        <v>43922.0</v>
      </c>
      <c r="C101" s="22" t="s">
        <v>136</v>
      </c>
      <c r="D101" s="22" t="s">
        <v>137</v>
      </c>
      <c r="E101" s="22" t="s">
        <v>138</v>
      </c>
      <c r="F101" s="22" t="s">
        <v>390</v>
      </c>
      <c r="G101" s="22" t="s">
        <v>391</v>
      </c>
      <c r="H101" s="22" t="s">
        <v>141</v>
      </c>
      <c r="I101" s="24">
        <v>43932.0</v>
      </c>
      <c r="J101" s="24">
        <v>43933.0</v>
      </c>
      <c r="K101" s="22">
        <f t="shared" si="1"/>
        <v>1</v>
      </c>
      <c r="L101" s="22">
        <v>1.0</v>
      </c>
      <c r="M101" s="22">
        <f t="shared" si="2"/>
        <v>0</v>
      </c>
      <c r="N101" s="24">
        <v>43946.0</v>
      </c>
      <c r="O101" s="24">
        <v>43956.0</v>
      </c>
      <c r="P101" s="22">
        <f t="shared" si="3"/>
        <v>10</v>
      </c>
      <c r="Q101" s="22">
        <v>90.0</v>
      </c>
      <c r="R101" s="22">
        <f t="shared" si="4"/>
        <v>-80</v>
      </c>
      <c r="S101" s="22" t="s">
        <v>392</v>
      </c>
      <c r="T101" s="22" t="s">
        <v>393</v>
      </c>
      <c r="U101" s="22" t="s">
        <v>117</v>
      </c>
      <c r="V101" s="22" t="s">
        <v>147</v>
      </c>
      <c r="W101" s="22" t="s">
        <v>182</v>
      </c>
      <c r="X101" s="22" t="s">
        <v>259</v>
      </c>
      <c r="Y101" s="22">
        <v>2024.0</v>
      </c>
      <c r="Z101" s="22" t="s">
        <v>135</v>
      </c>
      <c r="AA101" s="22">
        <v>1998.0</v>
      </c>
      <c r="AB101" s="22">
        <v>16.0</v>
      </c>
      <c r="AC101" s="22">
        <v>4.0</v>
      </c>
      <c r="AD101" s="25">
        <v>453264.78</v>
      </c>
      <c r="AE101" s="25">
        <v>34630.07</v>
      </c>
      <c r="AF101" s="26">
        <v>0.08</v>
      </c>
      <c r="AG101" s="25">
        <v>14930.08</v>
      </c>
      <c r="AH101" s="25">
        <v>2531.0</v>
      </c>
      <c r="AI101" s="22">
        <v>7.75</v>
      </c>
      <c r="AJ101" s="25">
        <v>234700.0</v>
      </c>
      <c r="AK101" s="22">
        <v>51.78</v>
      </c>
      <c r="AL101" s="24">
        <v>43956.0</v>
      </c>
      <c r="AM101" s="24">
        <v>45782.0</v>
      </c>
      <c r="AN101" s="22">
        <v>60.0</v>
      </c>
      <c r="AO101" s="22">
        <v>3000.0</v>
      </c>
      <c r="AP101" s="22">
        <v>180000.0</v>
      </c>
      <c r="AQ101" s="24">
        <v>46173.0</v>
      </c>
      <c r="AR101" s="22">
        <v>16560.0</v>
      </c>
      <c r="AS101" s="22">
        <v>19463.0</v>
      </c>
      <c r="AT101" s="22">
        <v>2903.0</v>
      </c>
      <c r="AU101" s="22">
        <v>19080.0</v>
      </c>
      <c r="AV101" s="22">
        <v>1590.0</v>
      </c>
      <c r="AW101" s="25">
        <v>6441.71</v>
      </c>
      <c r="AX101" s="25">
        <v>1800.0</v>
      </c>
      <c r="AY101" s="25">
        <v>125.0</v>
      </c>
      <c r="AZ101" s="25">
        <v>291.0</v>
      </c>
      <c r="BA101" s="25">
        <v>1522.99</v>
      </c>
      <c r="BB101" s="25">
        <v>10180.7</v>
      </c>
      <c r="BC101" s="25">
        <v>1527.11</v>
      </c>
      <c r="BD101" s="25">
        <v>11707.81</v>
      </c>
      <c r="BE101" s="24">
        <v>45748.0</v>
      </c>
      <c r="BF101" s="24">
        <v>45838.0</v>
      </c>
      <c r="BG101" s="22">
        <v>14296.0</v>
      </c>
      <c r="BH101" s="22">
        <v>19463.0</v>
      </c>
      <c r="BI101" s="22">
        <v>5167.0</v>
      </c>
      <c r="BJ101" s="22">
        <v>9000.0</v>
      </c>
      <c r="BK101" s="22">
        <v>-3833.0</v>
      </c>
      <c r="BL101" s="25">
        <v>0.69</v>
      </c>
      <c r="BM101" s="25">
        <v>1.21</v>
      </c>
      <c r="BN101" s="25">
        <v>0.0</v>
      </c>
      <c r="BO101" s="25">
        <v>0.0</v>
      </c>
      <c r="BP101" s="25">
        <v>0.0</v>
      </c>
      <c r="BQ101" s="25">
        <v>-344.97</v>
      </c>
      <c r="BR101" s="25">
        <v>0.0</v>
      </c>
      <c r="BS101" s="25">
        <v>0.0</v>
      </c>
      <c r="BT101" s="25">
        <v>0.0</v>
      </c>
      <c r="BU101" s="25">
        <v>0.0</v>
      </c>
      <c r="BV101" s="25">
        <v>0.0</v>
      </c>
      <c r="BW101" s="25">
        <v>0.0</v>
      </c>
      <c r="BX101" s="25">
        <v>0.0</v>
      </c>
      <c r="BY101" s="25">
        <v>4377.55</v>
      </c>
      <c r="BZ101" s="22">
        <v>0.0</v>
      </c>
      <c r="CA101" s="25">
        <v>0.0</v>
      </c>
      <c r="CB101" s="22">
        <v>0.0</v>
      </c>
      <c r="CC101" s="25">
        <v>0.0</v>
      </c>
      <c r="CD101" s="25">
        <v>0.0</v>
      </c>
      <c r="CE101" s="25">
        <v>0.0</v>
      </c>
      <c r="CF101" s="25">
        <v>0.0</v>
      </c>
      <c r="CG101" s="25">
        <v>0.0</v>
      </c>
      <c r="CH101" s="25">
        <v>9063.04</v>
      </c>
      <c r="CI101" s="25">
        <v>1182.14</v>
      </c>
      <c r="CJ101" s="25">
        <v>7880.9</v>
      </c>
      <c r="CK101" s="25">
        <v>2.71</v>
      </c>
      <c r="CL101" s="22">
        <v>0.0</v>
      </c>
      <c r="CM101" s="22">
        <v>0.0</v>
      </c>
      <c r="CN101" s="22">
        <v>0.0</v>
      </c>
      <c r="CO101" s="22">
        <v>100.0</v>
      </c>
      <c r="CP101" s="24"/>
      <c r="CQ101" s="22">
        <v>0.0</v>
      </c>
      <c r="CR101" s="22">
        <v>0.0</v>
      </c>
      <c r="CS101" s="22">
        <v>0.0</v>
      </c>
      <c r="CT101" s="22">
        <v>-17413.0</v>
      </c>
      <c r="CU101" s="24">
        <v>47299.0</v>
      </c>
      <c r="CV101" s="24">
        <v>47299.0</v>
      </c>
      <c r="CW101" s="22">
        <v>180383.0</v>
      </c>
      <c r="CX101" s="22" t="s">
        <v>122</v>
      </c>
      <c r="CY101" s="22" t="s">
        <v>123</v>
      </c>
      <c r="CZ101" s="25">
        <v>4509.0</v>
      </c>
      <c r="DA101" s="25">
        <v>0.0</v>
      </c>
      <c r="DB101" s="25">
        <v>-14956.8</v>
      </c>
      <c r="DC101" s="25">
        <v>0.6</v>
      </c>
      <c r="DD101" s="25">
        <v>-2299.8</v>
      </c>
      <c r="DE101" s="25">
        <v>-2644.77</v>
      </c>
      <c r="DF101" s="22"/>
    </row>
    <row r="102" ht="13.5" customHeight="1">
      <c r="A102" s="22" t="s">
        <v>144</v>
      </c>
      <c r="B102" s="23">
        <v>43922.0</v>
      </c>
      <c r="C102" s="22" t="s">
        <v>109</v>
      </c>
      <c r="D102" s="22" t="s">
        <v>110</v>
      </c>
      <c r="E102" s="22" t="s">
        <v>111</v>
      </c>
      <c r="F102" s="22" t="s">
        <v>176</v>
      </c>
      <c r="G102" s="22" t="s">
        <v>140</v>
      </c>
      <c r="H102" s="22" t="s">
        <v>114</v>
      </c>
      <c r="I102" s="24">
        <v>43933.0</v>
      </c>
      <c r="J102" s="24">
        <v>43934.0</v>
      </c>
      <c r="K102" s="22">
        <f t="shared" si="1"/>
        <v>1</v>
      </c>
      <c r="L102" s="22">
        <v>1.0</v>
      </c>
      <c r="M102" s="22">
        <f t="shared" si="2"/>
        <v>0</v>
      </c>
      <c r="N102" s="24">
        <v>43947.0</v>
      </c>
      <c r="O102" s="24">
        <v>43957.0</v>
      </c>
      <c r="P102" s="22">
        <f t="shared" si="3"/>
        <v>10</v>
      </c>
      <c r="Q102" s="22">
        <v>90.0</v>
      </c>
      <c r="R102" s="22">
        <f t="shared" si="4"/>
        <v>-80</v>
      </c>
      <c r="S102" s="22" t="s">
        <v>394</v>
      </c>
      <c r="T102" s="22" t="s">
        <v>395</v>
      </c>
      <c r="U102" s="22" t="s">
        <v>117</v>
      </c>
      <c r="V102" s="22" t="s">
        <v>147</v>
      </c>
      <c r="W102" s="22" t="s">
        <v>182</v>
      </c>
      <c r="X102" s="22" t="s">
        <v>259</v>
      </c>
      <c r="Y102" s="22">
        <v>2024.0</v>
      </c>
      <c r="Z102" s="22" t="s">
        <v>135</v>
      </c>
      <c r="AA102" s="22">
        <v>1998.0</v>
      </c>
      <c r="AB102" s="22">
        <v>16.0</v>
      </c>
      <c r="AC102" s="22">
        <v>4.0</v>
      </c>
      <c r="AD102" s="25">
        <v>453264.78</v>
      </c>
      <c r="AE102" s="25">
        <v>34630.07</v>
      </c>
      <c r="AF102" s="26">
        <v>0.08</v>
      </c>
      <c r="AG102" s="25">
        <v>14735.11</v>
      </c>
      <c r="AH102" s="25">
        <v>2531.0</v>
      </c>
      <c r="AI102" s="22">
        <v>7.75</v>
      </c>
      <c r="AJ102" s="25">
        <v>234700.0</v>
      </c>
      <c r="AK102" s="22">
        <v>51.78</v>
      </c>
      <c r="AL102" s="24">
        <v>43957.0</v>
      </c>
      <c r="AM102" s="24">
        <v>43957.0</v>
      </c>
      <c r="AN102" s="22">
        <v>60.0</v>
      </c>
      <c r="AO102" s="22">
        <v>3000.0</v>
      </c>
      <c r="AP102" s="22">
        <v>180000.0</v>
      </c>
      <c r="AQ102" s="24">
        <v>46173.0</v>
      </c>
      <c r="AR102" s="22">
        <v>27101.0</v>
      </c>
      <c r="AS102" s="22">
        <v>30377.0</v>
      </c>
      <c r="AT102" s="22">
        <v>3276.0</v>
      </c>
      <c r="AU102" s="22">
        <v>29702.0</v>
      </c>
      <c r="AV102" s="22">
        <v>2475.0</v>
      </c>
      <c r="AW102" s="25">
        <v>6437.71</v>
      </c>
      <c r="AX102" s="25">
        <v>1790.0</v>
      </c>
      <c r="AY102" s="25">
        <v>125.0</v>
      </c>
      <c r="AZ102" s="25">
        <v>291.0</v>
      </c>
      <c r="BA102" s="25">
        <v>1522.99</v>
      </c>
      <c r="BB102" s="25">
        <v>10166.7</v>
      </c>
      <c r="BC102" s="25">
        <v>1525.01</v>
      </c>
      <c r="BD102" s="25">
        <v>11691.71</v>
      </c>
      <c r="BE102" s="24">
        <v>45748.0</v>
      </c>
      <c r="BF102" s="24">
        <v>45838.0</v>
      </c>
      <c r="BG102" s="22">
        <v>22745.0</v>
      </c>
      <c r="BH102" s="22">
        <v>30377.0</v>
      </c>
      <c r="BI102" s="22">
        <v>7632.0</v>
      </c>
      <c r="BJ102" s="22">
        <v>9000.0</v>
      </c>
      <c r="BK102" s="22">
        <v>-1368.0</v>
      </c>
      <c r="BL102" s="25">
        <v>0.69</v>
      </c>
      <c r="BM102" s="25">
        <v>1.21</v>
      </c>
      <c r="BN102" s="25">
        <v>0.0</v>
      </c>
      <c r="BO102" s="25">
        <v>0.0</v>
      </c>
      <c r="BP102" s="25">
        <v>0.0</v>
      </c>
      <c r="BQ102" s="25">
        <v>-123.12</v>
      </c>
      <c r="BR102" s="25">
        <v>0.0</v>
      </c>
      <c r="BS102" s="25">
        <v>0.0</v>
      </c>
      <c r="BT102" s="25">
        <v>0.0</v>
      </c>
      <c r="BU102" s="25">
        <v>0.0</v>
      </c>
      <c r="BV102" s="25">
        <v>0.0</v>
      </c>
      <c r="BW102" s="25">
        <v>0.0</v>
      </c>
      <c r="BX102" s="25">
        <v>0.0</v>
      </c>
      <c r="BY102" s="25">
        <v>4865.9</v>
      </c>
      <c r="BZ102" s="22">
        <v>0.0</v>
      </c>
      <c r="CA102" s="25">
        <v>0.0</v>
      </c>
      <c r="CB102" s="22">
        <v>0.0</v>
      </c>
      <c r="CC102" s="25">
        <v>0.0</v>
      </c>
      <c r="CD102" s="25">
        <v>0.0</v>
      </c>
      <c r="CE102" s="25">
        <v>0.0</v>
      </c>
      <c r="CF102" s="25">
        <v>0.0</v>
      </c>
      <c r="CG102" s="25">
        <v>0.0</v>
      </c>
      <c r="CH102" s="25">
        <v>10747.79</v>
      </c>
      <c r="CI102" s="25">
        <v>1401.89</v>
      </c>
      <c r="CJ102" s="25">
        <v>9345.9</v>
      </c>
      <c r="CK102" s="25">
        <v>2.85</v>
      </c>
      <c r="CL102" s="22">
        <v>0.0</v>
      </c>
      <c r="CM102" s="22">
        <v>0.0</v>
      </c>
      <c r="CN102" s="22">
        <v>0.0</v>
      </c>
      <c r="CO102" s="22">
        <v>100.0</v>
      </c>
      <c r="CP102" s="24"/>
      <c r="CQ102" s="22">
        <v>0.0</v>
      </c>
      <c r="CR102" s="22">
        <v>0.0</v>
      </c>
      <c r="CS102" s="22">
        <v>0.0</v>
      </c>
      <c r="CT102" s="22">
        <v>-6791.0</v>
      </c>
      <c r="CU102" s="24">
        <v>47299.0</v>
      </c>
      <c r="CV102" s="24">
        <v>47299.0</v>
      </c>
      <c r="CW102" s="22">
        <v>180675.0</v>
      </c>
      <c r="CX102" s="22" t="s">
        <v>122</v>
      </c>
      <c r="CY102" s="22" t="s">
        <v>123</v>
      </c>
      <c r="CZ102" s="25">
        <v>0.0</v>
      </c>
      <c r="DA102" s="25">
        <v>0.0</v>
      </c>
      <c r="DB102" s="25">
        <v>-4074.6</v>
      </c>
      <c r="DC102" s="25">
        <v>0.6</v>
      </c>
      <c r="DD102" s="25">
        <v>-820.8</v>
      </c>
      <c r="DE102" s="25">
        <v>-943.92</v>
      </c>
      <c r="DF102" s="22"/>
    </row>
    <row r="103" ht="13.5" customHeight="1">
      <c r="A103" s="22" t="s">
        <v>144</v>
      </c>
      <c r="B103" s="23">
        <v>43922.0</v>
      </c>
      <c r="C103" s="22" t="s">
        <v>124</v>
      </c>
      <c r="D103" s="22" t="s">
        <v>125</v>
      </c>
      <c r="E103" s="22" t="s">
        <v>126</v>
      </c>
      <c r="F103" s="22" t="s">
        <v>176</v>
      </c>
      <c r="G103" s="22" t="s">
        <v>140</v>
      </c>
      <c r="H103" s="22" t="s">
        <v>129</v>
      </c>
      <c r="I103" s="24">
        <v>43934.0</v>
      </c>
      <c r="J103" s="24">
        <v>43935.0</v>
      </c>
      <c r="K103" s="22">
        <f t="shared" si="1"/>
        <v>1</v>
      </c>
      <c r="L103" s="22">
        <v>1.0</v>
      </c>
      <c r="M103" s="22">
        <f t="shared" si="2"/>
        <v>0</v>
      </c>
      <c r="N103" s="24">
        <v>43948.0</v>
      </c>
      <c r="O103" s="24">
        <v>43958.0</v>
      </c>
      <c r="P103" s="22">
        <f t="shared" si="3"/>
        <v>10</v>
      </c>
      <c r="Q103" s="22">
        <v>90.0</v>
      </c>
      <c r="R103" s="22">
        <f t="shared" si="4"/>
        <v>-80</v>
      </c>
      <c r="S103" s="22" t="s">
        <v>396</v>
      </c>
      <c r="T103" s="22" t="s">
        <v>397</v>
      </c>
      <c r="U103" s="22" t="s">
        <v>117</v>
      </c>
      <c r="V103" s="22" t="s">
        <v>147</v>
      </c>
      <c r="W103" s="22" t="s">
        <v>182</v>
      </c>
      <c r="X103" s="22" t="s">
        <v>259</v>
      </c>
      <c r="Y103" s="22">
        <v>2024.0</v>
      </c>
      <c r="Z103" s="22" t="s">
        <v>135</v>
      </c>
      <c r="AA103" s="22">
        <v>1998.0</v>
      </c>
      <c r="AB103" s="22">
        <v>16.0</v>
      </c>
      <c r="AC103" s="22">
        <v>5.0</v>
      </c>
      <c r="AD103" s="25">
        <v>453264.78</v>
      </c>
      <c r="AE103" s="25">
        <v>34630.07</v>
      </c>
      <c r="AF103" s="26">
        <v>0.08</v>
      </c>
      <c r="AG103" s="25">
        <v>14921.53</v>
      </c>
      <c r="AH103" s="25">
        <v>2531.0</v>
      </c>
      <c r="AI103" s="22">
        <v>7.75</v>
      </c>
      <c r="AJ103" s="25">
        <v>234700.0</v>
      </c>
      <c r="AK103" s="22">
        <v>51.78</v>
      </c>
      <c r="AL103" s="24">
        <v>43958.0</v>
      </c>
      <c r="AM103" s="24">
        <v>45784.0</v>
      </c>
      <c r="AN103" s="22">
        <v>60.0</v>
      </c>
      <c r="AO103" s="22">
        <v>3000.0</v>
      </c>
      <c r="AP103" s="22">
        <v>180000.0</v>
      </c>
      <c r="AQ103" s="24">
        <v>46173.0</v>
      </c>
      <c r="AR103" s="22">
        <v>28171.0</v>
      </c>
      <c r="AS103" s="22">
        <v>31579.0</v>
      </c>
      <c r="AT103" s="22">
        <v>3408.0</v>
      </c>
      <c r="AU103" s="22">
        <v>31195.0</v>
      </c>
      <c r="AV103" s="22">
        <v>2600.0</v>
      </c>
      <c r="AW103" s="25">
        <v>6441.55</v>
      </c>
      <c r="AX103" s="25">
        <v>1800.0</v>
      </c>
      <c r="AY103" s="25">
        <v>125.0</v>
      </c>
      <c r="AZ103" s="25">
        <v>291.0</v>
      </c>
      <c r="BA103" s="25">
        <v>1522.99</v>
      </c>
      <c r="BB103" s="25">
        <v>10180.54</v>
      </c>
      <c r="BC103" s="25">
        <v>1527.08</v>
      </c>
      <c r="BD103" s="25">
        <v>11707.62</v>
      </c>
      <c r="BE103" s="24">
        <v>45748.0</v>
      </c>
      <c r="BF103" s="24">
        <v>45838.0</v>
      </c>
      <c r="BG103" s="22">
        <v>23074.0</v>
      </c>
      <c r="BH103" s="22">
        <v>31579.0</v>
      </c>
      <c r="BI103" s="22">
        <v>8505.0</v>
      </c>
      <c r="BJ103" s="22">
        <v>9000.0</v>
      </c>
      <c r="BK103" s="22">
        <v>-495.0</v>
      </c>
      <c r="BL103" s="25">
        <v>0.69</v>
      </c>
      <c r="BM103" s="25">
        <v>1.21</v>
      </c>
      <c r="BN103" s="25">
        <v>0.0</v>
      </c>
      <c r="BO103" s="25">
        <v>0.0</v>
      </c>
      <c r="BP103" s="25">
        <v>0.0</v>
      </c>
      <c r="BQ103" s="25">
        <v>-44.55</v>
      </c>
      <c r="BR103" s="25">
        <v>0.0</v>
      </c>
      <c r="BS103" s="25">
        <v>0.0</v>
      </c>
      <c r="BT103" s="25">
        <v>0.0</v>
      </c>
      <c r="BU103" s="25">
        <v>0.0</v>
      </c>
      <c r="BV103" s="25">
        <v>0.0</v>
      </c>
      <c r="BW103" s="25">
        <v>0.0</v>
      </c>
      <c r="BX103" s="25">
        <v>0.0</v>
      </c>
      <c r="BY103" s="25">
        <v>4300.24</v>
      </c>
      <c r="BZ103" s="22">
        <v>0.0</v>
      </c>
      <c r="CA103" s="25">
        <v>0.0</v>
      </c>
      <c r="CB103" s="22">
        <v>0.0</v>
      </c>
      <c r="CC103" s="25">
        <v>0.0</v>
      </c>
      <c r="CD103" s="25">
        <v>0.0</v>
      </c>
      <c r="CE103" s="25">
        <v>0.0</v>
      </c>
      <c r="CF103" s="25">
        <v>0.0</v>
      </c>
      <c r="CG103" s="25">
        <v>0.0</v>
      </c>
      <c r="CH103" s="25">
        <v>11366.07</v>
      </c>
      <c r="CI103" s="25">
        <v>1482.53</v>
      </c>
      <c r="CJ103" s="25">
        <v>9883.54</v>
      </c>
      <c r="CK103" s="25">
        <v>2.9</v>
      </c>
      <c r="CL103" s="22">
        <v>0.0</v>
      </c>
      <c r="CM103" s="22">
        <v>0.0</v>
      </c>
      <c r="CN103" s="22">
        <v>0.0</v>
      </c>
      <c r="CO103" s="22">
        <v>100.0</v>
      </c>
      <c r="CP103" s="24"/>
      <c r="CQ103" s="22">
        <v>0.0</v>
      </c>
      <c r="CR103" s="22">
        <v>0.0</v>
      </c>
      <c r="CS103" s="22">
        <v>0.0</v>
      </c>
      <c r="CT103" s="22">
        <v>-5298.0</v>
      </c>
      <c r="CU103" s="24">
        <v>47299.0</v>
      </c>
      <c r="CV103" s="24">
        <v>47299.0</v>
      </c>
      <c r="CW103" s="22">
        <v>180384.0</v>
      </c>
      <c r="CX103" s="22" t="s">
        <v>122</v>
      </c>
      <c r="CY103" s="22" t="s">
        <v>123</v>
      </c>
      <c r="CZ103" s="25">
        <v>0.0</v>
      </c>
      <c r="DA103" s="25">
        <v>0.0</v>
      </c>
      <c r="DB103" s="25">
        <v>-3178.8</v>
      </c>
      <c r="DC103" s="25">
        <v>0.6</v>
      </c>
      <c r="DD103" s="25">
        <v>-297.0</v>
      </c>
      <c r="DE103" s="25">
        <v>-341.55</v>
      </c>
      <c r="DF103" s="22"/>
    </row>
    <row r="104" ht="13.5" customHeight="1">
      <c r="A104" s="22" t="s">
        <v>144</v>
      </c>
      <c r="B104" s="23">
        <v>43922.0</v>
      </c>
      <c r="C104" s="22" t="s">
        <v>136</v>
      </c>
      <c r="D104" s="22" t="s">
        <v>137</v>
      </c>
      <c r="E104" s="22" t="s">
        <v>138</v>
      </c>
      <c r="F104" s="22" t="s">
        <v>176</v>
      </c>
      <c r="G104" s="22" t="s">
        <v>140</v>
      </c>
      <c r="H104" s="22" t="s">
        <v>141</v>
      </c>
      <c r="I104" s="24">
        <v>43935.0</v>
      </c>
      <c r="J104" s="24">
        <v>43936.0</v>
      </c>
      <c r="K104" s="22">
        <f t="shared" si="1"/>
        <v>1</v>
      </c>
      <c r="L104" s="22">
        <v>1.0</v>
      </c>
      <c r="M104" s="22">
        <f t="shared" si="2"/>
        <v>0</v>
      </c>
      <c r="N104" s="24">
        <v>43949.0</v>
      </c>
      <c r="O104" s="24">
        <v>44112.0</v>
      </c>
      <c r="P104" s="22">
        <f t="shared" si="3"/>
        <v>163</v>
      </c>
      <c r="Q104" s="22">
        <v>90.0</v>
      </c>
      <c r="R104" s="22">
        <f t="shared" si="4"/>
        <v>73</v>
      </c>
      <c r="S104" s="22" t="s">
        <v>398</v>
      </c>
      <c r="T104" s="22" t="s">
        <v>399</v>
      </c>
      <c r="U104" s="22" t="s">
        <v>117</v>
      </c>
      <c r="V104" s="22" t="s">
        <v>190</v>
      </c>
      <c r="W104" s="22" t="s">
        <v>194</v>
      </c>
      <c r="X104" s="22" t="s">
        <v>195</v>
      </c>
      <c r="Y104" s="22">
        <v>2024.0</v>
      </c>
      <c r="Z104" s="22" t="s">
        <v>121</v>
      </c>
      <c r="AA104" s="22">
        <v>1198.0</v>
      </c>
      <c r="AB104" s="22">
        <v>16.0</v>
      </c>
      <c r="AC104" s="22">
        <v>0.0</v>
      </c>
      <c r="AD104" s="25">
        <v>184260.87</v>
      </c>
      <c r="AE104" s="25">
        <v>11200.0</v>
      </c>
      <c r="AF104" s="26">
        <v>0.06</v>
      </c>
      <c r="AG104" s="25">
        <v>5529.12</v>
      </c>
      <c r="AH104" s="25">
        <v>1973.0</v>
      </c>
      <c r="AI104" s="22">
        <v>7.75</v>
      </c>
      <c r="AJ104" s="25">
        <v>99780.0</v>
      </c>
      <c r="AK104" s="22">
        <v>54.15</v>
      </c>
      <c r="AL104" s="24">
        <v>44112.0</v>
      </c>
      <c r="AM104" s="24">
        <v>45938.0</v>
      </c>
      <c r="AN104" s="22">
        <v>60.0</v>
      </c>
      <c r="AO104" s="22">
        <v>1500.0</v>
      </c>
      <c r="AP104" s="22">
        <v>90000.0</v>
      </c>
      <c r="AQ104" s="24">
        <v>46203.0</v>
      </c>
      <c r="AR104" s="22">
        <v>10007.0</v>
      </c>
      <c r="AS104" s="22">
        <v>10668.0</v>
      </c>
      <c r="AT104" s="22">
        <v>661.0</v>
      </c>
      <c r="AU104" s="22">
        <v>10047.0</v>
      </c>
      <c r="AV104" s="22">
        <v>913.0</v>
      </c>
      <c r="AW104" s="25">
        <v>2964.24</v>
      </c>
      <c r="AX104" s="25">
        <v>615.0</v>
      </c>
      <c r="AY104" s="25">
        <v>125.0</v>
      </c>
      <c r="AZ104" s="25">
        <v>387.99</v>
      </c>
      <c r="BA104" s="25">
        <v>1118.13</v>
      </c>
      <c r="BB104" s="25">
        <v>5210.36</v>
      </c>
      <c r="BC104" s="25">
        <v>781.55</v>
      </c>
      <c r="BD104" s="25">
        <v>5991.91</v>
      </c>
      <c r="BE104" s="24">
        <v>45748.0</v>
      </c>
      <c r="BF104" s="24">
        <v>45838.0</v>
      </c>
      <c r="BG104" s="22">
        <v>8419.0</v>
      </c>
      <c r="BH104" s="22">
        <v>10668.0</v>
      </c>
      <c r="BI104" s="22">
        <v>2249.0</v>
      </c>
      <c r="BJ104" s="22">
        <v>4500.0</v>
      </c>
      <c r="BK104" s="22">
        <v>-2251.0</v>
      </c>
      <c r="BL104" s="25">
        <v>0.47</v>
      </c>
      <c r="BM104" s="25">
        <v>0.94</v>
      </c>
      <c r="BN104" s="25">
        <v>0.0</v>
      </c>
      <c r="BO104" s="25">
        <v>0.0</v>
      </c>
      <c r="BP104" s="25">
        <v>0.0</v>
      </c>
      <c r="BQ104" s="25">
        <v>-138.44</v>
      </c>
      <c r="BR104" s="25">
        <v>0.0</v>
      </c>
      <c r="BS104" s="25">
        <v>0.0</v>
      </c>
      <c r="BT104" s="25">
        <v>0.0</v>
      </c>
      <c r="BU104" s="25">
        <v>0.0</v>
      </c>
      <c r="BV104" s="25">
        <v>0.0</v>
      </c>
      <c r="BW104" s="25">
        <v>0.0</v>
      </c>
      <c r="BX104" s="25">
        <v>0.0</v>
      </c>
      <c r="BY104" s="25">
        <v>0.0</v>
      </c>
      <c r="BZ104" s="22">
        <v>0.0</v>
      </c>
      <c r="CA104" s="25">
        <v>0.0</v>
      </c>
      <c r="CB104" s="22">
        <v>0.0</v>
      </c>
      <c r="CC104" s="25">
        <v>0.0</v>
      </c>
      <c r="CD104" s="25">
        <v>0.0</v>
      </c>
      <c r="CE104" s="25">
        <v>0.0</v>
      </c>
      <c r="CF104" s="25">
        <v>0.0</v>
      </c>
      <c r="CG104" s="25">
        <v>0.0</v>
      </c>
      <c r="CH104" s="25">
        <v>4930.56</v>
      </c>
      <c r="CI104" s="25">
        <v>643.11</v>
      </c>
      <c r="CJ104" s="25">
        <v>4287.45</v>
      </c>
      <c r="CK104" s="25">
        <v>6.49</v>
      </c>
      <c r="CL104" s="22">
        <v>0.0</v>
      </c>
      <c r="CM104" s="22">
        <v>0.0</v>
      </c>
      <c r="CN104" s="22">
        <v>0.0</v>
      </c>
      <c r="CO104" s="22">
        <v>100.0</v>
      </c>
      <c r="CP104" s="24"/>
      <c r="CQ104" s="22">
        <v>0.0</v>
      </c>
      <c r="CR104" s="22">
        <v>0.0</v>
      </c>
      <c r="CS104" s="22">
        <v>0.0</v>
      </c>
      <c r="CT104" s="22">
        <v>-7143.0</v>
      </c>
      <c r="CU104" s="24">
        <v>47330.0</v>
      </c>
      <c r="CV104" s="24">
        <v>47330.0</v>
      </c>
      <c r="CW104" s="22">
        <v>90621.0</v>
      </c>
      <c r="CX104" s="22" t="s">
        <v>122</v>
      </c>
      <c r="CY104" s="22" t="s">
        <v>123</v>
      </c>
      <c r="CZ104" s="25">
        <v>0.0</v>
      </c>
      <c r="DA104" s="25">
        <v>0.0</v>
      </c>
      <c r="DB104" s="25">
        <v>-2928.63</v>
      </c>
      <c r="DC104" s="25">
        <v>0.41</v>
      </c>
      <c r="DD104" s="25">
        <v>-922.91</v>
      </c>
      <c r="DE104" s="25">
        <v>-1061.35</v>
      </c>
      <c r="DF104" s="22"/>
    </row>
    <row r="105" ht="13.5" customHeight="1">
      <c r="A105" s="22" t="s">
        <v>144</v>
      </c>
      <c r="B105" s="23">
        <v>43922.0</v>
      </c>
      <c r="C105" s="22" t="s">
        <v>109</v>
      </c>
      <c r="D105" s="22" t="s">
        <v>110</v>
      </c>
      <c r="E105" s="22" t="s">
        <v>111</v>
      </c>
      <c r="F105" s="22" t="s">
        <v>172</v>
      </c>
      <c r="G105" s="22" t="s">
        <v>140</v>
      </c>
      <c r="H105" s="22" t="s">
        <v>114</v>
      </c>
      <c r="I105" s="24">
        <v>43936.0</v>
      </c>
      <c r="J105" s="24">
        <v>43941.0</v>
      </c>
      <c r="K105" s="22">
        <f t="shared" si="1"/>
        <v>5</v>
      </c>
      <c r="L105" s="22">
        <v>1.0</v>
      </c>
      <c r="M105" s="22">
        <f t="shared" si="2"/>
        <v>4</v>
      </c>
      <c r="N105" s="24">
        <v>43950.0</v>
      </c>
      <c r="O105" s="24">
        <v>43960.0</v>
      </c>
      <c r="P105" s="22">
        <f t="shared" si="3"/>
        <v>10</v>
      </c>
      <c r="Q105" s="22">
        <v>90.0</v>
      </c>
      <c r="R105" s="22">
        <f t="shared" si="4"/>
        <v>-80</v>
      </c>
      <c r="S105" s="22" t="s">
        <v>400</v>
      </c>
      <c r="T105" s="22" t="s">
        <v>401</v>
      </c>
      <c r="U105" s="22" t="s">
        <v>117</v>
      </c>
      <c r="V105" s="22" t="s">
        <v>147</v>
      </c>
      <c r="W105" s="22" t="s">
        <v>182</v>
      </c>
      <c r="X105" s="22" t="s">
        <v>259</v>
      </c>
      <c r="Y105" s="22">
        <v>2024.0</v>
      </c>
      <c r="Z105" s="22" t="s">
        <v>135</v>
      </c>
      <c r="AA105" s="22">
        <v>1998.0</v>
      </c>
      <c r="AB105" s="22">
        <v>16.0</v>
      </c>
      <c r="AC105" s="22">
        <v>1.0</v>
      </c>
      <c r="AD105" s="25">
        <v>453264.78</v>
      </c>
      <c r="AE105" s="25">
        <v>19222.07</v>
      </c>
      <c r="AF105" s="26">
        <v>0.04</v>
      </c>
      <c r="AG105" s="25">
        <v>30425.44</v>
      </c>
      <c r="AH105" s="25">
        <v>2322.0</v>
      </c>
      <c r="AI105" s="22">
        <v>7.75</v>
      </c>
      <c r="AJ105" s="25">
        <v>164002.3</v>
      </c>
      <c r="AK105" s="22">
        <v>42.89</v>
      </c>
      <c r="AL105" s="24">
        <v>43960.0</v>
      </c>
      <c r="AM105" s="24">
        <v>45786.0</v>
      </c>
      <c r="AN105" s="22">
        <v>60.0</v>
      </c>
      <c r="AO105" s="22">
        <v>5000.0</v>
      </c>
      <c r="AP105" s="22">
        <v>217659.0</v>
      </c>
      <c r="AQ105" s="24">
        <v>46203.0</v>
      </c>
      <c r="AR105" s="22">
        <v>16654.0</v>
      </c>
      <c r="AS105" s="22">
        <v>20249.0</v>
      </c>
      <c r="AT105" s="22">
        <v>3595.0</v>
      </c>
      <c r="AU105" s="22">
        <v>19638.0</v>
      </c>
      <c r="AV105" s="22">
        <v>1964.0</v>
      </c>
      <c r="AW105" s="25">
        <v>9107.72</v>
      </c>
      <c r="AX105" s="25">
        <v>3750.0</v>
      </c>
      <c r="AY105" s="25">
        <v>125.0</v>
      </c>
      <c r="AZ105" s="25">
        <v>291.0</v>
      </c>
      <c r="BA105" s="25">
        <v>1569.13</v>
      </c>
      <c r="BB105" s="25">
        <v>14842.85</v>
      </c>
      <c r="BC105" s="25">
        <v>2226.43</v>
      </c>
      <c r="BD105" s="25">
        <v>17069.28</v>
      </c>
      <c r="BE105" s="24">
        <v>45748.0</v>
      </c>
      <c r="BF105" s="24">
        <v>45838.0</v>
      </c>
      <c r="BG105" s="22">
        <v>13554.0</v>
      </c>
      <c r="BH105" s="22">
        <v>20249.0</v>
      </c>
      <c r="BI105" s="22">
        <v>6695.0</v>
      </c>
      <c r="BJ105" s="22">
        <v>15000.0</v>
      </c>
      <c r="BK105" s="22">
        <v>-8305.0</v>
      </c>
      <c r="BL105" s="25">
        <v>0.71</v>
      </c>
      <c r="BM105" s="25">
        <v>1.0</v>
      </c>
      <c r="BN105" s="25">
        <v>0.0</v>
      </c>
      <c r="BO105" s="25">
        <v>0.0</v>
      </c>
      <c r="BP105" s="25">
        <v>0.0</v>
      </c>
      <c r="BQ105" s="25">
        <v>-934.31</v>
      </c>
      <c r="BR105" s="25">
        <v>0.0</v>
      </c>
      <c r="BS105" s="25">
        <v>0.0</v>
      </c>
      <c r="BT105" s="25">
        <v>0.0</v>
      </c>
      <c r="BU105" s="25">
        <v>0.0</v>
      </c>
      <c r="BV105" s="25">
        <v>0.0</v>
      </c>
      <c r="BW105" s="25">
        <v>0.0</v>
      </c>
      <c r="BX105" s="25">
        <v>0.0</v>
      </c>
      <c r="BY105" s="25">
        <v>5327.71</v>
      </c>
      <c r="BZ105" s="22">
        <v>0.0</v>
      </c>
      <c r="CA105" s="25">
        <v>0.0</v>
      </c>
      <c r="CB105" s="22">
        <v>0.0</v>
      </c>
      <c r="CC105" s="25">
        <v>0.0</v>
      </c>
      <c r="CD105" s="25">
        <v>0.0</v>
      </c>
      <c r="CE105" s="25">
        <v>0.0</v>
      </c>
      <c r="CF105" s="25">
        <v>0.0</v>
      </c>
      <c r="CG105" s="25">
        <v>0.0</v>
      </c>
      <c r="CH105" s="25">
        <v>9906.22</v>
      </c>
      <c r="CI105" s="25">
        <v>1292.12</v>
      </c>
      <c r="CJ105" s="25">
        <v>8614.1</v>
      </c>
      <c r="CK105" s="25">
        <v>2.4</v>
      </c>
      <c r="CL105" s="22">
        <v>0.0</v>
      </c>
      <c r="CM105" s="22">
        <v>0.0</v>
      </c>
      <c r="CN105" s="22">
        <v>0.0</v>
      </c>
      <c r="CO105" s="22">
        <v>100.0</v>
      </c>
      <c r="CP105" s="24"/>
      <c r="CQ105" s="22">
        <v>0.0</v>
      </c>
      <c r="CR105" s="22">
        <v>0.0</v>
      </c>
      <c r="CS105" s="22">
        <v>0.0</v>
      </c>
      <c r="CT105" s="22">
        <v>-66937.0</v>
      </c>
      <c r="CU105" s="24">
        <v>46996.0</v>
      </c>
      <c r="CV105" s="24">
        <v>46996.0</v>
      </c>
      <c r="CW105" s="22">
        <v>218270.0</v>
      </c>
      <c r="CX105" s="22" t="s">
        <v>122</v>
      </c>
      <c r="CY105" s="22" t="s">
        <v>123</v>
      </c>
      <c r="CZ105" s="25">
        <v>12888.0</v>
      </c>
      <c r="DA105" s="25">
        <v>0.0</v>
      </c>
      <c r="DB105" s="25">
        <v>-57728.77</v>
      </c>
      <c r="DC105" s="25">
        <v>0.75</v>
      </c>
      <c r="DD105" s="25">
        <v>-6228.75</v>
      </c>
      <c r="DE105" s="25">
        <v>-7163.06</v>
      </c>
      <c r="DF105" s="22"/>
    </row>
    <row r="106" ht="13.5" customHeight="1">
      <c r="A106" s="22" t="s">
        <v>157</v>
      </c>
      <c r="B106" s="23">
        <v>43922.0</v>
      </c>
      <c r="C106" s="22" t="s">
        <v>124</v>
      </c>
      <c r="D106" s="22" t="s">
        <v>125</v>
      </c>
      <c r="E106" s="22" t="s">
        <v>126</v>
      </c>
      <c r="F106" s="22" t="s">
        <v>402</v>
      </c>
      <c r="G106" s="22" t="s">
        <v>140</v>
      </c>
      <c r="H106" s="22" t="s">
        <v>129</v>
      </c>
      <c r="I106" s="24">
        <v>43937.0</v>
      </c>
      <c r="J106" s="24">
        <v>43938.0</v>
      </c>
      <c r="K106" s="22">
        <f t="shared" si="1"/>
        <v>1</v>
      </c>
      <c r="L106" s="22">
        <v>1.0</v>
      </c>
      <c r="M106" s="22">
        <f t="shared" si="2"/>
        <v>0</v>
      </c>
      <c r="N106" s="24">
        <v>43951.0</v>
      </c>
      <c r="O106" s="24">
        <v>44053.0</v>
      </c>
      <c r="P106" s="22">
        <f t="shared" si="3"/>
        <v>102</v>
      </c>
      <c r="Q106" s="22">
        <v>90.0</v>
      </c>
      <c r="R106" s="22">
        <f t="shared" si="4"/>
        <v>12</v>
      </c>
      <c r="S106" s="22" t="s">
        <v>403</v>
      </c>
      <c r="T106" s="22" t="s">
        <v>404</v>
      </c>
      <c r="U106" s="22" t="s">
        <v>117</v>
      </c>
      <c r="V106" s="22" t="s">
        <v>147</v>
      </c>
      <c r="W106" s="22" t="s">
        <v>182</v>
      </c>
      <c r="X106" s="22" t="s">
        <v>259</v>
      </c>
      <c r="Y106" s="22">
        <v>2024.0</v>
      </c>
      <c r="Z106" s="22" t="s">
        <v>135</v>
      </c>
      <c r="AA106" s="22">
        <v>1998.0</v>
      </c>
      <c r="AB106" s="22">
        <v>16.0</v>
      </c>
      <c r="AC106" s="22">
        <v>0.0</v>
      </c>
      <c r="AD106" s="25">
        <v>453264.78</v>
      </c>
      <c r="AE106" s="25">
        <v>19222.07</v>
      </c>
      <c r="AF106" s="26">
        <v>0.04</v>
      </c>
      <c r="AG106" s="25">
        <v>50158.73</v>
      </c>
      <c r="AH106" s="25">
        <v>2633.0</v>
      </c>
      <c r="AI106" s="22">
        <v>7.75</v>
      </c>
      <c r="AJ106" s="25">
        <v>184871.0</v>
      </c>
      <c r="AK106" s="22">
        <v>45.7</v>
      </c>
      <c r="AL106" s="24">
        <v>44053.0</v>
      </c>
      <c r="AM106" s="24">
        <v>45879.0</v>
      </c>
      <c r="AN106" s="22">
        <v>60.0</v>
      </c>
      <c r="AO106" s="22">
        <v>2500.0</v>
      </c>
      <c r="AP106" s="22">
        <v>167602.0</v>
      </c>
      <c r="AQ106" s="24">
        <v>46203.0</v>
      </c>
      <c r="AR106" s="22">
        <v>38804.0</v>
      </c>
      <c r="AS106" s="22">
        <v>40191.0</v>
      </c>
      <c r="AT106" s="22">
        <v>1387.0</v>
      </c>
      <c r="AU106" s="22">
        <v>39575.0</v>
      </c>
      <c r="AV106" s="22">
        <v>3958.0</v>
      </c>
      <c r="AW106" s="25">
        <v>8668.69</v>
      </c>
      <c r="AX106" s="25">
        <v>1775.0</v>
      </c>
      <c r="AY106" s="25">
        <v>125.0</v>
      </c>
      <c r="AZ106" s="25">
        <v>291.0</v>
      </c>
      <c r="BA106" s="25">
        <v>1522.99</v>
      </c>
      <c r="BB106" s="25">
        <v>12382.68</v>
      </c>
      <c r="BC106" s="25">
        <v>1857.4</v>
      </c>
      <c r="BD106" s="25">
        <v>14240.08</v>
      </c>
      <c r="BE106" s="24">
        <v>45748.0</v>
      </c>
      <c r="BF106" s="24">
        <v>45838.0</v>
      </c>
      <c r="BG106" s="22">
        <v>34978.0</v>
      </c>
      <c r="BH106" s="22">
        <v>40191.0</v>
      </c>
      <c r="BI106" s="22">
        <v>5213.0</v>
      </c>
      <c r="BJ106" s="22">
        <v>7500.0</v>
      </c>
      <c r="BK106" s="22">
        <v>-2287.0</v>
      </c>
      <c r="BL106" s="25">
        <v>0.82</v>
      </c>
      <c r="BM106" s="25">
        <v>1.6</v>
      </c>
      <c r="BN106" s="25">
        <v>0.0</v>
      </c>
      <c r="BO106" s="25">
        <v>0.0</v>
      </c>
      <c r="BP106" s="25">
        <v>0.0</v>
      </c>
      <c r="BQ106" s="25">
        <v>-243.57</v>
      </c>
      <c r="BR106" s="25">
        <v>0.0</v>
      </c>
      <c r="BS106" s="25">
        <v>0.0</v>
      </c>
      <c r="BT106" s="25">
        <v>0.0</v>
      </c>
      <c r="BU106" s="25">
        <v>0.0</v>
      </c>
      <c r="BV106" s="25">
        <v>0.0</v>
      </c>
      <c r="BW106" s="25">
        <v>0.0</v>
      </c>
      <c r="BX106" s="25">
        <v>0.0</v>
      </c>
      <c r="BY106" s="25">
        <v>3036.33</v>
      </c>
      <c r="BZ106" s="22">
        <v>0.0</v>
      </c>
      <c r="CA106" s="25">
        <v>0.0</v>
      </c>
      <c r="CB106" s="22">
        <v>0.0</v>
      </c>
      <c r="CC106" s="25">
        <v>0.0</v>
      </c>
      <c r="CD106" s="25">
        <v>0.0</v>
      </c>
      <c r="CE106" s="25">
        <v>0.0</v>
      </c>
      <c r="CF106" s="25">
        <v>0.0</v>
      </c>
      <c r="CG106" s="25">
        <v>0.0</v>
      </c>
      <c r="CH106" s="25">
        <v>12372.74</v>
      </c>
      <c r="CI106" s="25">
        <v>1613.83</v>
      </c>
      <c r="CJ106" s="25">
        <v>10758.91</v>
      </c>
      <c r="CK106" s="25">
        <v>7.76</v>
      </c>
      <c r="CL106" s="22">
        <v>0.0</v>
      </c>
      <c r="CM106" s="22">
        <v>0.0</v>
      </c>
      <c r="CN106" s="22">
        <v>0.0</v>
      </c>
      <c r="CO106" s="22">
        <v>100.0</v>
      </c>
      <c r="CP106" s="24"/>
      <c r="CQ106" s="22">
        <v>0.0</v>
      </c>
      <c r="CR106" s="22">
        <v>0.0</v>
      </c>
      <c r="CS106" s="22">
        <v>0.0</v>
      </c>
      <c r="CT106" s="22">
        <v>-2726.0</v>
      </c>
      <c r="CU106" s="24">
        <v>47361.0</v>
      </c>
      <c r="CV106" s="24">
        <v>47361.0</v>
      </c>
      <c r="CW106" s="22">
        <v>168218.0</v>
      </c>
      <c r="CX106" s="22" t="s">
        <v>122</v>
      </c>
      <c r="CY106" s="22" t="s">
        <v>123</v>
      </c>
      <c r="CZ106" s="25">
        <v>2890.05</v>
      </c>
      <c r="DA106" s="25">
        <v>2889.0</v>
      </c>
      <c r="DB106" s="25">
        <v>-4525.99</v>
      </c>
      <c r="DC106" s="25">
        <v>0.71</v>
      </c>
      <c r="DD106" s="25">
        <v>-1623.77</v>
      </c>
      <c r="DE106" s="25">
        <v>-1867.34</v>
      </c>
      <c r="DF106" s="22"/>
    </row>
    <row r="107" ht="13.5" customHeight="1">
      <c r="A107" s="22" t="s">
        <v>157</v>
      </c>
      <c r="B107" s="23">
        <v>43922.0</v>
      </c>
      <c r="C107" s="22" t="s">
        <v>136</v>
      </c>
      <c r="D107" s="22" t="s">
        <v>137</v>
      </c>
      <c r="E107" s="22" t="s">
        <v>138</v>
      </c>
      <c r="F107" s="22" t="s">
        <v>402</v>
      </c>
      <c r="G107" s="22" t="s">
        <v>140</v>
      </c>
      <c r="H107" s="22" t="s">
        <v>141</v>
      </c>
      <c r="I107" s="24">
        <v>43938.0</v>
      </c>
      <c r="J107" s="24">
        <v>43939.0</v>
      </c>
      <c r="K107" s="22">
        <f t="shared" si="1"/>
        <v>1</v>
      </c>
      <c r="L107" s="22">
        <v>1.0</v>
      </c>
      <c r="M107" s="22">
        <f t="shared" si="2"/>
        <v>0</v>
      </c>
      <c r="N107" s="24">
        <v>43952.0</v>
      </c>
      <c r="O107" s="24">
        <v>43962.0</v>
      </c>
      <c r="P107" s="22">
        <f t="shared" si="3"/>
        <v>10</v>
      </c>
      <c r="Q107" s="22">
        <v>90.0</v>
      </c>
      <c r="R107" s="22">
        <f t="shared" si="4"/>
        <v>-80</v>
      </c>
      <c r="S107" s="22" t="s">
        <v>405</v>
      </c>
      <c r="T107" s="22" t="s">
        <v>406</v>
      </c>
      <c r="U107" s="22" t="s">
        <v>117</v>
      </c>
      <c r="V107" s="22" t="s">
        <v>147</v>
      </c>
      <c r="W107" s="22" t="s">
        <v>182</v>
      </c>
      <c r="X107" s="22" t="s">
        <v>259</v>
      </c>
      <c r="Y107" s="22">
        <v>2024.0</v>
      </c>
      <c r="Z107" s="22" t="s">
        <v>135</v>
      </c>
      <c r="AA107" s="22">
        <v>1998.0</v>
      </c>
      <c r="AB107" s="22">
        <v>16.0</v>
      </c>
      <c r="AC107" s="22">
        <v>0.0</v>
      </c>
      <c r="AD107" s="25">
        <v>453264.78</v>
      </c>
      <c r="AE107" s="25">
        <v>19222.07</v>
      </c>
      <c r="AF107" s="26">
        <v>0.04</v>
      </c>
      <c r="AG107" s="25">
        <v>50544.62</v>
      </c>
      <c r="AH107" s="25">
        <v>2633.0</v>
      </c>
      <c r="AI107" s="22">
        <v>7.75</v>
      </c>
      <c r="AJ107" s="25">
        <v>228429.72</v>
      </c>
      <c r="AK107" s="22">
        <v>56.03</v>
      </c>
      <c r="AL107" s="24">
        <v>43962.0</v>
      </c>
      <c r="AM107" s="24">
        <v>45788.0</v>
      </c>
      <c r="AN107" s="22">
        <v>60.0</v>
      </c>
      <c r="AO107" s="22">
        <v>4500.0</v>
      </c>
      <c r="AP107" s="22">
        <v>215488.0</v>
      </c>
      <c r="AQ107" s="24">
        <v>46203.0</v>
      </c>
      <c r="AR107" s="22">
        <v>39509.0</v>
      </c>
      <c r="AS107" s="22">
        <v>43116.0</v>
      </c>
      <c r="AT107" s="22">
        <v>3607.0</v>
      </c>
      <c r="AU107" s="22">
        <v>42501.0</v>
      </c>
      <c r="AV107" s="22">
        <v>4250.0</v>
      </c>
      <c r="AW107" s="25">
        <v>8654.46</v>
      </c>
      <c r="AX107" s="25">
        <v>2790.0</v>
      </c>
      <c r="AY107" s="25">
        <v>125.0</v>
      </c>
      <c r="AZ107" s="25">
        <v>291.0</v>
      </c>
      <c r="BA107" s="25">
        <v>1522.99</v>
      </c>
      <c r="BB107" s="25">
        <v>13383.45</v>
      </c>
      <c r="BC107" s="25">
        <v>2007.52</v>
      </c>
      <c r="BD107" s="25">
        <v>15390.97</v>
      </c>
      <c r="BE107" s="24">
        <v>45748.0</v>
      </c>
      <c r="BF107" s="24">
        <v>45838.0</v>
      </c>
      <c r="BG107" s="22">
        <v>30791.0</v>
      </c>
      <c r="BH107" s="22">
        <v>43116.0</v>
      </c>
      <c r="BI107" s="22">
        <v>12325.0</v>
      </c>
      <c r="BJ107" s="22">
        <v>13500.0</v>
      </c>
      <c r="BK107" s="22">
        <v>-1175.0</v>
      </c>
      <c r="BL107" s="25">
        <v>0.71</v>
      </c>
      <c r="BM107" s="25">
        <v>1.04</v>
      </c>
      <c r="BN107" s="25">
        <v>0.0</v>
      </c>
      <c r="BO107" s="25">
        <v>0.0</v>
      </c>
      <c r="BP107" s="25">
        <v>0.0</v>
      </c>
      <c r="BQ107" s="25">
        <v>-109.28</v>
      </c>
      <c r="BR107" s="25">
        <v>0.0</v>
      </c>
      <c r="BS107" s="25">
        <v>4950.0</v>
      </c>
      <c r="BT107" s="25">
        <v>0.0</v>
      </c>
      <c r="BU107" s="25">
        <v>0.0</v>
      </c>
      <c r="BV107" s="25">
        <v>0.0</v>
      </c>
      <c r="BW107" s="25">
        <v>0.0</v>
      </c>
      <c r="BX107" s="25">
        <v>0.0</v>
      </c>
      <c r="BY107" s="25">
        <v>5820.69</v>
      </c>
      <c r="BZ107" s="22">
        <v>0.0</v>
      </c>
      <c r="CA107" s="25">
        <v>0.0</v>
      </c>
      <c r="CB107" s="22">
        <v>0.0</v>
      </c>
      <c r="CC107" s="25">
        <v>0.0</v>
      </c>
      <c r="CD107" s="25">
        <v>0.0</v>
      </c>
      <c r="CE107" s="25">
        <v>4950.0</v>
      </c>
      <c r="CF107" s="25">
        <v>742.5</v>
      </c>
      <c r="CG107" s="25">
        <v>5692.5</v>
      </c>
      <c r="CH107" s="25">
        <v>20245.69</v>
      </c>
      <c r="CI107" s="25">
        <v>2640.74</v>
      </c>
      <c r="CJ107" s="25">
        <v>17604.95</v>
      </c>
      <c r="CK107" s="25">
        <v>4.88</v>
      </c>
      <c r="CL107" s="22">
        <v>35.0</v>
      </c>
      <c r="CM107" s="22">
        <v>0.0</v>
      </c>
      <c r="CN107" s="22">
        <v>0.0</v>
      </c>
      <c r="CO107" s="22">
        <v>100.0</v>
      </c>
      <c r="CP107" s="24"/>
      <c r="CQ107" s="22">
        <v>0.0</v>
      </c>
      <c r="CR107" s="22">
        <v>0.0</v>
      </c>
      <c r="CS107" s="22">
        <v>0.0</v>
      </c>
      <c r="CT107" s="22">
        <v>1400.0</v>
      </c>
      <c r="CU107" s="24">
        <v>46996.0</v>
      </c>
      <c r="CV107" s="24">
        <v>46996.0</v>
      </c>
      <c r="CW107" s="22">
        <v>216103.0</v>
      </c>
      <c r="CX107" s="22" t="s">
        <v>122</v>
      </c>
      <c r="CY107" s="22" t="s">
        <v>123</v>
      </c>
      <c r="CZ107" s="25">
        <v>1890.73</v>
      </c>
      <c r="DA107" s="25">
        <v>2769.52</v>
      </c>
      <c r="DB107" s="25">
        <v>-728.5</v>
      </c>
      <c r="DC107" s="25">
        <v>0.62</v>
      </c>
      <c r="DD107" s="25">
        <v>-728.5</v>
      </c>
      <c r="DE107" s="25">
        <v>-837.78</v>
      </c>
      <c r="DF107" s="22"/>
    </row>
    <row r="108" ht="13.5" customHeight="1">
      <c r="A108" s="22" t="s">
        <v>157</v>
      </c>
      <c r="B108" s="23">
        <v>43922.0</v>
      </c>
      <c r="C108" s="22" t="s">
        <v>109</v>
      </c>
      <c r="D108" s="22" t="s">
        <v>110</v>
      </c>
      <c r="E108" s="22" t="s">
        <v>111</v>
      </c>
      <c r="F108" s="22" t="s">
        <v>176</v>
      </c>
      <c r="G108" s="22" t="s">
        <v>140</v>
      </c>
      <c r="H108" s="22" t="s">
        <v>114</v>
      </c>
      <c r="I108" s="24">
        <v>43939.0</v>
      </c>
      <c r="J108" s="24">
        <v>43940.0</v>
      </c>
      <c r="K108" s="22">
        <f t="shared" si="1"/>
        <v>1</v>
      </c>
      <c r="L108" s="22">
        <v>1.0</v>
      </c>
      <c r="M108" s="22">
        <f t="shared" si="2"/>
        <v>0</v>
      </c>
      <c r="N108" s="24">
        <v>43953.0</v>
      </c>
      <c r="O108" s="24">
        <v>43963.0</v>
      </c>
      <c r="P108" s="22">
        <f t="shared" si="3"/>
        <v>10</v>
      </c>
      <c r="Q108" s="22">
        <v>90.0</v>
      </c>
      <c r="R108" s="22">
        <f t="shared" si="4"/>
        <v>-80</v>
      </c>
      <c r="S108" s="22" t="s">
        <v>407</v>
      </c>
      <c r="T108" s="22" t="s">
        <v>408</v>
      </c>
      <c r="U108" s="22" t="s">
        <v>117</v>
      </c>
      <c r="V108" s="22" t="s">
        <v>147</v>
      </c>
      <c r="W108" s="22" t="s">
        <v>182</v>
      </c>
      <c r="X108" s="22" t="s">
        <v>259</v>
      </c>
      <c r="Y108" s="22">
        <v>2024.0</v>
      </c>
      <c r="Z108" s="22" t="s">
        <v>135</v>
      </c>
      <c r="AA108" s="22">
        <v>1998.0</v>
      </c>
      <c r="AB108" s="22">
        <v>16.0</v>
      </c>
      <c r="AC108" s="22">
        <v>0.0</v>
      </c>
      <c r="AD108" s="25">
        <v>453264.78</v>
      </c>
      <c r="AE108" s="25">
        <v>19222.07</v>
      </c>
      <c r="AF108" s="26">
        <v>0.04</v>
      </c>
      <c r="AG108" s="25">
        <v>44698.53</v>
      </c>
      <c r="AH108" s="25">
        <v>3321.0</v>
      </c>
      <c r="AI108" s="22">
        <v>7.75</v>
      </c>
      <c r="AJ108" s="25">
        <v>234700.0</v>
      </c>
      <c r="AK108" s="22">
        <v>51.78</v>
      </c>
      <c r="AL108" s="24">
        <v>43963.0</v>
      </c>
      <c r="AM108" s="24">
        <v>45789.0</v>
      </c>
      <c r="AN108" s="22">
        <v>60.0</v>
      </c>
      <c r="AO108" s="22">
        <v>3500.0</v>
      </c>
      <c r="AP108" s="22">
        <v>210000.0</v>
      </c>
      <c r="AQ108" s="24">
        <v>46203.0</v>
      </c>
      <c r="AR108" s="22">
        <v>23118.0</v>
      </c>
      <c r="AS108" s="22">
        <v>23482.0</v>
      </c>
      <c r="AT108" s="22">
        <v>364.0</v>
      </c>
      <c r="AU108" s="22">
        <v>22758.0</v>
      </c>
      <c r="AV108" s="22">
        <v>2276.0</v>
      </c>
      <c r="AW108" s="25">
        <v>7093.45</v>
      </c>
      <c r="AX108" s="25">
        <v>2170.0</v>
      </c>
      <c r="AY108" s="25">
        <v>125.0</v>
      </c>
      <c r="AZ108" s="25">
        <v>291.0</v>
      </c>
      <c r="BA108" s="25">
        <v>1522.99</v>
      </c>
      <c r="BB108" s="25">
        <v>11202.44</v>
      </c>
      <c r="BC108" s="25">
        <v>1680.37</v>
      </c>
      <c r="BD108" s="25">
        <v>12882.81</v>
      </c>
      <c r="BE108" s="24">
        <v>45748.0</v>
      </c>
      <c r="BF108" s="24">
        <v>45838.0</v>
      </c>
      <c r="BG108" s="22">
        <v>20549.0</v>
      </c>
      <c r="BH108" s="22">
        <v>23482.0</v>
      </c>
      <c r="BI108" s="22">
        <v>2933.0</v>
      </c>
      <c r="BJ108" s="22">
        <v>10500.0</v>
      </c>
      <c r="BK108" s="22">
        <v>-7567.0</v>
      </c>
      <c r="BL108" s="25">
        <v>0.71</v>
      </c>
      <c r="BM108" s="25">
        <v>1.04</v>
      </c>
      <c r="BN108" s="25">
        <v>0.0</v>
      </c>
      <c r="BO108" s="25">
        <v>0.0</v>
      </c>
      <c r="BP108" s="25">
        <v>0.0</v>
      </c>
      <c r="BQ108" s="25">
        <v>-703.73</v>
      </c>
      <c r="BR108" s="25">
        <v>0.0</v>
      </c>
      <c r="BS108" s="25">
        <v>0.0</v>
      </c>
      <c r="BT108" s="25">
        <v>0.0</v>
      </c>
      <c r="BU108" s="25">
        <v>0.0</v>
      </c>
      <c r="BV108" s="25">
        <v>0.0</v>
      </c>
      <c r="BW108" s="25">
        <v>0.0</v>
      </c>
      <c r="BX108" s="25">
        <v>0.0</v>
      </c>
      <c r="BY108" s="25">
        <v>0.0</v>
      </c>
      <c r="BZ108" s="22">
        <v>0.0</v>
      </c>
      <c r="CA108" s="25">
        <v>0.0</v>
      </c>
      <c r="CB108" s="22">
        <v>0.0</v>
      </c>
      <c r="CC108" s="25">
        <v>0.0</v>
      </c>
      <c r="CD108" s="25">
        <v>0.0</v>
      </c>
      <c r="CE108" s="25">
        <v>0.0</v>
      </c>
      <c r="CF108" s="25">
        <v>0.0</v>
      </c>
      <c r="CG108" s="25">
        <v>0.0</v>
      </c>
      <c r="CH108" s="25">
        <v>7487.54</v>
      </c>
      <c r="CI108" s="25">
        <v>976.64</v>
      </c>
      <c r="CJ108" s="25">
        <v>6510.9</v>
      </c>
      <c r="CK108" s="25">
        <v>17.89</v>
      </c>
      <c r="CL108" s="22">
        <v>0.0</v>
      </c>
      <c r="CM108" s="22">
        <v>0.0</v>
      </c>
      <c r="CN108" s="22">
        <v>0.0</v>
      </c>
      <c r="CO108" s="22">
        <v>100.0</v>
      </c>
      <c r="CP108" s="24"/>
      <c r="CQ108" s="22">
        <v>0.0</v>
      </c>
      <c r="CR108" s="22">
        <v>0.0</v>
      </c>
      <c r="CS108" s="22">
        <v>0.0</v>
      </c>
      <c r="CT108" s="22">
        <v>-13277.0</v>
      </c>
      <c r="CU108" s="24">
        <v>47361.0</v>
      </c>
      <c r="CV108" s="24">
        <v>47361.0</v>
      </c>
      <c r="CW108" s="22">
        <v>210724.0</v>
      </c>
      <c r="CX108" s="22" t="s">
        <v>122</v>
      </c>
      <c r="CY108" s="22" t="s">
        <v>123</v>
      </c>
      <c r="CZ108" s="25">
        <v>0.0</v>
      </c>
      <c r="DA108" s="25">
        <v>0.0</v>
      </c>
      <c r="DB108" s="25">
        <v>-8231.74</v>
      </c>
      <c r="DC108" s="25">
        <v>0.62</v>
      </c>
      <c r="DD108" s="25">
        <v>-4691.54</v>
      </c>
      <c r="DE108" s="25">
        <v>-5395.27</v>
      </c>
      <c r="DF108" s="22"/>
    </row>
    <row r="109" ht="13.5" customHeight="1">
      <c r="A109" s="22" t="s">
        <v>157</v>
      </c>
      <c r="B109" s="23">
        <v>43922.0</v>
      </c>
      <c r="C109" s="22" t="s">
        <v>124</v>
      </c>
      <c r="D109" s="22" t="s">
        <v>125</v>
      </c>
      <c r="E109" s="22" t="s">
        <v>126</v>
      </c>
      <c r="F109" s="22" t="s">
        <v>196</v>
      </c>
      <c r="G109" s="22" t="s">
        <v>140</v>
      </c>
      <c r="H109" s="22" t="s">
        <v>129</v>
      </c>
      <c r="I109" s="24">
        <v>43940.0</v>
      </c>
      <c r="J109" s="24">
        <v>43941.0</v>
      </c>
      <c r="K109" s="22">
        <f t="shared" si="1"/>
        <v>1</v>
      </c>
      <c r="L109" s="22">
        <v>1.0</v>
      </c>
      <c r="M109" s="22">
        <f t="shared" si="2"/>
        <v>0</v>
      </c>
      <c r="N109" s="24">
        <v>43954.0</v>
      </c>
      <c r="O109" s="24">
        <v>44025.0</v>
      </c>
      <c r="P109" s="22">
        <f t="shared" si="3"/>
        <v>71</v>
      </c>
      <c r="Q109" s="22">
        <v>90.0</v>
      </c>
      <c r="R109" s="22">
        <f t="shared" si="4"/>
        <v>-19</v>
      </c>
      <c r="S109" s="22" t="s">
        <v>409</v>
      </c>
      <c r="T109" s="22" t="s">
        <v>410</v>
      </c>
      <c r="U109" s="22" t="s">
        <v>117</v>
      </c>
      <c r="V109" s="22" t="s">
        <v>147</v>
      </c>
      <c r="W109" s="22" t="s">
        <v>182</v>
      </c>
      <c r="X109" s="22" t="s">
        <v>259</v>
      </c>
      <c r="Y109" s="22">
        <v>2024.0</v>
      </c>
      <c r="Z109" s="22" t="s">
        <v>135</v>
      </c>
      <c r="AA109" s="22">
        <v>1998.0</v>
      </c>
      <c r="AB109" s="22">
        <v>16.0</v>
      </c>
      <c r="AC109" s="22">
        <v>0.0</v>
      </c>
      <c r="AD109" s="25">
        <v>453264.78</v>
      </c>
      <c r="AE109" s="25">
        <v>19222.07</v>
      </c>
      <c r="AF109" s="26">
        <v>0.04</v>
      </c>
      <c r="AG109" s="25">
        <v>49074.58</v>
      </c>
      <c r="AH109" s="25">
        <v>2531.0</v>
      </c>
      <c r="AI109" s="22">
        <v>7.75</v>
      </c>
      <c r="AJ109" s="25">
        <v>234700.0</v>
      </c>
      <c r="AK109" s="22">
        <v>51.78</v>
      </c>
      <c r="AL109" s="24">
        <v>44025.0</v>
      </c>
      <c r="AM109" s="24">
        <v>45851.0</v>
      </c>
      <c r="AN109" s="22">
        <v>60.0</v>
      </c>
      <c r="AO109" s="22">
        <v>3000.0</v>
      </c>
      <c r="AP109" s="22">
        <v>180000.0</v>
      </c>
      <c r="AQ109" s="24">
        <v>46203.0</v>
      </c>
      <c r="AR109" s="22">
        <v>27137.0</v>
      </c>
      <c r="AS109" s="22">
        <v>30118.0</v>
      </c>
      <c r="AT109" s="22">
        <v>2981.0</v>
      </c>
      <c r="AU109" s="22">
        <v>29716.0</v>
      </c>
      <c r="AV109" s="22">
        <v>2701.0</v>
      </c>
      <c r="AW109" s="25">
        <v>7439.03</v>
      </c>
      <c r="AX109" s="25">
        <v>1830.0</v>
      </c>
      <c r="AY109" s="25">
        <v>125.0</v>
      </c>
      <c r="AZ109" s="25">
        <v>291.0</v>
      </c>
      <c r="BA109" s="25">
        <v>1522.99</v>
      </c>
      <c r="BB109" s="25">
        <v>11208.02</v>
      </c>
      <c r="BC109" s="25">
        <v>1681.2</v>
      </c>
      <c r="BD109" s="25">
        <v>12889.22</v>
      </c>
      <c r="BE109" s="24">
        <v>45748.0</v>
      </c>
      <c r="BF109" s="24">
        <v>45838.0</v>
      </c>
      <c r="BG109" s="22">
        <v>22127.0</v>
      </c>
      <c r="BH109" s="22">
        <v>30118.0</v>
      </c>
      <c r="BI109" s="22">
        <v>7991.0</v>
      </c>
      <c r="BJ109" s="22">
        <v>9000.0</v>
      </c>
      <c r="BK109" s="22">
        <v>-1009.0</v>
      </c>
      <c r="BL109" s="25">
        <v>0.7</v>
      </c>
      <c r="BM109" s="25">
        <v>1.21</v>
      </c>
      <c r="BN109" s="25">
        <v>0.0</v>
      </c>
      <c r="BO109" s="25">
        <v>0.0</v>
      </c>
      <c r="BP109" s="25">
        <v>0.0</v>
      </c>
      <c r="BQ109" s="25">
        <v>-92.32</v>
      </c>
      <c r="BR109" s="25">
        <v>0.0</v>
      </c>
      <c r="BS109" s="25">
        <v>0.0</v>
      </c>
      <c r="BT109" s="25">
        <v>0.0</v>
      </c>
      <c r="BU109" s="25">
        <v>0.0</v>
      </c>
      <c r="BV109" s="25">
        <v>0.0</v>
      </c>
      <c r="BW109" s="25">
        <v>0.0</v>
      </c>
      <c r="BX109" s="25">
        <v>0.0</v>
      </c>
      <c r="BY109" s="25">
        <v>6134.47</v>
      </c>
      <c r="BZ109" s="22">
        <v>0.0</v>
      </c>
      <c r="CA109" s="25">
        <v>0.0</v>
      </c>
      <c r="CB109" s="22">
        <v>0.0</v>
      </c>
      <c r="CC109" s="25">
        <v>0.0</v>
      </c>
      <c r="CD109" s="25">
        <v>0.0</v>
      </c>
      <c r="CE109" s="25">
        <v>0.0</v>
      </c>
      <c r="CF109" s="25">
        <v>0.0</v>
      </c>
      <c r="CG109" s="25">
        <v>0.0</v>
      </c>
      <c r="CH109" s="25">
        <v>12181.41</v>
      </c>
      <c r="CI109" s="25">
        <v>1588.88</v>
      </c>
      <c r="CJ109" s="25">
        <v>10592.53</v>
      </c>
      <c r="CK109" s="25">
        <v>3.55</v>
      </c>
      <c r="CL109" s="22">
        <v>0.0</v>
      </c>
      <c r="CM109" s="22">
        <v>0.0</v>
      </c>
      <c r="CN109" s="22">
        <v>0.0</v>
      </c>
      <c r="CO109" s="22">
        <v>100.0</v>
      </c>
      <c r="CP109" s="24"/>
      <c r="CQ109" s="22">
        <v>0.0</v>
      </c>
      <c r="CR109" s="22">
        <v>0.0</v>
      </c>
      <c r="CS109" s="22">
        <v>0.0</v>
      </c>
      <c r="CT109" s="22">
        <v>-4368.0</v>
      </c>
      <c r="CU109" s="24">
        <v>47330.0</v>
      </c>
      <c r="CV109" s="24">
        <v>47330.0</v>
      </c>
      <c r="CW109" s="22">
        <v>180402.0</v>
      </c>
      <c r="CX109" s="22" t="s">
        <v>122</v>
      </c>
      <c r="CY109" s="22" t="s">
        <v>123</v>
      </c>
      <c r="CZ109" s="25">
        <v>0.0</v>
      </c>
      <c r="DA109" s="25">
        <v>0.0</v>
      </c>
      <c r="DB109" s="25">
        <v>-2396.69</v>
      </c>
      <c r="DC109" s="25">
        <v>0.61</v>
      </c>
      <c r="DD109" s="25">
        <v>-615.49</v>
      </c>
      <c r="DE109" s="25">
        <v>-707.81</v>
      </c>
      <c r="DF109" s="22"/>
    </row>
    <row r="110" ht="13.5" customHeight="1">
      <c r="A110" s="22" t="s">
        <v>157</v>
      </c>
      <c r="B110" s="23">
        <v>43922.0</v>
      </c>
      <c r="C110" s="22" t="s">
        <v>136</v>
      </c>
      <c r="D110" s="22" t="s">
        <v>137</v>
      </c>
      <c r="E110" s="22" t="s">
        <v>138</v>
      </c>
      <c r="F110" s="22" t="s">
        <v>196</v>
      </c>
      <c r="G110" s="22" t="s">
        <v>140</v>
      </c>
      <c r="H110" s="22" t="s">
        <v>141</v>
      </c>
      <c r="I110" s="24">
        <v>43941.0</v>
      </c>
      <c r="J110" s="24">
        <v>43942.0</v>
      </c>
      <c r="K110" s="22">
        <f t="shared" si="1"/>
        <v>1</v>
      </c>
      <c r="L110" s="22">
        <v>1.0</v>
      </c>
      <c r="M110" s="22">
        <f t="shared" si="2"/>
        <v>0</v>
      </c>
      <c r="N110" s="24">
        <v>43955.0</v>
      </c>
      <c r="O110" s="24">
        <v>43965.0</v>
      </c>
      <c r="P110" s="22">
        <f t="shared" si="3"/>
        <v>10</v>
      </c>
      <c r="Q110" s="22">
        <v>90.0</v>
      </c>
      <c r="R110" s="22">
        <f t="shared" si="4"/>
        <v>-80</v>
      </c>
      <c r="S110" s="22" t="s">
        <v>411</v>
      </c>
      <c r="T110" s="22" t="s">
        <v>412</v>
      </c>
      <c r="U110" s="22" t="s">
        <v>117</v>
      </c>
      <c r="V110" s="22" t="s">
        <v>147</v>
      </c>
      <c r="W110" s="22" t="s">
        <v>182</v>
      </c>
      <c r="X110" s="22" t="s">
        <v>259</v>
      </c>
      <c r="Y110" s="22">
        <v>2024.0</v>
      </c>
      <c r="Z110" s="22" t="s">
        <v>135</v>
      </c>
      <c r="AA110" s="22">
        <v>1998.0</v>
      </c>
      <c r="AB110" s="22">
        <v>16.0</v>
      </c>
      <c r="AC110" s="22">
        <v>1.0</v>
      </c>
      <c r="AD110" s="25">
        <v>453264.78</v>
      </c>
      <c r="AE110" s="25">
        <v>19222.07</v>
      </c>
      <c r="AF110" s="26">
        <v>0.04</v>
      </c>
      <c r="AG110" s="25">
        <v>49022.33</v>
      </c>
      <c r="AH110" s="25">
        <v>2531.0</v>
      </c>
      <c r="AI110" s="22">
        <v>7.75</v>
      </c>
      <c r="AJ110" s="25">
        <v>234700.0</v>
      </c>
      <c r="AK110" s="22">
        <v>51.78</v>
      </c>
      <c r="AL110" s="24">
        <v>43965.0</v>
      </c>
      <c r="AM110" s="24">
        <v>45791.0</v>
      </c>
      <c r="AN110" s="22">
        <v>60.0</v>
      </c>
      <c r="AO110" s="22">
        <v>3000.0</v>
      </c>
      <c r="AP110" s="22">
        <v>180000.0</v>
      </c>
      <c r="AQ110" s="24">
        <v>46203.0</v>
      </c>
      <c r="AR110" s="22">
        <v>23921.0</v>
      </c>
      <c r="AS110" s="22">
        <v>26642.0</v>
      </c>
      <c r="AT110" s="22">
        <v>2721.0</v>
      </c>
      <c r="AU110" s="22">
        <v>26247.0</v>
      </c>
      <c r="AV110" s="22">
        <v>2386.0</v>
      </c>
      <c r="AW110" s="25">
        <v>7437.97</v>
      </c>
      <c r="AX110" s="25">
        <v>1830.0</v>
      </c>
      <c r="AY110" s="25">
        <v>125.0</v>
      </c>
      <c r="AZ110" s="25">
        <v>291.0</v>
      </c>
      <c r="BA110" s="25">
        <v>1522.99</v>
      </c>
      <c r="BB110" s="25">
        <v>11206.96</v>
      </c>
      <c r="BC110" s="25">
        <v>1681.04</v>
      </c>
      <c r="BD110" s="25">
        <v>12888.0</v>
      </c>
      <c r="BE110" s="24">
        <v>45748.0</v>
      </c>
      <c r="BF110" s="24">
        <v>45838.0</v>
      </c>
      <c r="BG110" s="22">
        <v>21599.0</v>
      </c>
      <c r="BH110" s="22">
        <v>26642.0</v>
      </c>
      <c r="BI110" s="22">
        <v>5043.0</v>
      </c>
      <c r="BJ110" s="22">
        <v>9000.0</v>
      </c>
      <c r="BK110" s="22">
        <v>-3957.0</v>
      </c>
      <c r="BL110" s="25">
        <v>0.7</v>
      </c>
      <c r="BM110" s="25">
        <v>1.21</v>
      </c>
      <c r="BN110" s="25">
        <v>0.0</v>
      </c>
      <c r="BO110" s="25">
        <v>0.0</v>
      </c>
      <c r="BP110" s="25">
        <v>0.0</v>
      </c>
      <c r="BQ110" s="25">
        <v>-362.07</v>
      </c>
      <c r="BR110" s="25">
        <v>0.0</v>
      </c>
      <c r="BS110" s="25">
        <v>0.0</v>
      </c>
      <c r="BT110" s="25">
        <v>0.0</v>
      </c>
      <c r="BU110" s="25">
        <v>0.0</v>
      </c>
      <c r="BV110" s="25">
        <v>0.0</v>
      </c>
      <c r="BW110" s="25">
        <v>0.0</v>
      </c>
      <c r="BX110" s="25">
        <v>0.0</v>
      </c>
      <c r="BY110" s="25">
        <v>5134.09</v>
      </c>
      <c r="BZ110" s="22">
        <v>0.0</v>
      </c>
      <c r="CA110" s="25">
        <v>0.0</v>
      </c>
      <c r="CB110" s="22">
        <v>0.0</v>
      </c>
      <c r="CC110" s="25">
        <v>0.0</v>
      </c>
      <c r="CD110" s="25">
        <v>0.0</v>
      </c>
      <c r="CE110" s="25">
        <v>0.0</v>
      </c>
      <c r="CF110" s="25">
        <v>0.0</v>
      </c>
      <c r="CG110" s="25">
        <v>0.0</v>
      </c>
      <c r="CH110" s="25">
        <v>10112.16</v>
      </c>
      <c r="CI110" s="25">
        <v>1318.97</v>
      </c>
      <c r="CJ110" s="25">
        <v>8793.19</v>
      </c>
      <c r="CK110" s="25">
        <v>3.23</v>
      </c>
      <c r="CL110" s="22">
        <v>0.0</v>
      </c>
      <c r="CM110" s="22">
        <v>0.0</v>
      </c>
      <c r="CN110" s="22">
        <v>0.0</v>
      </c>
      <c r="CO110" s="22">
        <v>100.0</v>
      </c>
      <c r="CP110" s="24"/>
      <c r="CQ110" s="22">
        <v>0.0</v>
      </c>
      <c r="CR110" s="22">
        <v>0.0</v>
      </c>
      <c r="CS110" s="22">
        <v>0.0</v>
      </c>
      <c r="CT110" s="22">
        <v>-7837.0</v>
      </c>
      <c r="CU110" s="24">
        <v>47330.0</v>
      </c>
      <c r="CV110" s="24">
        <v>47330.0</v>
      </c>
      <c r="CW110" s="22">
        <v>180395.0</v>
      </c>
      <c r="CX110" s="22" t="s">
        <v>122</v>
      </c>
      <c r="CY110" s="22" t="s">
        <v>123</v>
      </c>
      <c r="CZ110" s="25">
        <v>0.0</v>
      </c>
      <c r="DA110" s="25">
        <v>0.0</v>
      </c>
      <c r="DB110" s="25">
        <v>-4540.23</v>
      </c>
      <c r="DC110" s="25">
        <v>0.61</v>
      </c>
      <c r="DD110" s="25">
        <v>-2413.77</v>
      </c>
      <c r="DE110" s="25">
        <v>-2775.84</v>
      </c>
      <c r="DF110" s="22"/>
    </row>
    <row r="111" ht="13.5" customHeight="1">
      <c r="A111" s="22" t="s">
        <v>175</v>
      </c>
      <c r="B111" s="23">
        <v>43922.0</v>
      </c>
      <c r="C111" s="22" t="s">
        <v>109</v>
      </c>
      <c r="D111" s="22" t="s">
        <v>110</v>
      </c>
      <c r="E111" s="22" t="s">
        <v>111</v>
      </c>
      <c r="F111" s="22" t="s">
        <v>196</v>
      </c>
      <c r="G111" s="22" t="s">
        <v>140</v>
      </c>
      <c r="H111" s="22" t="s">
        <v>114</v>
      </c>
      <c r="I111" s="24">
        <v>43942.0</v>
      </c>
      <c r="J111" s="24">
        <v>43943.0</v>
      </c>
      <c r="K111" s="22">
        <f t="shared" si="1"/>
        <v>1</v>
      </c>
      <c r="L111" s="22">
        <v>1.0</v>
      </c>
      <c r="M111" s="22">
        <f t="shared" si="2"/>
        <v>0</v>
      </c>
      <c r="N111" s="24">
        <v>43956.0</v>
      </c>
      <c r="O111" s="24">
        <v>43966.0</v>
      </c>
      <c r="P111" s="22">
        <f t="shared" si="3"/>
        <v>10</v>
      </c>
      <c r="Q111" s="22">
        <v>90.0</v>
      </c>
      <c r="R111" s="22">
        <f t="shared" si="4"/>
        <v>-80</v>
      </c>
      <c r="S111" s="22" t="s">
        <v>413</v>
      </c>
      <c r="T111" s="22" t="s">
        <v>414</v>
      </c>
      <c r="U111" s="22" t="s">
        <v>117</v>
      </c>
      <c r="V111" s="22" t="s">
        <v>147</v>
      </c>
      <c r="W111" s="22" t="s">
        <v>182</v>
      </c>
      <c r="X111" s="22" t="s">
        <v>259</v>
      </c>
      <c r="Y111" s="22">
        <v>2024.0</v>
      </c>
      <c r="Z111" s="22" t="s">
        <v>135</v>
      </c>
      <c r="AA111" s="22">
        <v>1998.0</v>
      </c>
      <c r="AB111" s="22">
        <v>16.0</v>
      </c>
      <c r="AC111" s="22">
        <v>4.0</v>
      </c>
      <c r="AD111" s="25">
        <v>453264.78</v>
      </c>
      <c r="AE111" s="25">
        <v>19222.07</v>
      </c>
      <c r="AF111" s="26">
        <v>0.04</v>
      </c>
      <c r="AG111" s="25">
        <v>49014.38</v>
      </c>
      <c r="AH111" s="25">
        <v>2531.0</v>
      </c>
      <c r="AI111" s="22">
        <v>7.75</v>
      </c>
      <c r="AJ111" s="25">
        <v>234289.0</v>
      </c>
      <c r="AK111" s="22">
        <v>51.69</v>
      </c>
      <c r="AL111" s="24">
        <v>43966.0</v>
      </c>
      <c r="AM111" s="24">
        <v>45792.0</v>
      </c>
      <c r="AN111" s="22">
        <v>60.0</v>
      </c>
      <c r="AO111" s="22">
        <v>10000.0</v>
      </c>
      <c r="AP111" s="22">
        <v>220000.0</v>
      </c>
      <c r="AQ111" s="24">
        <v>46203.0</v>
      </c>
      <c r="AR111" s="22">
        <v>63362.0</v>
      </c>
      <c r="AS111" s="22">
        <v>70713.0</v>
      </c>
      <c r="AT111" s="22">
        <v>7351.0</v>
      </c>
      <c r="AU111" s="22">
        <v>70318.0</v>
      </c>
      <c r="AV111" s="22">
        <v>6393.0</v>
      </c>
      <c r="AW111" s="25">
        <v>14707.21</v>
      </c>
      <c r="AX111" s="25">
        <v>5700.0</v>
      </c>
      <c r="AY111" s="25">
        <v>125.0</v>
      </c>
      <c r="AZ111" s="25">
        <v>291.0</v>
      </c>
      <c r="BA111" s="25">
        <v>1569.13</v>
      </c>
      <c r="BB111" s="25">
        <v>22392.34</v>
      </c>
      <c r="BC111" s="25">
        <v>3358.85</v>
      </c>
      <c r="BD111" s="25">
        <v>25751.19</v>
      </c>
      <c r="BE111" s="24">
        <v>45748.0</v>
      </c>
      <c r="BF111" s="24">
        <v>45838.0</v>
      </c>
      <c r="BG111" s="22">
        <v>45512.0</v>
      </c>
      <c r="BH111" s="22">
        <v>70713.0</v>
      </c>
      <c r="BI111" s="22">
        <v>25201.0</v>
      </c>
      <c r="BJ111" s="22">
        <v>30000.0</v>
      </c>
      <c r="BK111" s="22">
        <v>-6185.0</v>
      </c>
      <c r="BL111" s="25">
        <v>0.66</v>
      </c>
      <c r="BM111" s="25">
        <v>1.0</v>
      </c>
      <c r="BN111" s="25">
        <v>0.0</v>
      </c>
      <c r="BO111" s="25">
        <v>0.0</v>
      </c>
      <c r="BP111" s="25">
        <v>0.0</v>
      </c>
      <c r="BQ111" s="25">
        <v>-528.82</v>
      </c>
      <c r="BR111" s="25">
        <v>0.0</v>
      </c>
      <c r="BS111" s="25">
        <v>0.0</v>
      </c>
      <c r="BT111" s="25">
        <v>0.0</v>
      </c>
      <c r="BU111" s="25">
        <v>0.0</v>
      </c>
      <c r="BV111" s="25">
        <v>0.0</v>
      </c>
      <c r="BW111" s="25">
        <v>0.0</v>
      </c>
      <c r="BX111" s="25">
        <v>0.0</v>
      </c>
      <c r="BY111" s="25">
        <v>13611.74</v>
      </c>
      <c r="BZ111" s="22">
        <v>0.0</v>
      </c>
      <c r="CA111" s="25">
        <v>0.0</v>
      </c>
      <c r="CB111" s="22">
        <v>0.0</v>
      </c>
      <c r="CC111" s="25">
        <v>0.0</v>
      </c>
      <c r="CD111" s="25">
        <v>0.0</v>
      </c>
      <c r="CE111" s="25">
        <v>0.0</v>
      </c>
      <c r="CF111" s="25">
        <v>0.0</v>
      </c>
      <c r="CG111" s="25">
        <v>0.0</v>
      </c>
      <c r="CH111" s="25">
        <v>21696.92</v>
      </c>
      <c r="CI111" s="25">
        <v>2830.03</v>
      </c>
      <c r="CJ111" s="25">
        <v>18866.89</v>
      </c>
      <c r="CK111" s="25">
        <v>2.57</v>
      </c>
      <c r="CL111" s="22">
        <v>0.0</v>
      </c>
      <c r="CM111" s="22">
        <v>0.0</v>
      </c>
      <c r="CN111" s="22">
        <v>0.0</v>
      </c>
      <c r="CO111" s="22">
        <v>100.0</v>
      </c>
      <c r="CP111" s="24"/>
      <c r="CQ111" s="22">
        <v>0.0</v>
      </c>
      <c r="CR111" s="22">
        <v>0.0</v>
      </c>
      <c r="CS111" s="22">
        <v>0.0</v>
      </c>
      <c r="CT111" s="22">
        <v>-43298.0</v>
      </c>
      <c r="CU111" s="24">
        <v>46173.0</v>
      </c>
      <c r="CV111" s="24">
        <v>46173.0</v>
      </c>
      <c r="CW111" s="22">
        <v>220395.0</v>
      </c>
      <c r="CX111" s="22" t="s">
        <v>122</v>
      </c>
      <c r="CY111" s="22" t="s">
        <v>123</v>
      </c>
      <c r="CZ111" s="25">
        <v>0.0</v>
      </c>
      <c r="DA111" s="25">
        <v>0.0</v>
      </c>
      <c r="DB111" s="25">
        <v>-24679.86</v>
      </c>
      <c r="DC111" s="25">
        <v>0.57</v>
      </c>
      <c r="DD111" s="25">
        <v>-3525.45</v>
      </c>
      <c r="DE111" s="25">
        <v>-4054.27</v>
      </c>
      <c r="DF111" s="22"/>
    </row>
    <row r="112" ht="13.5" customHeight="1">
      <c r="A112" s="22" t="s">
        <v>175</v>
      </c>
      <c r="B112" s="23">
        <v>43922.0</v>
      </c>
      <c r="C112" s="22" t="s">
        <v>124</v>
      </c>
      <c r="D112" s="22" t="s">
        <v>125</v>
      </c>
      <c r="E112" s="22" t="s">
        <v>126</v>
      </c>
      <c r="F112" s="22" t="s">
        <v>196</v>
      </c>
      <c r="G112" s="22" t="s">
        <v>140</v>
      </c>
      <c r="H112" s="22" t="s">
        <v>129</v>
      </c>
      <c r="I112" s="24">
        <v>43943.0</v>
      </c>
      <c r="J112" s="24">
        <v>43944.0</v>
      </c>
      <c r="K112" s="22">
        <f t="shared" si="1"/>
        <v>1</v>
      </c>
      <c r="L112" s="22">
        <v>1.0</v>
      </c>
      <c r="M112" s="22">
        <f t="shared" si="2"/>
        <v>0</v>
      </c>
      <c r="N112" s="24">
        <v>43957.0</v>
      </c>
      <c r="O112" s="24">
        <v>43967.0</v>
      </c>
      <c r="P112" s="22">
        <f t="shared" si="3"/>
        <v>10</v>
      </c>
      <c r="Q112" s="22">
        <v>90.0</v>
      </c>
      <c r="R112" s="22">
        <f t="shared" si="4"/>
        <v>-80</v>
      </c>
      <c r="S112" s="22" t="s">
        <v>415</v>
      </c>
      <c r="T112" s="22" t="s">
        <v>416</v>
      </c>
      <c r="U112" s="22" t="s">
        <v>117</v>
      </c>
      <c r="V112" s="22" t="s">
        <v>147</v>
      </c>
      <c r="W112" s="22" t="s">
        <v>182</v>
      </c>
      <c r="X112" s="22" t="s">
        <v>259</v>
      </c>
      <c r="Y112" s="22">
        <v>2024.0</v>
      </c>
      <c r="Z112" s="22" t="s">
        <v>135</v>
      </c>
      <c r="AA112" s="22">
        <v>1998.0</v>
      </c>
      <c r="AB112" s="22">
        <v>16.0</v>
      </c>
      <c r="AC112" s="22">
        <v>1.0</v>
      </c>
      <c r="AD112" s="25">
        <v>453264.78</v>
      </c>
      <c r="AE112" s="25">
        <v>19222.07</v>
      </c>
      <c r="AF112" s="26">
        <v>0.04</v>
      </c>
      <c r="AG112" s="25">
        <v>51870.62</v>
      </c>
      <c r="AH112" s="25">
        <v>2448.0</v>
      </c>
      <c r="AI112" s="22">
        <v>7.75</v>
      </c>
      <c r="AJ112" s="25">
        <v>234700.0</v>
      </c>
      <c r="AK112" s="22">
        <v>51.78</v>
      </c>
      <c r="AL112" s="24">
        <v>43967.0</v>
      </c>
      <c r="AM112" s="24">
        <v>45793.0</v>
      </c>
      <c r="AN112" s="22">
        <v>60.0</v>
      </c>
      <c r="AO112" s="22">
        <v>3500.0</v>
      </c>
      <c r="AP112" s="22">
        <v>210000.0</v>
      </c>
      <c r="AQ112" s="24">
        <v>46203.0</v>
      </c>
      <c r="AR112" s="22">
        <v>26392.0</v>
      </c>
      <c r="AS112" s="22">
        <v>30389.0</v>
      </c>
      <c r="AT112" s="22">
        <v>3997.0</v>
      </c>
      <c r="AU112" s="22">
        <v>29890.0</v>
      </c>
      <c r="AV112" s="22">
        <v>2989.0</v>
      </c>
      <c r="AW112" s="25">
        <v>7421.36</v>
      </c>
      <c r="AX112" s="25">
        <v>1995.0</v>
      </c>
      <c r="AY112" s="25">
        <v>125.0</v>
      </c>
      <c r="AZ112" s="25">
        <v>291.0</v>
      </c>
      <c r="BA112" s="25">
        <v>1522.99</v>
      </c>
      <c r="BB112" s="25">
        <v>11355.35</v>
      </c>
      <c r="BC112" s="25">
        <v>1703.3</v>
      </c>
      <c r="BD112" s="25">
        <v>13058.65</v>
      </c>
      <c r="BE112" s="24">
        <v>45748.0</v>
      </c>
      <c r="BF112" s="24">
        <v>45838.0</v>
      </c>
      <c r="BG112" s="22">
        <v>20396.0</v>
      </c>
      <c r="BH112" s="22">
        <v>30389.0</v>
      </c>
      <c r="BI112" s="22">
        <v>9993.0</v>
      </c>
      <c r="BJ112" s="22">
        <v>10500.0</v>
      </c>
      <c r="BK112" s="22">
        <v>-507.0</v>
      </c>
      <c r="BL112" s="25">
        <v>0.66</v>
      </c>
      <c r="BM112" s="25">
        <v>1.04</v>
      </c>
      <c r="BN112" s="25">
        <v>0.0</v>
      </c>
      <c r="BO112" s="25">
        <v>0.0</v>
      </c>
      <c r="BP112" s="25">
        <v>0.0</v>
      </c>
      <c r="BQ112" s="25">
        <v>0.0</v>
      </c>
      <c r="BR112" s="25">
        <v>0.0</v>
      </c>
      <c r="BS112" s="25">
        <v>0.0</v>
      </c>
      <c r="BT112" s="25">
        <v>0.0</v>
      </c>
      <c r="BU112" s="25">
        <v>0.0</v>
      </c>
      <c r="BV112" s="25">
        <v>0.0</v>
      </c>
      <c r="BW112" s="25">
        <v>0.0</v>
      </c>
      <c r="BX112" s="25">
        <v>0.0</v>
      </c>
      <c r="BY112" s="25">
        <v>6569.08</v>
      </c>
      <c r="BZ112" s="22">
        <v>0.0</v>
      </c>
      <c r="CA112" s="25">
        <v>0.0</v>
      </c>
      <c r="CB112" s="22">
        <v>0.0</v>
      </c>
      <c r="CC112" s="25">
        <v>0.0</v>
      </c>
      <c r="CD112" s="25">
        <v>0.0</v>
      </c>
      <c r="CE112" s="25">
        <v>0.0</v>
      </c>
      <c r="CF112" s="25">
        <v>0.0</v>
      </c>
      <c r="CG112" s="25">
        <v>0.0</v>
      </c>
      <c r="CH112" s="25">
        <v>13058.65</v>
      </c>
      <c r="CI112" s="25">
        <v>1703.3</v>
      </c>
      <c r="CJ112" s="25">
        <v>11355.35</v>
      </c>
      <c r="CK112" s="25">
        <v>2.84</v>
      </c>
      <c r="CL112" s="22">
        <v>0.0</v>
      </c>
      <c r="CM112" s="22">
        <v>0.0</v>
      </c>
      <c r="CN112" s="22">
        <v>0.0</v>
      </c>
      <c r="CO112" s="22">
        <v>100.0</v>
      </c>
      <c r="CP112" s="24"/>
      <c r="CQ112" s="22">
        <v>0.0</v>
      </c>
      <c r="CR112" s="22">
        <v>0.0</v>
      </c>
      <c r="CS112" s="22">
        <v>0.0</v>
      </c>
      <c r="CT112" s="22">
        <v>-6030.0</v>
      </c>
      <c r="CU112" s="24">
        <v>47361.0</v>
      </c>
      <c r="CV112" s="24">
        <v>47361.0</v>
      </c>
      <c r="CW112" s="22">
        <v>210499.0</v>
      </c>
      <c r="CX112" s="22" t="s">
        <v>122</v>
      </c>
      <c r="CY112" s="22" t="s">
        <v>123</v>
      </c>
      <c r="CZ112" s="25">
        <v>2391.24</v>
      </c>
      <c r="DA112" s="25">
        <v>1680.64</v>
      </c>
      <c r="DB112" s="25">
        <v>-5393.91</v>
      </c>
      <c r="DC112" s="25">
        <v>0.57</v>
      </c>
      <c r="DD112" s="25">
        <v>0.0</v>
      </c>
      <c r="DE112" s="25">
        <v>0.0</v>
      </c>
      <c r="DF112" s="22"/>
    </row>
    <row r="113" ht="13.5" customHeight="1">
      <c r="A113" s="22" t="s">
        <v>175</v>
      </c>
      <c r="B113" s="23">
        <v>43922.0</v>
      </c>
      <c r="C113" s="22" t="s">
        <v>109</v>
      </c>
      <c r="D113" s="22" t="s">
        <v>137</v>
      </c>
      <c r="E113" s="22" t="s">
        <v>138</v>
      </c>
      <c r="F113" s="22" t="s">
        <v>196</v>
      </c>
      <c r="G113" s="22" t="s">
        <v>140</v>
      </c>
      <c r="H113" s="22" t="s">
        <v>141</v>
      </c>
      <c r="I113" s="24">
        <v>43944.0</v>
      </c>
      <c r="J113" s="24">
        <v>43945.0</v>
      </c>
      <c r="K113" s="22">
        <f t="shared" si="1"/>
        <v>1</v>
      </c>
      <c r="L113" s="22">
        <v>1.0</v>
      </c>
      <c r="M113" s="22">
        <f t="shared" si="2"/>
        <v>0</v>
      </c>
      <c r="N113" s="24">
        <v>43958.0</v>
      </c>
      <c r="O113" s="24">
        <v>44091.0</v>
      </c>
      <c r="P113" s="22">
        <f t="shared" si="3"/>
        <v>133</v>
      </c>
      <c r="Q113" s="22">
        <v>90.0</v>
      </c>
      <c r="R113" s="22">
        <f t="shared" si="4"/>
        <v>43</v>
      </c>
      <c r="S113" s="22" t="s">
        <v>417</v>
      </c>
      <c r="T113" s="22" t="s">
        <v>418</v>
      </c>
      <c r="U113" s="22" t="s">
        <v>117</v>
      </c>
      <c r="V113" s="22" t="s">
        <v>147</v>
      </c>
      <c r="W113" s="22" t="s">
        <v>182</v>
      </c>
      <c r="X113" s="22" t="s">
        <v>259</v>
      </c>
      <c r="Y113" s="22">
        <v>2024.0</v>
      </c>
      <c r="Z113" s="22" t="s">
        <v>135</v>
      </c>
      <c r="AA113" s="22">
        <v>1998.0</v>
      </c>
      <c r="AB113" s="22">
        <v>16.0</v>
      </c>
      <c r="AC113" s="22">
        <v>0.0</v>
      </c>
      <c r="AD113" s="25">
        <v>454435.0</v>
      </c>
      <c r="AE113" s="25">
        <v>20392.29</v>
      </c>
      <c r="AF113" s="26">
        <v>0.04</v>
      </c>
      <c r="AG113" s="25">
        <v>49064.77</v>
      </c>
      <c r="AH113" s="25">
        <v>2531.0</v>
      </c>
      <c r="AI113" s="22">
        <v>7.75</v>
      </c>
      <c r="AJ113" s="25">
        <v>235306.0</v>
      </c>
      <c r="AK113" s="22">
        <v>51.78</v>
      </c>
      <c r="AL113" s="24">
        <v>44091.0</v>
      </c>
      <c r="AM113" s="24">
        <v>45917.0</v>
      </c>
      <c r="AN113" s="22">
        <v>60.0</v>
      </c>
      <c r="AO113" s="22">
        <v>3000.0</v>
      </c>
      <c r="AP113" s="22">
        <v>180000.0</v>
      </c>
      <c r="AQ113" s="24">
        <v>46203.0</v>
      </c>
      <c r="AR113" s="22">
        <v>30995.0</v>
      </c>
      <c r="AS113" s="22">
        <v>32934.0</v>
      </c>
      <c r="AT113" s="22">
        <v>1939.0</v>
      </c>
      <c r="AU113" s="22">
        <v>32535.0</v>
      </c>
      <c r="AV113" s="22">
        <v>2958.0</v>
      </c>
      <c r="AW113" s="25">
        <v>7430.11</v>
      </c>
      <c r="AX113" s="25">
        <v>1830.0</v>
      </c>
      <c r="AY113" s="25">
        <v>125.0</v>
      </c>
      <c r="AZ113" s="25">
        <v>291.0</v>
      </c>
      <c r="BA113" s="25">
        <v>1522.99</v>
      </c>
      <c r="BB113" s="25">
        <v>11199.1</v>
      </c>
      <c r="BC113" s="25">
        <v>1679.87</v>
      </c>
      <c r="BD113" s="25">
        <v>12878.97</v>
      </c>
      <c r="BE113" s="24">
        <v>45748.0</v>
      </c>
      <c r="BF113" s="24">
        <v>45838.0</v>
      </c>
      <c r="BG113" s="22">
        <v>17756.0</v>
      </c>
      <c r="BH113" s="22">
        <v>32934.0</v>
      </c>
      <c r="BI113" s="22">
        <v>15178.0</v>
      </c>
      <c r="BJ113" s="22">
        <v>9000.0</v>
      </c>
      <c r="BK113" s="22">
        <v>6178.0</v>
      </c>
      <c r="BL113" s="25">
        <v>0.7</v>
      </c>
      <c r="BM113" s="25">
        <v>1.22</v>
      </c>
      <c r="BN113" s="25">
        <v>4324.6</v>
      </c>
      <c r="BO113" s="25">
        <v>7537.16</v>
      </c>
      <c r="BP113" s="25">
        <v>11861.76</v>
      </c>
      <c r="BQ113" s="25">
        <v>1779.26</v>
      </c>
      <c r="BR113" s="25">
        <v>13641.02</v>
      </c>
      <c r="BS113" s="25">
        <v>0.0</v>
      </c>
      <c r="BT113" s="25">
        <v>0.0</v>
      </c>
      <c r="BU113" s="25">
        <v>0.0</v>
      </c>
      <c r="BV113" s="25">
        <v>0.0</v>
      </c>
      <c r="BW113" s="25">
        <v>0.0</v>
      </c>
      <c r="BX113" s="25">
        <v>0.0</v>
      </c>
      <c r="BY113" s="25">
        <v>2929.88</v>
      </c>
      <c r="BZ113" s="22">
        <v>0.0</v>
      </c>
      <c r="CA113" s="25">
        <v>0.0</v>
      </c>
      <c r="CB113" s="22">
        <v>0.0</v>
      </c>
      <c r="CC113" s="25">
        <v>0.0</v>
      </c>
      <c r="CD113" s="25">
        <v>0.0</v>
      </c>
      <c r="CE113" s="25">
        <v>0.0</v>
      </c>
      <c r="CF113" s="25">
        <v>0.0</v>
      </c>
      <c r="CG113" s="25">
        <v>0.0</v>
      </c>
      <c r="CH113" s="25">
        <v>26519.99</v>
      </c>
      <c r="CI113" s="25">
        <v>3459.13</v>
      </c>
      <c r="CJ113" s="25">
        <v>23060.86</v>
      </c>
      <c r="CK113" s="25">
        <v>11.89</v>
      </c>
      <c r="CL113" s="22">
        <v>0.0</v>
      </c>
      <c r="CM113" s="22">
        <v>0.0</v>
      </c>
      <c r="CN113" s="22">
        <v>0.0</v>
      </c>
      <c r="CO113" s="22">
        <v>100.0</v>
      </c>
      <c r="CP113" s="24"/>
      <c r="CQ113" s="22">
        <v>0.0</v>
      </c>
      <c r="CR113" s="22">
        <v>0.0</v>
      </c>
      <c r="CS113" s="22">
        <v>0.0</v>
      </c>
      <c r="CT113" s="22">
        <v>-1254.0</v>
      </c>
      <c r="CU113" s="24">
        <v>47330.0</v>
      </c>
      <c r="CV113" s="24">
        <v>47330.0</v>
      </c>
      <c r="CW113" s="22">
        <v>180399.0</v>
      </c>
      <c r="CX113" s="22" t="s">
        <v>122</v>
      </c>
      <c r="CY113" s="22" t="s">
        <v>123</v>
      </c>
      <c r="CZ113" s="25">
        <v>5718.66</v>
      </c>
      <c r="DA113" s="25">
        <v>9450.12</v>
      </c>
      <c r="DB113" s="25">
        <v>-5786.46</v>
      </c>
      <c r="DC113" s="25">
        <v>0.61</v>
      </c>
      <c r="DD113" s="25">
        <v>0.0</v>
      </c>
      <c r="DE113" s="25">
        <v>0.0</v>
      </c>
      <c r="DF113" s="22"/>
    </row>
    <row r="114" ht="13.5" customHeight="1">
      <c r="A114" s="22" t="s">
        <v>175</v>
      </c>
      <c r="B114" s="23">
        <v>43922.0</v>
      </c>
      <c r="C114" s="22" t="s">
        <v>124</v>
      </c>
      <c r="D114" s="22" t="s">
        <v>110</v>
      </c>
      <c r="E114" s="22" t="s">
        <v>111</v>
      </c>
      <c r="F114" s="22" t="s">
        <v>196</v>
      </c>
      <c r="G114" s="22" t="s">
        <v>140</v>
      </c>
      <c r="H114" s="22" t="s">
        <v>114</v>
      </c>
      <c r="I114" s="24">
        <v>43945.0</v>
      </c>
      <c r="J114" s="24">
        <v>43946.0</v>
      </c>
      <c r="K114" s="22">
        <f t="shared" si="1"/>
        <v>1</v>
      </c>
      <c r="L114" s="22">
        <v>1.0</v>
      </c>
      <c r="M114" s="22">
        <f t="shared" si="2"/>
        <v>0</v>
      </c>
      <c r="N114" s="24">
        <v>43959.0</v>
      </c>
      <c r="O114" s="24">
        <v>43969.0</v>
      </c>
      <c r="P114" s="22">
        <f t="shared" si="3"/>
        <v>10</v>
      </c>
      <c r="Q114" s="22">
        <v>90.0</v>
      </c>
      <c r="R114" s="22">
        <f t="shared" si="4"/>
        <v>-80</v>
      </c>
      <c r="S114" s="22" t="s">
        <v>419</v>
      </c>
      <c r="T114" s="22" t="s">
        <v>420</v>
      </c>
      <c r="U114" s="22" t="s">
        <v>117</v>
      </c>
      <c r="V114" s="22" t="s">
        <v>147</v>
      </c>
      <c r="W114" s="22" t="s">
        <v>182</v>
      </c>
      <c r="X114" s="22" t="s">
        <v>259</v>
      </c>
      <c r="Y114" s="22">
        <v>2024.0</v>
      </c>
      <c r="Z114" s="22" t="s">
        <v>135</v>
      </c>
      <c r="AA114" s="22">
        <v>1998.0</v>
      </c>
      <c r="AB114" s="22">
        <v>16.0</v>
      </c>
      <c r="AC114" s="22">
        <v>0.0</v>
      </c>
      <c r="AD114" s="25">
        <v>453264.78</v>
      </c>
      <c r="AE114" s="25">
        <v>19222.07</v>
      </c>
      <c r="AF114" s="26">
        <v>0.04</v>
      </c>
      <c r="AG114" s="25">
        <v>51736.08</v>
      </c>
      <c r="AH114" s="25">
        <v>2531.0</v>
      </c>
      <c r="AI114" s="22">
        <v>7.75</v>
      </c>
      <c r="AJ114" s="25">
        <v>234700.0</v>
      </c>
      <c r="AK114" s="22">
        <v>51.78</v>
      </c>
      <c r="AL114" s="24">
        <v>43969.0</v>
      </c>
      <c r="AM114" s="24">
        <v>45795.0</v>
      </c>
      <c r="AN114" s="22">
        <v>60.0</v>
      </c>
      <c r="AO114" s="22">
        <v>3500.0</v>
      </c>
      <c r="AP114" s="22">
        <v>210000.0</v>
      </c>
      <c r="AQ114" s="24">
        <v>46203.0</v>
      </c>
      <c r="AR114" s="22">
        <v>26563.0</v>
      </c>
      <c r="AS114" s="22">
        <v>30045.0</v>
      </c>
      <c r="AT114" s="22">
        <v>3482.0</v>
      </c>
      <c r="AU114" s="22">
        <v>29618.0</v>
      </c>
      <c r="AV114" s="22">
        <v>2962.0</v>
      </c>
      <c r="AW114" s="25">
        <v>7420.34</v>
      </c>
      <c r="AX114" s="25">
        <v>1995.0</v>
      </c>
      <c r="AY114" s="25">
        <v>125.0</v>
      </c>
      <c r="AZ114" s="25">
        <v>291.0</v>
      </c>
      <c r="BA114" s="25">
        <v>1522.99</v>
      </c>
      <c r="BB114" s="25">
        <v>11354.33</v>
      </c>
      <c r="BC114" s="25">
        <v>1703.15</v>
      </c>
      <c r="BD114" s="25">
        <v>13057.48</v>
      </c>
      <c r="BE114" s="24">
        <v>45748.0</v>
      </c>
      <c r="BF114" s="24">
        <v>45838.0</v>
      </c>
      <c r="BG114" s="22">
        <v>20900.0</v>
      </c>
      <c r="BH114" s="22">
        <v>30045.0</v>
      </c>
      <c r="BI114" s="22">
        <v>9145.0</v>
      </c>
      <c r="BJ114" s="22">
        <v>10500.0</v>
      </c>
      <c r="BK114" s="22">
        <v>-1355.0</v>
      </c>
      <c r="BL114" s="25">
        <v>0.66</v>
      </c>
      <c r="BM114" s="25">
        <v>1.04</v>
      </c>
      <c r="BN114" s="25">
        <v>0.0</v>
      </c>
      <c r="BO114" s="25">
        <v>0.0</v>
      </c>
      <c r="BP114" s="25">
        <v>0.0</v>
      </c>
      <c r="BQ114" s="25">
        <v>-115.85</v>
      </c>
      <c r="BR114" s="25">
        <v>0.0</v>
      </c>
      <c r="BS114" s="25">
        <v>0.0</v>
      </c>
      <c r="BT114" s="25">
        <v>0.0</v>
      </c>
      <c r="BU114" s="25">
        <v>0.0</v>
      </c>
      <c r="BV114" s="25">
        <v>0.0</v>
      </c>
      <c r="BW114" s="25">
        <v>0.0</v>
      </c>
      <c r="BX114" s="25">
        <v>0.0</v>
      </c>
      <c r="BY114" s="25">
        <v>6620.91</v>
      </c>
      <c r="BZ114" s="22">
        <v>0.0</v>
      </c>
      <c r="CA114" s="25">
        <v>0.0</v>
      </c>
      <c r="CB114" s="22">
        <v>0.0</v>
      </c>
      <c r="CC114" s="25">
        <v>0.0</v>
      </c>
      <c r="CD114" s="25">
        <v>0.0</v>
      </c>
      <c r="CE114" s="25">
        <v>0.0</v>
      </c>
      <c r="CF114" s="25">
        <v>0.0</v>
      </c>
      <c r="CG114" s="25">
        <v>0.0</v>
      </c>
      <c r="CH114" s="25">
        <v>12169.28</v>
      </c>
      <c r="CI114" s="25">
        <v>1587.3</v>
      </c>
      <c r="CJ114" s="25">
        <v>10581.98</v>
      </c>
      <c r="CK114" s="25">
        <v>3.04</v>
      </c>
      <c r="CL114" s="22">
        <v>0.0</v>
      </c>
      <c r="CM114" s="22">
        <v>0.0</v>
      </c>
      <c r="CN114" s="22">
        <v>0.0</v>
      </c>
      <c r="CO114" s="22">
        <v>100.0</v>
      </c>
      <c r="CP114" s="24"/>
      <c r="CQ114" s="22">
        <v>0.0</v>
      </c>
      <c r="CR114" s="22">
        <v>0.0</v>
      </c>
      <c r="CS114" s="22">
        <v>0.0</v>
      </c>
      <c r="CT114" s="22">
        <v>-6302.0</v>
      </c>
      <c r="CU114" s="24">
        <v>47361.0</v>
      </c>
      <c r="CV114" s="24">
        <v>47361.0</v>
      </c>
      <c r="CW114" s="22">
        <v>210427.0</v>
      </c>
      <c r="CX114" s="22" t="s">
        <v>122</v>
      </c>
      <c r="CY114" s="22" t="s">
        <v>123</v>
      </c>
      <c r="CZ114" s="25">
        <v>1116.15</v>
      </c>
      <c r="DA114" s="25">
        <v>1008.8</v>
      </c>
      <c r="DB114" s="25">
        <v>-4620.99</v>
      </c>
      <c r="DC114" s="25">
        <v>0.57</v>
      </c>
      <c r="DD114" s="25">
        <v>-772.35</v>
      </c>
      <c r="DE114" s="25">
        <v>-888.2</v>
      </c>
      <c r="DF114" s="22"/>
    </row>
    <row r="115" ht="13.5" customHeight="1">
      <c r="A115" s="22" t="s">
        <v>175</v>
      </c>
      <c r="B115" s="23">
        <v>43922.0</v>
      </c>
      <c r="C115" s="22" t="s">
        <v>136</v>
      </c>
      <c r="D115" s="22" t="s">
        <v>125</v>
      </c>
      <c r="E115" s="22" t="s">
        <v>126</v>
      </c>
      <c r="F115" s="22" t="s">
        <v>196</v>
      </c>
      <c r="G115" s="22" t="s">
        <v>140</v>
      </c>
      <c r="H115" s="22" t="s">
        <v>129</v>
      </c>
      <c r="I115" s="24">
        <v>43946.0</v>
      </c>
      <c r="J115" s="24">
        <v>43947.0</v>
      </c>
      <c r="K115" s="22">
        <f t="shared" si="1"/>
        <v>1</v>
      </c>
      <c r="L115" s="22">
        <v>1.0</v>
      </c>
      <c r="M115" s="22">
        <f t="shared" si="2"/>
        <v>0</v>
      </c>
      <c r="N115" s="24">
        <v>43960.0</v>
      </c>
      <c r="O115" s="24">
        <v>43970.0</v>
      </c>
      <c r="P115" s="22">
        <f t="shared" si="3"/>
        <v>10</v>
      </c>
      <c r="Q115" s="22">
        <v>90.0</v>
      </c>
      <c r="R115" s="22">
        <f t="shared" si="4"/>
        <v>-80</v>
      </c>
      <c r="S115" s="22" t="s">
        <v>421</v>
      </c>
      <c r="T115" s="22" t="s">
        <v>422</v>
      </c>
      <c r="U115" s="22" t="s">
        <v>117</v>
      </c>
      <c r="V115" s="22" t="s">
        <v>147</v>
      </c>
      <c r="W115" s="22" t="s">
        <v>182</v>
      </c>
      <c r="X115" s="22" t="s">
        <v>259</v>
      </c>
      <c r="Y115" s="22">
        <v>2024.0</v>
      </c>
      <c r="Z115" s="22" t="s">
        <v>135</v>
      </c>
      <c r="AA115" s="22">
        <v>1998.0</v>
      </c>
      <c r="AB115" s="22">
        <v>16.0</v>
      </c>
      <c r="AC115" s="22">
        <v>0.0</v>
      </c>
      <c r="AD115" s="25">
        <v>453264.78</v>
      </c>
      <c r="AE115" s="25">
        <v>19222.07</v>
      </c>
      <c r="AF115" s="26">
        <v>0.04</v>
      </c>
      <c r="AG115" s="25">
        <v>51382.55</v>
      </c>
      <c r="AH115" s="25">
        <v>2531.0</v>
      </c>
      <c r="AI115" s="22">
        <v>7.75</v>
      </c>
      <c r="AJ115" s="25">
        <v>234700.0</v>
      </c>
      <c r="AK115" s="22">
        <v>51.78</v>
      </c>
      <c r="AL115" s="24">
        <v>43970.0</v>
      </c>
      <c r="AM115" s="24">
        <v>45796.0</v>
      </c>
      <c r="AN115" s="22">
        <v>60.0</v>
      </c>
      <c r="AO115" s="22">
        <v>3000.0</v>
      </c>
      <c r="AP115" s="22">
        <v>180000.0</v>
      </c>
      <c r="AQ115" s="24">
        <v>46203.0</v>
      </c>
      <c r="AR115" s="22">
        <v>34829.0</v>
      </c>
      <c r="AS115" s="22">
        <v>37606.0</v>
      </c>
      <c r="AT115" s="22">
        <v>2777.0</v>
      </c>
      <c r="AU115" s="22">
        <v>37207.0</v>
      </c>
      <c r="AV115" s="22">
        <v>3721.0</v>
      </c>
      <c r="AW115" s="25">
        <v>7490.97</v>
      </c>
      <c r="AX115" s="25">
        <v>1800.0</v>
      </c>
      <c r="AY115" s="25">
        <v>125.0</v>
      </c>
      <c r="AZ115" s="25">
        <v>291.0</v>
      </c>
      <c r="BA115" s="25">
        <v>1522.99</v>
      </c>
      <c r="BB115" s="25">
        <v>11229.96</v>
      </c>
      <c r="BC115" s="25">
        <v>1684.49</v>
      </c>
      <c r="BD115" s="25">
        <v>12914.45</v>
      </c>
      <c r="BE115" s="24">
        <v>45748.0</v>
      </c>
      <c r="BF115" s="24">
        <v>45838.0</v>
      </c>
      <c r="BG115" s="22">
        <v>27874.0</v>
      </c>
      <c r="BH115" s="22">
        <v>37606.0</v>
      </c>
      <c r="BI115" s="22">
        <v>9732.0</v>
      </c>
      <c r="BJ115" s="22">
        <v>9000.0</v>
      </c>
      <c r="BK115" s="22">
        <v>732.0</v>
      </c>
      <c r="BL115" s="25">
        <v>0.69</v>
      </c>
      <c r="BM115" s="25">
        <v>1.21</v>
      </c>
      <c r="BN115" s="25">
        <v>505.08</v>
      </c>
      <c r="BO115" s="25">
        <v>885.72</v>
      </c>
      <c r="BP115" s="25">
        <v>1390.8</v>
      </c>
      <c r="BQ115" s="25">
        <v>208.62</v>
      </c>
      <c r="BR115" s="25">
        <v>1599.42</v>
      </c>
      <c r="BS115" s="25">
        <v>0.0</v>
      </c>
      <c r="BT115" s="25">
        <v>0.0</v>
      </c>
      <c r="BU115" s="25">
        <v>0.0</v>
      </c>
      <c r="BV115" s="25">
        <v>0.0</v>
      </c>
      <c r="BW115" s="25">
        <v>0.0</v>
      </c>
      <c r="BX115" s="25">
        <v>0.0</v>
      </c>
      <c r="BY115" s="25">
        <v>3603.01</v>
      </c>
      <c r="BZ115" s="22">
        <v>0.0</v>
      </c>
      <c r="CA115" s="25">
        <v>0.0</v>
      </c>
      <c r="CB115" s="22">
        <v>0.0</v>
      </c>
      <c r="CC115" s="25">
        <v>0.0</v>
      </c>
      <c r="CD115" s="25">
        <v>0.0</v>
      </c>
      <c r="CE115" s="25">
        <v>0.0</v>
      </c>
      <c r="CF115" s="25">
        <v>0.0</v>
      </c>
      <c r="CG115" s="25">
        <v>0.0</v>
      </c>
      <c r="CH115" s="25">
        <v>14513.87</v>
      </c>
      <c r="CI115" s="25">
        <v>1893.11</v>
      </c>
      <c r="CJ115" s="25">
        <v>12620.76</v>
      </c>
      <c r="CK115" s="25">
        <v>4.54</v>
      </c>
      <c r="CL115" s="22">
        <v>0.0</v>
      </c>
      <c r="CM115" s="22">
        <v>0.0</v>
      </c>
      <c r="CN115" s="22">
        <v>0.0</v>
      </c>
      <c r="CO115" s="22">
        <v>100.0</v>
      </c>
      <c r="CP115" s="24"/>
      <c r="CQ115" s="22">
        <v>0.0</v>
      </c>
      <c r="CR115" s="22">
        <v>0.0</v>
      </c>
      <c r="CS115" s="22">
        <v>0.0</v>
      </c>
      <c r="CT115" s="22">
        <v>4840.0</v>
      </c>
      <c r="CU115" s="24">
        <v>47361.0</v>
      </c>
      <c r="CV115" s="24">
        <v>47361.0</v>
      </c>
      <c r="CW115" s="22">
        <v>180399.0</v>
      </c>
      <c r="CX115" s="22" t="s">
        <v>122</v>
      </c>
      <c r="CY115" s="22" t="s">
        <v>123</v>
      </c>
      <c r="CZ115" s="25">
        <v>5831.88</v>
      </c>
      <c r="DA115" s="25">
        <v>10226.92</v>
      </c>
      <c r="DB115" s="25">
        <v>-2345.85</v>
      </c>
      <c r="DC115" s="25">
        <v>0.6</v>
      </c>
      <c r="DD115" s="25">
        <v>0.0</v>
      </c>
      <c r="DE115" s="25">
        <v>0.0</v>
      </c>
      <c r="DF115" s="22"/>
    </row>
    <row r="116" ht="13.5" customHeight="1">
      <c r="A116" s="22" t="s">
        <v>175</v>
      </c>
      <c r="B116" s="23">
        <v>43922.0</v>
      </c>
      <c r="C116" s="22" t="s">
        <v>109</v>
      </c>
      <c r="D116" s="22" t="s">
        <v>137</v>
      </c>
      <c r="E116" s="22" t="s">
        <v>138</v>
      </c>
      <c r="F116" s="22" t="s">
        <v>196</v>
      </c>
      <c r="G116" s="22" t="s">
        <v>140</v>
      </c>
      <c r="H116" s="22" t="s">
        <v>141</v>
      </c>
      <c r="I116" s="24">
        <v>43947.0</v>
      </c>
      <c r="J116" s="24">
        <v>43948.0</v>
      </c>
      <c r="K116" s="22">
        <f t="shared" si="1"/>
        <v>1</v>
      </c>
      <c r="L116" s="22">
        <v>1.0</v>
      </c>
      <c r="M116" s="22">
        <f t="shared" si="2"/>
        <v>0</v>
      </c>
      <c r="N116" s="24">
        <v>43961.0</v>
      </c>
      <c r="O116" s="24">
        <v>43971.0</v>
      </c>
      <c r="P116" s="22">
        <f t="shared" si="3"/>
        <v>10</v>
      </c>
      <c r="Q116" s="22">
        <v>90.0</v>
      </c>
      <c r="R116" s="22">
        <f t="shared" si="4"/>
        <v>-80</v>
      </c>
      <c r="S116" s="22" t="s">
        <v>423</v>
      </c>
      <c r="T116" s="22" t="s">
        <v>424</v>
      </c>
      <c r="U116" s="22" t="s">
        <v>117</v>
      </c>
      <c r="V116" s="22" t="s">
        <v>147</v>
      </c>
      <c r="W116" s="22" t="s">
        <v>182</v>
      </c>
      <c r="X116" s="22" t="s">
        <v>259</v>
      </c>
      <c r="Y116" s="22">
        <v>2024.0</v>
      </c>
      <c r="Z116" s="22" t="s">
        <v>135</v>
      </c>
      <c r="AA116" s="22">
        <v>1998.0</v>
      </c>
      <c r="AB116" s="22">
        <v>16.0</v>
      </c>
      <c r="AC116" s="22">
        <v>0.0</v>
      </c>
      <c r="AD116" s="25">
        <v>453264.78</v>
      </c>
      <c r="AE116" s="25">
        <v>19222.07</v>
      </c>
      <c r="AF116" s="26">
        <v>0.04</v>
      </c>
      <c r="AG116" s="25">
        <v>51695.77</v>
      </c>
      <c r="AH116" s="25">
        <v>2531.0</v>
      </c>
      <c r="AI116" s="22">
        <v>7.75</v>
      </c>
      <c r="AJ116" s="25">
        <v>234700.0</v>
      </c>
      <c r="AK116" s="22">
        <v>51.78</v>
      </c>
      <c r="AL116" s="24">
        <v>43971.0</v>
      </c>
      <c r="AM116" s="24">
        <v>45797.0</v>
      </c>
      <c r="AN116" s="22">
        <v>60.0</v>
      </c>
      <c r="AO116" s="22">
        <v>3500.0</v>
      </c>
      <c r="AP116" s="22">
        <v>210000.0</v>
      </c>
      <c r="AQ116" s="24">
        <v>46203.0</v>
      </c>
      <c r="AR116" s="22">
        <v>21185.0</v>
      </c>
      <c r="AS116" s="22">
        <v>24129.0</v>
      </c>
      <c r="AT116" s="22">
        <v>2944.0</v>
      </c>
      <c r="AU116" s="22">
        <v>23730.0</v>
      </c>
      <c r="AV116" s="22">
        <v>2373.0</v>
      </c>
      <c r="AW116" s="25">
        <v>7419.52</v>
      </c>
      <c r="AX116" s="25">
        <v>1995.0</v>
      </c>
      <c r="AY116" s="25">
        <v>125.0</v>
      </c>
      <c r="AZ116" s="25">
        <v>291.0</v>
      </c>
      <c r="BA116" s="25">
        <v>1522.99</v>
      </c>
      <c r="BB116" s="25">
        <v>11353.51</v>
      </c>
      <c r="BC116" s="25">
        <v>1703.03</v>
      </c>
      <c r="BD116" s="25">
        <v>13056.54</v>
      </c>
      <c r="BE116" s="24">
        <v>45748.0</v>
      </c>
      <c r="BF116" s="24">
        <v>45838.0</v>
      </c>
      <c r="BG116" s="22">
        <v>17671.0</v>
      </c>
      <c r="BH116" s="22">
        <v>24129.0</v>
      </c>
      <c r="BI116" s="22">
        <v>6458.0</v>
      </c>
      <c r="BJ116" s="22">
        <v>10500.0</v>
      </c>
      <c r="BK116" s="22">
        <v>-4042.0</v>
      </c>
      <c r="BL116" s="25">
        <v>0.66</v>
      </c>
      <c r="BM116" s="25">
        <v>1.04</v>
      </c>
      <c r="BN116" s="25">
        <v>0.0</v>
      </c>
      <c r="BO116" s="25">
        <v>0.0</v>
      </c>
      <c r="BP116" s="25">
        <v>0.0</v>
      </c>
      <c r="BQ116" s="25">
        <v>-345.59</v>
      </c>
      <c r="BR116" s="25">
        <v>0.0</v>
      </c>
      <c r="BS116" s="25">
        <v>0.0</v>
      </c>
      <c r="BT116" s="25">
        <v>0.0</v>
      </c>
      <c r="BU116" s="25">
        <v>0.0</v>
      </c>
      <c r="BV116" s="25">
        <v>0.0</v>
      </c>
      <c r="BW116" s="25">
        <v>0.0</v>
      </c>
      <c r="BX116" s="25">
        <v>0.0</v>
      </c>
      <c r="BY116" s="25">
        <v>5495.38</v>
      </c>
      <c r="BZ116" s="22">
        <v>0.0</v>
      </c>
      <c r="CA116" s="25">
        <v>0.0</v>
      </c>
      <c r="CB116" s="22">
        <v>0.0</v>
      </c>
      <c r="CC116" s="25">
        <v>0.0</v>
      </c>
      <c r="CD116" s="25">
        <v>0.0</v>
      </c>
      <c r="CE116" s="25">
        <v>0.0</v>
      </c>
      <c r="CF116" s="25">
        <v>0.0</v>
      </c>
      <c r="CG116" s="25">
        <v>0.0</v>
      </c>
      <c r="CH116" s="25">
        <v>10407.01</v>
      </c>
      <c r="CI116" s="25">
        <v>1357.44</v>
      </c>
      <c r="CJ116" s="25">
        <v>9049.57</v>
      </c>
      <c r="CK116" s="25">
        <v>3.07</v>
      </c>
      <c r="CL116" s="22">
        <v>0.0</v>
      </c>
      <c r="CM116" s="22">
        <v>0.0</v>
      </c>
      <c r="CN116" s="22">
        <v>0.0</v>
      </c>
      <c r="CO116" s="22">
        <v>100.0</v>
      </c>
      <c r="CP116" s="24"/>
      <c r="CQ116" s="22">
        <v>0.0</v>
      </c>
      <c r="CR116" s="22">
        <v>0.0</v>
      </c>
      <c r="CS116" s="22">
        <v>0.0</v>
      </c>
      <c r="CT116" s="22">
        <v>-12190.0</v>
      </c>
      <c r="CU116" s="24">
        <v>47361.0</v>
      </c>
      <c r="CV116" s="24">
        <v>47361.0</v>
      </c>
      <c r="CW116" s="22">
        <v>210399.0</v>
      </c>
      <c r="CX116" s="22" t="s">
        <v>122</v>
      </c>
      <c r="CY116" s="22" t="s">
        <v>123</v>
      </c>
      <c r="CZ116" s="25">
        <v>2022.36</v>
      </c>
      <c r="DA116" s="25">
        <v>0.0</v>
      </c>
      <c r="DB116" s="25">
        <v>-9057.3</v>
      </c>
      <c r="DC116" s="25">
        <v>0.57</v>
      </c>
      <c r="DD116" s="25">
        <v>-2303.94</v>
      </c>
      <c r="DE116" s="25">
        <v>-2649.53</v>
      </c>
      <c r="DF116" s="22"/>
    </row>
    <row r="117" ht="13.5" customHeight="1">
      <c r="A117" s="22" t="s">
        <v>175</v>
      </c>
      <c r="B117" s="23">
        <v>43922.0</v>
      </c>
      <c r="C117" s="22" t="s">
        <v>124</v>
      </c>
      <c r="D117" s="22" t="s">
        <v>110</v>
      </c>
      <c r="E117" s="22" t="s">
        <v>111</v>
      </c>
      <c r="F117" s="22" t="s">
        <v>196</v>
      </c>
      <c r="G117" s="22" t="s">
        <v>140</v>
      </c>
      <c r="H117" s="22" t="s">
        <v>114</v>
      </c>
      <c r="I117" s="24">
        <v>43948.0</v>
      </c>
      <c r="J117" s="24">
        <v>43949.0</v>
      </c>
      <c r="K117" s="22">
        <f t="shared" si="1"/>
        <v>1</v>
      </c>
      <c r="L117" s="22">
        <v>1.0</v>
      </c>
      <c r="M117" s="22">
        <f t="shared" si="2"/>
        <v>0</v>
      </c>
      <c r="N117" s="24">
        <v>43962.0</v>
      </c>
      <c r="O117" s="24">
        <v>43972.0</v>
      </c>
      <c r="P117" s="22">
        <f t="shared" si="3"/>
        <v>10</v>
      </c>
      <c r="Q117" s="22">
        <v>90.0</v>
      </c>
      <c r="R117" s="22">
        <f t="shared" si="4"/>
        <v>-80</v>
      </c>
      <c r="S117" s="22" t="s">
        <v>425</v>
      </c>
      <c r="T117" s="22" t="s">
        <v>426</v>
      </c>
      <c r="U117" s="22" t="s">
        <v>117</v>
      </c>
      <c r="V117" s="22" t="s">
        <v>147</v>
      </c>
      <c r="W117" s="22" t="s">
        <v>182</v>
      </c>
      <c r="X117" s="22" t="s">
        <v>259</v>
      </c>
      <c r="Y117" s="22">
        <v>2024.0</v>
      </c>
      <c r="Z117" s="22" t="s">
        <v>135</v>
      </c>
      <c r="AA117" s="22">
        <v>1998.0</v>
      </c>
      <c r="AB117" s="22">
        <v>16.0</v>
      </c>
      <c r="AC117" s="22">
        <v>0.0</v>
      </c>
      <c r="AD117" s="25">
        <v>453264.78</v>
      </c>
      <c r="AE117" s="25">
        <v>19222.07</v>
      </c>
      <c r="AF117" s="26">
        <v>0.04</v>
      </c>
      <c r="AG117" s="25">
        <v>51614.32</v>
      </c>
      <c r="AH117" s="25">
        <v>2633.0</v>
      </c>
      <c r="AI117" s="22">
        <v>7.75</v>
      </c>
      <c r="AJ117" s="25">
        <v>234700.0</v>
      </c>
      <c r="AK117" s="22">
        <v>51.78</v>
      </c>
      <c r="AL117" s="24">
        <v>43972.0</v>
      </c>
      <c r="AM117" s="24">
        <v>45798.0</v>
      </c>
      <c r="AN117" s="22">
        <v>60.0</v>
      </c>
      <c r="AO117" s="22">
        <v>3500.0</v>
      </c>
      <c r="AP117" s="22">
        <v>210000.0</v>
      </c>
      <c r="AQ117" s="24">
        <v>46203.0</v>
      </c>
      <c r="AR117" s="22">
        <v>15943.0</v>
      </c>
      <c r="AS117" s="22">
        <v>17638.0</v>
      </c>
      <c r="AT117" s="22">
        <v>1695.0</v>
      </c>
      <c r="AU117" s="22">
        <v>17239.0</v>
      </c>
      <c r="AV117" s="22">
        <v>1724.0</v>
      </c>
      <c r="AW117" s="25">
        <v>7411.13</v>
      </c>
      <c r="AX117" s="25">
        <v>1995.0</v>
      </c>
      <c r="AY117" s="25">
        <v>125.0</v>
      </c>
      <c r="AZ117" s="25">
        <v>291.0</v>
      </c>
      <c r="BA117" s="25">
        <v>1522.99</v>
      </c>
      <c r="BB117" s="25">
        <v>11345.12</v>
      </c>
      <c r="BC117" s="25">
        <v>1701.77</v>
      </c>
      <c r="BD117" s="25">
        <v>13046.89</v>
      </c>
      <c r="BE117" s="24">
        <v>45748.0</v>
      </c>
      <c r="BF117" s="24">
        <v>45838.0</v>
      </c>
      <c r="BG117" s="22">
        <v>12293.0</v>
      </c>
      <c r="BH117" s="22">
        <v>17638.0</v>
      </c>
      <c r="BI117" s="22">
        <v>5345.0</v>
      </c>
      <c r="BJ117" s="22">
        <v>10500.0</v>
      </c>
      <c r="BK117" s="22">
        <v>-5155.0</v>
      </c>
      <c r="BL117" s="25">
        <v>0.66</v>
      </c>
      <c r="BM117" s="25">
        <v>1.04</v>
      </c>
      <c r="BN117" s="25">
        <v>0.0</v>
      </c>
      <c r="BO117" s="25">
        <v>0.0</v>
      </c>
      <c r="BP117" s="25">
        <v>0.0</v>
      </c>
      <c r="BQ117" s="25">
        <v>-440.75</v>
      </c>
      <c r="BR117" s="25">
        <v>0.0</v>
      </c>
      <c r="BS117" s="25">
        <v>425.0</v>
      </c>
      <c r="BT117" s="25">
        <v>0.0</v>
      </c>
      <c r="BU117" s="25">
        <v>0.0</v>
      </c>
      <c r="BV117" s="25">
        <v>0.0</v>
      </c>
      <c r="BW117" s="25">
        <v>0.0</v>
      </c>
      <c r="BX117" s="25">
        <v>0.0</v>
      </c>
      <c r="BY117" s="25">
        <v>4561.73</v>
      </c>
      <c r="BZ117" s="22">
        <v>0.0</v>
      </c>
      <c r="CA117" s="25">
        <v>0.0</v>
      </c>
      <c r="CB117" s="22">
        <v>0.0</v>
      </c>
      <c r="CC117" s="25">
        <v>0.0</v>
      </c>
      <c r="CD117" s="25">
        <v>0.0</v>
      </c>
      <c r="CE117" s="25">
        <v>425.0</v>
      </c>
      <c r="CF117" s="25">
        <v>63.75</v>
      </c>
      <c r="CG117" s="25">
        <v>488.75</v>
      </c>
      <c r="CH117" s="25">
        <v>10156.54</v>
      </c>
      <c r="CI117" s="25">
        <v>1324.77</v>
      </c>
      <c r="CJ117" s="25">
        <v>8831.77</v>
      </c>
      <c r="CK117" s="25">
        <v>5.21</v>
      </c>
      <c r="CL117" s="22">
        <v>6.0</v>
      </c>
      <c r="CM117" s="22">
        <v>0.0</v>
      </c>
      <c r="CN117" s="22">
        <v>0.0</v>
      </c>
      <c r="CO117" s="22">
        <v>100.0</v>
      </c>
      <c r="CP117" s="24"/>
      <c r="CQ117" s="22">
        <v>0.0</v>
      </c>
      <c r="CR117" s="22">
        <v>0.0</v>
      </c>
      <c r="CS117" s="22">
        <v>0.0</v>
      </c>
      <c r="CT117" s="22">
        <v>-18681.0</v>
      </c>
      <c r="CU117" s="24">
        <v>47361.0</v>
      </c>
      <c r="CV117" s="24">
        <v>47361.0</v>
      </c>
      <c r="CW117" s="22">
        <v>210399.0</v>
      </c>
      <c r="CX117" s="22" t="s">
        <v>122</v>
      </c>
      <c r="CY117" s="22" t="s">
        <v>123</v>
      </c>
      <c r="CZ117" s="25">
        <v>3349.32</v>
      </c>
      <c r="DA117" s="25">
        <v>0.0</v>
      </c>
      <c r="DB117" s="25">
        <v>-13997.49</v>
      </c>
      <c r="DC117" s="25">
        <v>0.57</v>
      </c>
      <c r="DD117" s="25">
        <v>-2938.35</v>
      </c>
      <c r="DE117" s="25">
        <v>-3379.1</v>
      </c>
      <c r="DF117" s="22"/>
    </row>
    <row r="118" ht="13.5" customHeight="1">
      <c r="A118" s="22" t="s">
        <v>175</v>
      </c>
      <c r="B118" s="23">
        <v>43922.0</v>
      </c>
      <c r="C118" s="22" t="s">
        <v>136</v>
      </c>
      <c r="D118" s="22" t="s">
        <v>125</v>
      </c>
      <c r="E118" s="22" t="s">
        <v>126</v>
      </c>
      <c r="F118" s="22" t="s">
        <v>196</v>
      </c>
      <c r="G118" s="22" t="s">
        <v>140</v>
      </c>
      <c r="H118" s="22" t="s">
        <v>129</v>
      </c>
      <c r="I118" s="24">
        <v>43949.0</v>
      </c>
      <c r="J118" s="24">
        <v>43951.0</v>
      </c>
      <c r="K118" s="22">
        <f t="shared" si="1"/>
        <v>2</v>
      </c>
      <c r="L118" s="22">
        <v>1.0</v>
      </c>
      <c r="M118" s="22">
        <f t="shared" si="2"/>
        <v>1</v>
      </c>
      <c r="N118" s="24">
        <v>43963.0</v>
      </c>
      <c r="O118" s="24">
        <v>44187.0</v>
      </c>
      <c r="P118" s="22">
        <f t="shared" si="3"/>
        <v>224</v>
      </c>
      <c r="Q118" s="22">
        <v>90.0</v>
      </c>
      <c r="R118" s="22">
        <f t="shared" si="4"/>
        <v>134</v>
      </c>
      <c r="S118" s="22" t="s">
        <v>427</v>
      </c>
      <c r="T118" s="22" t="s">
        <v>428</v>
      </c>
      <c r="U118" s="22" t="s">
        <v>117</v>
      </c>
      <c r="V118" s="22" t="s">
        <v>147</v>
      </c>
      <c r="W118" s="22" t="s">
        <v>182</v>
      </c>
      <c r="X118" s="22" t="s">
        <v>259</v>
      </c>
      <c r="Y118" s="22">
        <v>2024.0</v>
      </c>
      <c r="Z118" s="22" t="s">
        <v>135</v>
      </c>
      <c r="AA118" s="22">
        <v>1998.0</v>
      </c>
      <c r="AB118" s="22">
        <v>16.0</v>
      </c>
      <c r="AC118" s="22">
        <v>0.0</v>
      </c>
      <c r="AD118" s="25">
        <v>453264.78</v>
      </c>
      <c r="AE118" s="25">
        <v>19222.07</v>
      </c>
      <c r="AF118" s="26">
        <v>0.04</v>
      </c>
      <c r="AG118" s="25">
        <v>44438.55</v>
      </c>
      <c r="AH118" s="25">
        <v>2531.0</v>
      </c>
      <c r="AI118" s="22">
        <v>7.75</v>
      </c>
      <c r="AJ118" s="25">
        <v>242487.0</v>
      </c>
      <c r="AK118" s="22">
        <v>53.5</v>
      </c>
      <c r="AL118" s="24">
        <v>44187.0</v>
      </c>
      <c r="AM118" s="24">
        <v>46013.0</v>
      </c>
      <c r="AN118" s="22">
        <v>60.0</v>
      </c>
      <c r="AO118" s="22">
        <v>7000.0</v>
      </c>
      <c r="AP118" s="22">
        <v>217000.0</v>
      </c>
      <c r="AQ118" s="24">
        <v>46203.0</v>
      </c>
      <c r="AR118" s="22">
        <v>41653.0</v>
      </c>
      <c r="AS118" s="22">
        <v>47204.0</v>
      </c>
      <c r="AT118" s="22">
        <v>5551.0</v>
      </c>
      <c r="AU118" s="22">
        <v>46808.0</v>
      </c>
      <c r="AV118" s="22">
        <v>4681.0</v>
      </c>
      <c r="AW118" s="25">
        <v>10675.28</v>
      </c>
      <c r="AX118" s="25">
        <v>4340.0</v>
      </c>
      <c r="AY118" s="25">
        <v>125.0</v>
      </c>
      <c r="AZ118" s="25">
        <v>291.0</v>
      </c>
      <c r="BA118" s="25">
        <v>1199.93</v>
      </c>
      <c r="BB118" s="25">
        <v>16631.21</v>
      </c>
      <c r="BC118" s="25">
        <v>2494.68</v>
      </c>
      <c r="BD118" s="25">
        <v>19125.89</v>
      </c>
      <c r="BE118" s="24">
        <v>45748.0</v>
      </c>
      <c r="BF118" s="24">
        <v>45838.0</v>
      </c>
      <c r="BG118" s="22">
        <v>32300.0</v>
      </c>
      <c r="BH118" s="22">
        <v>47204.0</v>
      </c>
      <c r="BI118" s="22">
        <v>14904.0</v>
      </c>
      <c r="BJ118" s="22">
        <v>21000.0</v>
      </c>
      <c r="BK118" s="22">
        <v>-6096.0</v>
      </c>
      <c r="BL118" s="25">
        <v>0.71</v>
      </c>
      <c r="BM118" s="25">
        <v>0.97</v>
      </c>
      <c r="BN118" s="25">
        <v>0.0</v>
      </c>
      <c r="BO118" s="25">
        <v>0.0</v>
      </c>
      <c r="BP118" s="25">
        <v>0.0</v>
      </c>
      <c r="BQ118" s="25">
        <v>-566.93</v>
      </c>
      <c r="BR118" s="25">
        <v>0.0</v>
      </c>
      <c r="BS118" s="25">
        <v>0.0</v>
      </c>
      <c r="BT118" s="25">
        <v>0.0</v>
      </c>
      <c r="BU118" s="25">
        <v>0.0</v>
      </c>
      <c r="BV118" s="25">
        <v>0.0</v>
      </c>
      <c r="BW118" s="25">
        <v>0.0</v>
      </c>
      <c r="BX118" s="25">
        <v>0.0</v>
      </c>
      <c r="BY118" s="25">
        <v>9691.23</v>
      </c>
      <c r="BZ118" s="22">
        <v>0.0</v>
      </c>
      <c r="CA118" s="25">
        <v>0.0</v>
      </c>
      <c r="CB118" s="22">
        <v>0.0</v>
      </c>
      <c r="CC118" s="25">
        <v>0.0</v>
      </c>
      <c r="CD118" s="25">
        <v>0.0</v>
      </c>
      <c r="CE118" s="25">
        <v>0.0</v>
      </c>
      <c r="CF118" s="25">
        <v>0.0</v>
      </c>
      <c r="CG118" s="25">
        <v>0.0</v>
      </c>
      <c r="CH118" s="25">
        <v>14779.44</v>
      </c>
      <c r="CI118" s="25">
        <v>1927.75</v>
      </c>
      <c r="CJ118" s="25">
        <v>12851.69</v>
      </c>
      <c r="CK118" s="25">
        <v>2.32</v>
      </c>
      <c r="CL118" s="22">
        <v>0.0</v>
      </c>
      <c r="CM118" s="22">
        <v>0.0</v>
      </c>
      <c r="CN118" s="22">
        <v>0.0</v>
      </c>
      <c r="CO118" s="22">
        <v>100.0</v>
      </c>
      <c r="CP118" s="24"/>
      <c r="CQ118" s="22">
        <v>0.0</v>
      </c>
      <c r="CR118" s="22">
        <v>0.0</v>
      </c>
      <c r="CS118" s="22">
        <v>0.0</v>
      </c>
      <c r="CT118" s="22">
        <v>-28715.0</v>
      </c>
      <c r="CU118" s="24">
        <v>46477.0</v>
      </c>
      <c r="CV118" s="24">
        <v>46477.0</v>
      </c>
      <c r="CW118" s="22">
        <v>217396.0</v>
      </c>
      <c r="CX118" s="22" t="s">
        <v>122</v>
      </c>
      <c r="CY118" s="22" t="s">
        <v>123</v>
      </c>
      <c r="CZ118" s="25">
        <v>5027.58</v>
      </c>
      <c r="DA118" s="25">
        <v>0.0</v>
      </c>
      <c r="DB118" s="25">
        <v>-22830.88</v>
      </c>
      <c r="DC118" s="25">
        <v>0.62</v>
      </c>
      <c r="DD118" s="25">
        <v>-3779.52</v>
      </c>
      <c r="DE118" s="25">
        <v>-4346.45</v>
      </c>
      <c r="DF118" s="22"/>
    </row>
    <row r="119" ht="13.5" customHeight="1">
      <c r="A119" s="22" t="s">
        <v>203</v>
      </c>
      <c r="B119" s="23">
        <v>43922.0</v>
      </c>
      <c r="C119" s="22" t="s">
        <v>109</v>
      </c>
      <c r="D119" s="22" t="s">
        <v>137</v>
      </c>
      <c r="E119" s="22" t="s">
        <v>138</v>
      </c>
      <c r="F119" s="22" t="s">
        <v>196</v>
      </c>
      <c r="G119" s="22" t="s">
        <v>140</v>
      </c>
      <c r="H119" s="22" t="s">
        <v>141</v>
      </c>
      <c r="I119" s="24">
        <v>43950.0</v>
      </c>
      <c r="J119" s="24">
        <v>43951.0</v>
      </c>
      <c r="K119" s="22">
        <f t="shared" si="1"/>
        <v>1</v>
      </c>
      <c r="L119" s="22">
        <v>1.0</v>
      </c>
      <c r="M119" s="22">
        <f t="shared" si="2"/>
        <v>0</v>
      </c>
      <c r="N119" s="24">
        <v>43964.0</v>
      </c>
      <c r="O119" s="24">
        <v>43974.0</v>
      </c>
      <c r="P119" s="22">
        <f t="shared" si="3"/>
        <v>10</v>
      </c>
      <c r="Q119" s="22">
        <v>90.0</v>
      </c>
      <c r="R119" s="22">
        <f t="shared" si="4"/>
        <v>-80</v>
      </c>
      <c r="S119" s="22" t="s">
        <v>429</v>
      </c>
      <c r="T119" s="22" t="s">
        <v>430</v>
      </c>
      <c r="U119" s="22" t="s">
        <v>117</v>
      </c>
      <c r="V119" s="22" t="s">
        <v>147</v>
      </c>
      <c r="W119" s="22" t="s">
        <v>182</v>
      </c>
      <c r="X119" s="22" t="s">
        <v>259</v>
      </c>
      <c r="Y119" s="22">
        <v>2024.0</v>
      </c>
      <c r="Z119" s="22" t="s">
        <v>135</v>
      </c>
      <c r="AA119" s="22">
        <v>1998.0</v>
      </c>
      <c r="AB119" s="22">
        <v>16.0</v>
      </c>
      <c r="AC119" s="22">
        <v>0.0</v>
      </c>
      <c r="AD119" s="25">
        <v>453264.78</v>
      </c>
      <c r="AE119" s="25">
        <v>19222.07</v>
      </c>
      <c r="AF119" s="26">
        <v>0.04</v>
      </c>
      <c r="AG119" s="25">
        <v>44430.66</v>
      </c>
      <c r="AH119" s="25">
        <v>2531.0</v>
      </c>
      <c r="AI119" s="22">
        <v>7.75</v>
      </c>
      <c r="AJ119" s="25">
        <v>234700.0</v>
      </c>
      <c r="AK119" s="22">
        <v>51.78</v>
      </c>
      <c r="AL119" s="24">
        <v>43974.0</v>
      </c>
      <c r="AM119" s="24">
        <v>45800.0</v>
      </c>
      <c r="AN119" s="22">
        <v>60.0</v>
      </c>
      <c r="AO119" s="22">
        <v>3000.0</v>
      </c>
      <c r="AP119" s="22">
        <v>180000.0</v>
      </c>
      <c r="AQ119" s="24">
        <v>46203.0</v>
      </c>
      <c r="AR119" s="22">
        <v>30230.0</v>
      </c>
      <c r="AS119" s="22">
        <v>30565.0</v>
      </c>
      <c r="AT119" s="22">
        <v>335.0</v>
      </c>
      <c r="AU119" s="22">
        <v>29950.0</v>
      </c>
      <c r="AV119" s="22">
        <v>2995.0</v>
      </c>
      <c r="AW119" s="25">
        <v>7052.48</v>
      </c>
      <c r="AX119" s="25">
        <v>2010.0</v>
      </c>
      <c r="AY119" s="25">
        <v>125.0</v>
      </c>
      <c r="AZ119" s="25">
        <v>291.0</v>
      </c>
      <c r="BA119" s="25">
        <v>1507.61</v>
      </c>
      <c r="BB119" s="25">
        <v>10986.09</v>
      </c>
      <c r="BC119" s="25">
        <v>1647.91</v>
      </c>
      <c r="BD119" s="25">
        <v>12634.0</v>
      </c>
      <c r="BE119" s="24">
        <v>45748.0</v>
      </c>
      <c r="BF119" s="24">
        <v>45838.0</v>
      </c>
      <c r="BG119" s="22">
        <v>20171.0</v>
      </c>
      <c r="BH119" s="22">
        <v>30565.0</v>
      </c>
      <c r="BI119" s="22">
        <v>10394.0</v>
      </c>
      <c r="BJ119" s="22">
        <v>9000.0</v>
      </c>
      <c r="BK119" s="22">
        <v>1394.0</v>
      </c>
      <c r="BL119" s="25">
        <v>0.77</v>
      </c>
      <c r="BM119" s="25">
        <v>1.21</v>
      </c>
      <c r="BN119" s="25">
        <v>1073.38</v>
      </c>
      <c r="BO119" s="25">
        <v>1686.74</v>
      </c>
      <c r="BP119" s="25">
        <v>2760.12</v>
      </c>
      <c r="BQ119" s="25">
        <v>414.02</v>
      </c>
      <c r="BR119" s="25">
        <v>3174.14</v>
      </c>
      <c r="BS119" s="25">
        <v>0.0</v>
      </c>
      <c r="BT119" s="25">
        <v>0.0</v>
      </c>
      <c r="BU119" s="25">
        <v>0.0</v>
      </c>
      <c r="BV119" s="25">
        <v>0.0</v>
      </c>
      <c r="BW119" s="25">
        <v>0.0</v>
      </c>
      <c r="BX119" s="25">
        <v>0.0</v>
      </c>
      <c r="BY119" s="25">
        <v>0.0</v>
      </c>
      <c r="BZ119" s="22">
        <v>0.0</v>
      </c>
      <c r="CA119" s="25">
        <v>0.0</v>
      </c>
      <c r="CB119" s="22">
        <v>0.0</v>
      </c>
      <c r="CC119" s="25">
        <v>0.0</v>
      </c>
      <c r="CD119" s="25">
        <v>0.0</v>
      </c>
      <c r="CE119" s="25">
        <v>0.0</v>
      </c>
      <c r="CF119" s="25">
        <v>0.0</v>
      </c>
      <c r="CG119" s="25">
        <v>0.0</v>
      </c>
      <c r="CH119" s="25">
        <v>15808.14</v>
      </c>
      <c r="CI119" s="25">
        <v>2061.93</v>
      </c>
      <c r="CJ119" s="25">
        <v>13746.21</v>
      </c>
      <c r="CK119" s="25">
        <v>41.03</v>
      </c>
      <c r="CL119" s="22">
        <v>0.0</v>
      </c>
      <c r="CM119" s="22">
        <v>0.0</v>
      </c>
      <c r="CN119" s="22">
        <v>0.0</v>
      </c>
      <c r="CO119" s="22">
        <v>100.0</v>
      </c>
      <c r="CP119" s="24"/>
      <c r="CQ119" s="22">
        <v>0.0</v>
      </c>
      <c r="CR119" s="22">
        <v>0.0</v>
      </c>
      <c r="CS119" s="22">
        <v>0.0</v>
      </c>
      <c r="CT119" s="22">
        <v>-2417.0</v>
      </c>
      <c r="CU119" s="24">
        <v>47361.0</v>
      </c>
      <c r="CV119" s="24">
        <v>47361.0</v>
      </c>
      <c r="CW119" s="22">
        <v>180615.0</v>
      </c>
      <c r="CX119" s="22" t="s">
        <v>122</v>
      </c>
      <c r="CY119" s="22" t="s">
        <v>123</v>
      </c>
      <c r="CZ119" s="25">
        <v>3083.16</v>
      </c>
      <c r="DA119" s="25">
        <v>3840.54</v>
      </c>
      <c r="DB119" s="25">
        <v>-4385.15</v>
      </c>
      <c r="DC119" s="25">
        <v>0.67</v>
      </c>
      <c r="DD119" s="25">
        <v>0.0</v>
      </c>
      <c r="DE119" s="25">
        <v>0.0</v>
      </c>
      <c r="DF119" s="22"/>
    </row>
    <row r="120" ht="13.5" customHeight="1">
      <c r="A120" s="22" t="s">
        <v>203</v>
      </c>
      <c r="B120" s="23">
        <v>43922.0</v>
      </c>
      <c r="C120" s="22" t="s">
        <v>124</v>
      </c>
      <c r="D120" s="22" t="s">
        <v>110</v>
      </c>
      <c r="E120" s="22" t="s">
        <v>111</v>
      </c>
      <c r="F120" s="22" t="s">
        <v>196</v>
      </c>
      <c r="G120" s="22" t="s">
        <v>140</v>
      </c>
      <c r="H120" s="22" t="s">
        <v>114</v>
      </c>
      <c r="I120" s="24">
        <v>43951.0</v>
      </c>
      <c r="J120" s="24">
        <v>43952.0</v>
      </c>
      <c r="K120" s="22">
        <f t="shared" si="1"/>
        <v>1</v>
      </c>
      <c r="L120" s="22">
        <v>1.0</v>
      </c>
      <c r="M120" s="22">
        <f t="shared" si="2"/>
        <v>0</v>
      </c>
      <c r="N120" s="24">
        <v>43965.0</v>
      </c>
      <c r="O120" s="24">
        <v>43975.0</v>
      </c>
      <c r="P120" s="22">
        <f t="shared" si="3"/>
        <v>10</v>
      </c>
      <c r="Q120" s="22">
        <v>90.0</v>
      </c>
      <c r="R120" s="22">
        <f t="shared" si="4"/>
        <v>-80</v>
      </c>
      <c r="S120" s="22" t="s">
        <v>431</v>
      </c>
      <c r="T120" s="22" t="s">
        <v>432</v>
      </c>
      <c r="U120" s="22" t="s">
        <v>117</v>
      </c>
      <c r="V120" s="22" t="s">
        <v>132</v>
      </c>
      <c r="W120" s="22" t="s">
        <v>119</v>
      </c>
      <c r="X120" s="22" t="s">
        <v>433</v>
      </c>
      <c r="Y120" s="22">
        <v>2024.0</v>
      </c>
      <c r="Z120" s="22" t="s">
        <v>135</v>
      </c>
      <c r="AA120" s="22">
        <v>2498.0</v>
      </c>
      <c r="AB120" s="22">
        <v>16.0</v>
      </c>
      <c r="AC120" s="22">
        <v>0.0</v>
      </c>
      <c r="AD120" s="25">
        <v>439391.0</v>
      </c>
      <c r="AE120" s="25">
        <v>54387.32</v>
      </c>
      <c r="AF120" s="26">
        <v>0.12</v>
      </c>
      <c r="AG120" s="25">
        <v>40950.11</v>
      </c>
      <c r="AH120" s="25">
        <v>2207.0</v>
      </c>
      <c r="AI120" s="22">
        <v>7.75</v>
      </c>
      <c r="AJ120" s="25">
        <v>158181.0</v>
      </c>
      <c r="AK120" s="22">
        <v>36.0</v>
      </c>
      <c r="AL120" s="24">
        <v>43975.0</v>
      </c>
      <c r="AM120" s="24">
        <v>45801.0</v>
      </c>
      <c r="AN120" s="22">
        <v>60.0</v>
      </c>
      <c r="AO120" s="22">
        <v>3500.0</v>
      </c>
      <c r="AP120" s="22">
        <v>210000.0</v>
      </c>
      <c r="AQ120" s="24">
        <v>46203.0</v>
      </c>
      <c r="AR120" s="22">
        <v>17691.0</v>
      </c>
      <c r="AS120" s="22">
        <v>23085.0</v>
      </c>
      <c r="AT120" s="22">
        <v>5394.0</v>
      </c>
      <c r="AU120" s="22">
        <v>22713.0</v>
      </c>
      <c r="AV120" s="22">
        <v>2271.0</v>
      </c>
      <c r="AW120" s="25">
        <v>7276.08</v>
      </c>
      <c r="AX120" s="25">
        <v>1540.0</v>
      </c>
      <c r="AY120" s="25">
        <v>125.0</v>
      </c>
      <c r="AZ120" s="25">
        <v>291.0</v>
      </c>
      <c r="BA120" s="25">
        <v>1553.61</v>
      </c>
      <c r="BB120" s="25">
        <v>10785.69</v>
      </c>
      <c r="BC120" s="25">
        <v>1617.85</v>
      </c>
      <c r="BD120" s="25">
        <v>12403.54</v>
      </c>
      <c r="BE120" s="24">
        <v>45748.0</v>
      </c>
      <c r="BF120" s="24">
        <v>45838.0</v>
      </c>
      <c r="BG120" s="22">
        <v>13969.0</v>
      </c>
      <c r="BH120" s="22">
        <v>23085.0</v>
      </c>
      <c r="BI120" s="22">
        <v>9116.0</v>
      </c>
      <c r="BJ120" s="22">
        <v>10500.0</v>
      </c>
      <c r="BK120" s="22">
        <v>-1384.0</v>
      </c>
      <c r="BL120" s="25">
        <v>0.51</v>
      </c>
      <c r="BM120" s="25">
        <v>1.34</v>
      </c>
      <c r="BN120" s="25">
        <v>0.0</v>
      </c>
      <c r="BO120" s="25">
        <v>0.0</v>
      </c>
      <c r="BP120" s="25">
        <v>0.0</v>
      </c>
      <c r="BQ120" s="25">
        <v>-91.34</v>
      </c>
      <c r="BR120" s="25">
        <v>0.0</v>
      </c>
      <c r="BS120" s="25">
        <v>0.0</v>
      </c>
      <c r="BT120" s="25">
        <v>0.0</v>
      </c>
      <c r="BU120" s="25">
        <v>0.0</v>
      </c>
      <c r="BV120" s="25">
        <v>0.0</v>
      </c>
      <c r="BW120" s="25">
        <v>0.0</v>
      </c>
      <c r="BX120" s="25">
        <v>0.0</v>
      </c>
      <c r="BY120" s="25">
        <v>12864.78</v>
      </c>
      <c r="BZ120" s="22">
        <v>0.0</v>
      </c>
      <c r="CA120" s="25">
        <v>0.0</v>
      </c>
      <c r="CB120" s="22">
        <v>0.0</v>
      </c>
      <c r="CC120" s="25">
        <v>0.0</v>
      </c>
      <c r="CD120" s="25">
        <v>0.0</v>
      </c>
      <c r="CE120" s="25">
        <v>0.0</v>
      </c>
      <c r="CF120" s="25">
        <v>0.0</v>
      </c>
      <c r="CG120" s="25">
        <v>0.0</v>
      </c>
      <c r="CH120" s="25">
        <v>11703.24</v>
      </c>
      <c r="CI120" s="25">
        <v>1526.51</v>
      </c>
      <c r="CJ120" s="25">
        <v>10176.73</v>
      </c>
      <c r="CK120" s="25">
        <v>1.89</v>
      </c>
      <c r="CL120" s="22">
        <v>0.0</v>
      </c>
      <c r="CM120" s="22">
        <v>0.0</v>
      </c>
      <c r="CN120" s="22">
        <v>0.0</v>
      </c>
      <c r="CO120" s="22">
        <v>100.0</v>
      </c>
      <c r="CP120" s="24"/>
      <c r="CQ120" s="22">
        <v>0.0</v>
      </c>
      <c r="CR120" s="22">
        <v>0.0</v>
      </c>
      <c r="CS120" s="22">
        <v>0.0</v>
      </c>
      <c r="CT120" s="22">
        <v>-15278.0</v>
      </c>
      <c r="CU120" s="24">
        <v>47361.0</v>
      </c>
      <c r="CV120" s="24">
        <v>47361.0</v>
      </c>
      <c r="CW120" s="22">
        <v>210372.0</v>
      </c>
      <c r="CX120" s="22" t="s">
        <v>122</v>
      </c>
      <c r="CY120" s="22" t="s">
        <v>123</v>
      </c>
      <c r="CZ120" s="25">
        <v>2239.6</v>
      </c>
      <c r="DA120" s="25">
        <v>0.0</v>
      </c>
      <c r="DB120" s="25">
        <v>-8961.92</v>
      </c>
      <c r="DC120" s="25">
        <v>0.44</v>
      </c>
      <c r="DD120" s="25">
        <v>-608.96</v>
      </c>
      <c r="DE120" s="25">
        <v>-700.3</v>
      </c>
      <c r="DF120" s="22"/>
    </row>
    <row r="121" ht="13.5" customHeight="1">
      <c r="A121" s="22" t="s">
        <v>203</v>
      </c>
      <c r="B121" s="23">
        <v>43922.0</v>
      </c>
      <c r="C121" s="22" t="s">
        <v>136</v>
      </c>
      <c r="D121" s="22" t="s">
        <v>125</v>
      </c>
      <c r="E121" s="22" t="s">
        <v>126</v>
      </c>
      <c r="F121" s="22" t="s">
        <v>196</v>
      </c>
      <c r="G121" s="22" t="s">
        <v>140</v>
      </c>
      <c r="H121" s="22" t="s">
        <v>129</v>
      </c>
      <c r="I121" s="24">
        <v>43930.0</v>
      </c>
      <c r="J121" s="24">
        <v>43953.0</v>
      </c>
      <c r="K121" s="22">
        <f t="shared" si="1"/>
        <v>23</v>
      </c>
      <c r="L121" s="22">
        <v>1.0</v>
      </c>
      <c r="M121" s="22">
        <f t="shared" si="2"/>
        <v>22</v>
      </c>
      <c r="N121" s="24">
        <v>43966.0</v>
      </c>
      <c r="O121" s="24">
        <v>43976.0</v>
      </c>
      <c r="P121" s="22">
        <f t="shared" si="3"/>
        <v>10</v>
      </c>
      <c r="Q121" s="22">
        <v>90.0</v>
      </c>
      <c r="R121" s="22">
        <f t="shared" si="4"/>
        <v>-80</v>
      </c>
      <c r="S121" s="22" t="s">
        <v>434</v>
      </c>
      <c r="T121" s="22" t="s">
        <v>435</v>
      </c>
      <c r="U121" s="22" t="s">
        <v>117</v>
      </c>
      <c r="V121" s="22" t="s">
        <v>132</v>
      </c>
      <c r="W121" s="22" t="s">
        <v>119</v>
      </c>
      <c r="X121" s="22" t="s">
        <v>433</v>
      </c>
      <c r="Y121" s="22">
        <v>2024.0</v>
      </c>
      <c r="Z121" s="22" t="s">
        <v>135</v>
      </c>
      <c r="AA121" s="22">
        <v>2498.0</v>
      </c>
      <c r="AB121" s="22">
        <v>16.0</v>
      </c>
      <c r="AC121" s="22">
        <v>0.0</v>
      </c>
      <c r="AD121" s="25">
        <v>439391.0</v>
      </c>
      <c r="AE121" s="25">
        <v>54387.32</v>
      </c>
      <c r="AF121" s="26">
        <v>0.12</v>
      </c>
      <c r="AG121" s="25">
        <v>33239.31</v>
      </c>
      <c r="AH121" s="25">
        <v>2207.0</v>
      </c>
      <c r="AI121" s="22">
        <v>7.75</v>
      </c>
      <c r="AJ121" s="25">
        <v>158181.0</v>
      </c>
      <c r="AK121" s="22">
        <v>36.0</v>
      </c>
      <c r="AL121" s="24">
        <v>43976.0</v>
      </c>
      <c r="AM121" s="24">
        <v>45802.0</v>
      </c>
      <c r="AN121" s="22">
        <v>60.0</v>
      </c>
      <c r="AO121" s="22">
        <v>3000.0</v>
      </c>
      <c r="AP121" s="22">
        <v>180000.0</v>
      </c>
      <c r="AQ121" s="24">
        <v>46203.0</v>
      </c>
      <c r="AR121" s="22">
        <v>24674.0</v>
      </c>
      <c r="AS121" s="22">
        <v>29124.0</v>
      </c>
      <c r="AT121" s="22">
        <v>4450.0</v>
      </c>
      <c r="AU121" s="22">
        <v>28753.0</v>
      </c>
      <c r="AV121" s="22">
        <v>2614.0</v>
      </c>
      <c r="AW121" s="25">
        <v>7141.57</v>
      </c>
      <c r="AX121" s="25">
        <v>1710.0</v>
      </c>
      <c r="AY121" s="25">
        <v>125.0</v>
      </c>
      <c r="AZ121" s="25">
        <v>291.0</v>
      </c>
      <c r="BA121" s="25">
        <v>1522.99</v>
      </c>
      <c r="BB121" s="25">
        <v>10790.56</v>
      </c>
      <c r="BC121" s="25">
        <v>1618.58</v>
      </c>
      <c r="BD121" s="25">
        <v>12409.14</v>
      </c>
      <c r="BE121" s="24">
        <v>45748.0</v>
      </c>
      <c r="BF121" s="24">
        <v>45838.0</v>
      </c>
      <c r="BG121" s="22">
        <v>18706.0</v>
      </c>
      <c r="BH121" s="22">
        <v>29124.0</v>
      </c>
      <c r="BI121" s="22">
        <v>10418.0</v>
      </c>
      <c r="BJ121" s="22">
        <v>9000.0</v>
      </c>
      <c r="BK121" s="22">
        <v>1418.0</v>
      </c>
      <c r="BL121" s="25">
        <v>0.66</v>
      </c>
      <c r="BM121" s="25">
        <v>1.56</v>
      </c>
      <c r="BN121" s="25">
        <v>935.88</v>
      </c>
      <c r="BO121" s="25">
        <v>2212.08</v>
      </c>
      <c r="BP121" s="25">
        <v>3147.96</v>
      </c>
      <c r="BQ121" s="25">
        <v>472.19</v>
      </c>
      <c r="BR121" s="25">
        <v>3620.15</v>
      </c>
      <c r="BS121" s="25">
        <v>0.0</v>
      </c>
      <c r="BT121" s="25">
        <v>0.0</v>
      </c>
      <c r="BU121" s="25">
        <v>0.0</v>
      </c>
      <c r="BV121" s="25">
        <v>0.0</v>
      </c>
      <c r="BW121" s="25">
        <v>0.0</v>
      </c>
      <c r="BX121" s="25">
        <v>0.0</v>
      </c>
      <c r="BY121" s="25">
        <v>8265.73</v>
      </c>
      <c r="BZ121" s="22">
        <v>0.0</v>
      </c>
      <c r="CA121" s="25">
        <v>0.0</v>
      </c>
      <c r="CB121" s="22">
        <v>0.0</v>
      </c>
      <c r="CC121" s="25">
        <v>0.0</v>
      </c>
      <c r="CD121" s="25">
        <v>0.0</v>
      </c>
      <c r="CE121" s="25">
        <v>0.0</v>
      </c>
      <c r="CF121" s="25">
        <v>0.0</v>
      </c>
      <c r="CG121" s="25">
        <v>0.0</v>
      </c>
      <c r="CH121" s="25">
        <v>16029.29</v>
      </c>
      <c r="CI121" s="25">
        <v>2090.77</v>
      </c>
      <c r="CJ121" s="25">
        <v>13938.52</v>
      </c>
      <c r="CK121" s="25">
        <v>3.13</v>
      </c>
      <c r="CL121" s="22">
        <v>0.0</v>
      </c>
      <c r="CM121" s="22">
        <v>0.0</v>
      </c>
      <c r="CN121" s="22">
        <v>0.0</v>
      </c>
      <c r="CO121" s="22">
        <v>100.0</v>
      </c>
      <c r="CP121" s="24"/>
      <c r="CQ121" s="22">
        <v>0.0</v>
      </c>
      <c r="CR121" s="22">
        <v>0.0</v>
      </c>
      <c r="CS121" s="22">
        <v>0.0</v>
      </c>
      <c r="CT121" s="22">
        <v>-5036.0</v>
      </c>
      <c r="CU121" s="24">
        <v>47330.0</v>
      </c>
      <c r="CV121" s="24">
        <v>47330.0</v>
      </c>
      <c r="CW121" s="22">
        <v>180371.0</v>
      </c>
      <c r="CX121" s="22" t="s">
        <v>122</v>
      </c>
      <c r="CY121" s="22" t="s">
        <v>123</v>
      </c>
      <c r="CZ121" s="25">
        <v>1691.13</v>
      </c>
      <c r="DA121" s="25">
        <v>2212.08</v>
      </c>
      <c r="DB121" s="25">
        <v>-4429.47</v>
      </c>
      <c r="DC121" s="25">
        <v>0.57</v>
      </c>
      <c r="DD121" s="25">
        <v>0.0</v>
      </c>
      <c r="DE121" s="25">
        <v>0.0</v>
      </c>
      <c r="DF121" s="22"/>
    </row>
    <row r="122" ht="13.5" customHeight="1">
      <c r="A122" s="22" t="s">
        <v>203</v>
      </c>
      <c r="B122" s="23">
        <v>43922.0</v>
      </c>
      <c r="C122" s="22" t="s">
        <v>109</v>
      </c>
      <c r="D122" s="22" t="s">
        <v>137</v>
      </c>
      <c r="E122" s="22" t="s">
        <v>138</v>
      </c>
      <c r="F122" s="22" t="s">
        <v>196</v>
      </c>
      <c r="G122" s="22" t="s">
        <v>140</v>
      </c>
      <c r="H122" s="22" t="s">
        <v>141</v>
      </c>
      <c r="I122" s="24">
        <v>43931.0</v>
      </c>
      <c r="J122" s="24">
        <v>43954.0</v>
      </c>
      <c r="K122" s="22">
        <f t="shared" si="1"/>
        <v>23</v>
      </c>
      <c r="L122" s="22">
        <v>1.0</v>
      </c>
      <c r="M122" s="22">
        <f t="shared" si="2"/>
        <v>22</v>
      </c>
      <c r="N122" s="24">
        <v>43967.0</v>
      </c>
      <c r="O122" s="24">
        <v>44069.0</v>
      </c>
      <c r="P122" s="22">
        <f t="shared" si="3"/>
        <v>102</v>
      </c>
      <c r="Q122" s="22">
        <v>90.0</v>
      </c>
      <c r="R122" s="22">
        <f t="shared" si="4"/>
        <v>12</v>
      </c>
      <c r="S122" s="22" t="s">
        <v>436</v>
      </c>
      <c r="T122" s="22" t="s">
        <v>437</v>
      </c>
      <c r="U122" s="22" t="s">
        <v>117</v>
      </c>
      <c r="V122" s="22" t="s">
        <v>132</v>
      </c>
      <c r="W122" s="22" t="s">
        <v>119</v>
      </c>
      <c r="X122" s="22" t="s">
        <v>433</v>
      </c>
      <c r="Y122" s="22">
        <v>2024.0</v>
      </c>
      <c r="Z122" s="22" t="s">
        <v>135</v>
      </c>
      <c r="AA122" s="22">
        <v>2498.0</v>
      </c>
      <c r="AB122" s="22">
        <v>16.0</v>
      </c>
      <c r="AC122" s="22">
        <v>1.0</v>
      </c>
      <c r="AD122" s="25">
        <v>439391.0</v>
      </c>
      <c r="AE122" s="25">
        <v>54387.32</v>
      </c>
      <c r="AF122" s="26">
        <v>0.12</v>
      </c>
      <c r="AG122" s="25">
        <v>33879.92</v>
      </c>
      <c r="AH122" s="25">
        <v>2207.0</v>
      </c>
      <c r="AI122" s="22">
        <v>7.75</v>
      </c>
      <c r="AJ122" s="25">
        <v>158181.0</v>
      </c>
      <c r="AK122" s="22">
        <v>36.0</v>
      </c>
      <c r="AL122" s="24">
        <v>44069.0</v>
      </c>
      <c r="AM122" s="24">
        <v>45895.0</v>
      </c>
      <c r="AN122" s="22">
        <v>60.0</v>
      </c>
      <c r="AO122" s="22">
        <v>3000.0</v>
      </c>
      <c r="AP122" s="22">
        <v>180000.0</v>
      </c>
      <c r="AQ122" s="24">
        <v>46203.0</v>
      </c>
      <c r="AR122" s="22">
        <v>22409.0</v>
      </c>
      <c r="AS122" s="22">
        <v>25784.0</v>
      </c>
      <c r="AT122" s="22">
        <v>3375.0</v>
      </c>
      <c r="AU122" s="22">
        <v>25416.0</v>
      </c>
      <c r="AV122" s="22">
        <v>2311.0</v>
      </c>
      <c r="AW122" s="25">
        <v>7122.01</v>
      </c>
      <c r="AX122" s="25">
        <v>1710.0</v>
      </c>
      <c r="AY122" s="25">
        <v>125.0</v>
      </c>
      <c r="AZ122" s="25">
        <v>291.0</v>
      </c>
      <c r="BA122" s="25">
        <v>1522.99</v>
      </c>
      <c r="BB122" s="25">
        <v>10771.0</v>
      </c>
      <c r="BC122" s="25">
        <v>1615.65</v>
      </c>
      <c r="BD122" s="25">
        <v>12386.65</v>
      </c>
      <c r="BE122" s="24">
        <v>45748.0</v>
      </c>
      <c r="BF122" s="24">
        <v>45838.0</v>
      </c>
      <c r="BG122" s="22">
        <v>15142.0</v>
      </c>
      <c r="BH122" s="22">
        <v>25784.0</v>
      </c>
      <c r="BI122" s="22">
        <v>10642.0</v>
      </c>
      <c r="BJ122" s="22">
        <v>9000.0</v>
      </c>
      <c r="BK122" s="22">
        <v>1642.0</v>
      </c>
      <c r="BL122" s="25">
        <v>0.66</v>
      </c>
      <c r="BM122" s="25">
        <v>1.56</v>
      </c>
      <c r="BN122" s="25">
        <v>1083.72</v>
      </c>
      <c r="BO122" s="25">
        <v>2561.52</v>
      </c>
      <c r="BP122" s="25">
        <v>3645.24</v>
      </c>
      <c r="BQ122" s="25">
        <v>546.79</v>
      </c>
      <c r="BR122" s="25">
        <v>4192.03</v>
      </c>
      <c r="BS122" s="25">
        <v>5652.17</v>
      </c>
      <c r="BT122" s="25">
        <v>0.0</v>
      </c>
      <c r="BU122" s="25">
        <v>0.0</v>
      </c>
      <c r="BV122" s="25">
        <v>0.0</v>
      </c>
      <c r="BW122" s="25">
        <v>0.0</v>
      </c>
      <c r="BX122" s="25">
        <v>0.0</v>
      </c>
      <c r="BY122" s="25">
        <v>6822.86</v>
      </c>
      <c r="BZ122" s="22">
        <v>0.0</v>
      </c>
      <c r="CA122" s="25">
        <v>0.0</v>
      </c>
      <c r="CB122" s="22">
        <v>0.0</v>
      </c>
      <c r="CC122" s="25">
        <v>0.0</v>
      </c>
      <c r="CD122" s="25">
        <v>0.0</v>
      </c>
      <c r="CE122" s="25">
        <v>5652.17</v>
      </c>
      <c r="CF122" s="25">
        <v>847.83</v>
      </c>
      <c r="CG122" s="25">
        <v>6500.0</v>
      </c>
      <c r="CH122" s="25">
        <v>23078.68</v>
      </c>
      <c r="CI122" s="25">
        <v>3010.27</v>
      </c>
      <c r="CJ122" s="25">
        <v>20068.41</v>
      </c>
      <c r="CK122" s="25">
        <v>5.95</v>
      </c>
      <c r="CL122" s="22">
        <v>108.0</v>
      </c>
      <c r="CM122" s="22">
        <v>0.0</v>
      </c>
      <c r="CN122" s="22">
        <v>0.0</v>
      </c>
      <c r="CO122" s="22">
        <v>100.0</v>
      </c>
      <c r="CP122" s="24"/>
      <c r="CQ122" s="22">
        <v>0.0</v>
      </c>
      <c r="CR122" s="22">
        <v>0.0</v>
      </c>
      <c r="CS122" s="22">
        <v>0.0</v>
      </c>
      <c r="CT122" s="22">
        <v>-8373.0</v>
      </c>
      <c r="CU122" s="24">
        <v>47330.0</v>
      </c>
      <c r="CV122" s="24">
        <v>47330.0</v>
      </c>
      <c r="CW122" s="22">
        <v>180368.0</v>
      </c>
      <c r="CX122" s="22" t="s">
        <v>122</v>
      </c>
      <c r="CY122" s="22" t="s">
        <v>123</v>
      </c>
      <c r="CZ122" s="25">
        <v>2143.35</v>
      </c>
      <c r="DA122" s="25">
        <v>2561.52</v>
      </c>
      <c r="DB122" s="25">
        <v>-6536.76</v>
      </c>
      <c r="DC122" s="25">
        <v>0.57</v>
      </c>
      <c r="DD122" s="25">
        <v>0.0</v>
      </c>
      <c r="DE122" s="25">
        <v>0.0</v>
      </c>
      <c r="DF122" s="22"/>
    </row>
    <row r="123" ht="13.5" customHeight="1">
      <c r="A123" s="22" t="s">
        <v>203</v>
      </c>
      <c r="B123" s="23">
        <v>43922.0</v>
      </c>
      <c r="C123" s="22" t="s">
        <v>124</v>
      </c>
      <c r="D123" s="22" t="s">
        <v>110</v>
      </c>
      <c r="E123" s="22" t="s">
        <v>111</v>
      </c>
      <c r="F123" s="22" t="s">
        <v>196</v>
      </c>
      <c r="G123" s="22" t="s">
        <v>140</v>
      </c>
      <c r="H123" s="22" t="s">
        <v>114</v>
      </c>
      <c r="I123" s="24">
        <v>43932.0</v>
      </c>
      <c r="J123" s="24">
        <v>43955.0</v>
      </c>
      <c r="K123" s="22">
        <f t="shared" si="1"/>
        <v>23</v>
      </c>
      <c r="L123" s="22">
        <v>1.0</v>
      </c>
      <c r="M123" s="22">
        <f t="shared" si="2"/>
        <v>22</v>
      </c>
      <c r="N123" s="24">
        <v>43968.0</v>
      </c>
      <c r="O123" s="24">
        <v>43978.0</v>
      </c>
      <c r="P123" s="22">
        <f t="shared" si="3"/>
        <v>10</v>
      </c>
      <c r="Q123" s="22">
        <v>90.0</v>
      </c>
      <c r="R123" s="22">
        <f t="shared" si="4"/>
        <v>-80</v>
      </c>
      <c r="S123" s="22" t="s">
        <v>438</v>
      </c>
      <c r="T123" s="22" t="s">
        <v>439</v>
      </c>
      <c r="U123" s="22" t="s">
        <v>117</v>
      </c>
      <c r="V123" s="22" t="s">
        <v>132</v>
      </c>
      <c r="W123" s="22" t="s">
        <v>119</v>
      </c>
      <c r="X123" s="22" t="s">
        <v>433</v>
      </c>
      <c r="Y123" s="22">
        <v>2024.0</v>
      </c>
      <c r="Z123" s="22" t="s">
        <v>135</v>
      </c>
      <c r="AA123" s="22">
        <v>2498.0</v>
      </c>
      <c r="AB123" s="22">
        <v>16.0</v>
      </c>
      <c r="AC123" s="22">
        <v>0.0</v>
      </c>
      <c r="AD123" s="25">
        <v>439391.0</v>
      </c>
      <c r="AE123" s="25">
        <v>54387.32</v>
      </c>
      <c r="AF123" s="26">
        <v>0.12</v>
      </c>
      <c r="AG123" s="25">
        <v>33213.34</v>
      </c>
      <c r="AH123" s="25">
        <v>2207.0</v>
      </c>
      <c r="AI123" s="22">
        <v>7.75</v>
      </c>
      <c r="AJ123" s="25">
        <v>158181.0</v>
      </c>
      <c r="AK123" s="22">
        <v>36.0</v>
      </c>
      <c r="AL123" s="24">
        <v>43978.0</v>
      </c>
      <c r="AM123" s="24">
        <v>45804.0</v>
      </c>
      <c r="AN123" s="22">
        <v>60.0</v>
      </c>
      <c r="AO123" s="22">
        <v>3000.0</v>
      </c>
      <c r="AP123" s="22">
        <v>180000.0</v>
      </c>
      <c r="AQ123" s="24">
        <v>46203.0</v>
      </c>
      <c r="AR123" s="22">
        <v>28953.0</v>
      </c>
      <c r="AS123" s="22">
        <v>28953.0</v>
      </c>
      <c r="AT123" s="22">
        <v>1.0</v>
      </c>
      <c r="AU123" s="22">
        <v>28580.0</v>
      </c>
      <c r="AV123" s="22">
        <v>2598.0</v>
      </c>
      <c r="AW123" s="25">
        <v>7141.04</v>
      </c>
      <c r="AX123" s="25">
        <v>1710.0</v>
      </c>
      <c r="AY123" s="25">
        <v>125.0</v>
      </c>
      <c r="AZ123" s="25">
        <v>291.0</v>
      </c>
      <c r="BA123" s="25">
        <v>1522.99</v>
      </c>
      <c r="BB123" s="25">
        <v>10790.03</v>
      </c>
      <c r="BC123" s="25">
        <v>1618.5</v>
      </c>
      <c r="BD123" s="25">
        <v>12408.53</v>
      </c>
      <c r="BE123" s="24">
        <v>45748.0</v>
      </c>
      <c r="BF123" s="24">
        <v>45838.0</v>
      </c>
      <c r="BG123" s="22">
        <v>25681.0</v>
      </c>
      <c r="BH123" s="22">
        <v>28953.0</v>
      </c>
      <c r="BI123" s="22">
        <v>3272.0</v>
      </c>
      <c r="BJ123" s="22">
        <v>9000.0</v>
      </c>
      <c r="BK123" s="22">
        <v>-5728.0</v>
      </c>
      <c r="BL123" s="25">
        <v>0.66</v>
      </c>
      <c r="BM123" s="25">
        <v>1.56</v>
      </c>
      <c r="BN123" s="25">
        <v>0.0</v>
      </c>
      <c r="BO123" s="25">
        <v>0.0</v>
      </c>
      <c r="BP123" s="25">
        <v>0.0</v>
      </c>
      <c r="BQ123" s="25">
        <v>-489.74</v>
      </c>
      <c r="BR123" s="25">
        <v>0.0</v>
      </c>
      <c r="BS123" s="25">
        <v>0.0</v>
      </c>
      <c r="BT123" s="25">
        <v>0.0</v>
      </c>
      <c r="BU123" s="25">
        <v>0.0</v>
      </c>
      <c r="BV123" s="25">
        <v>0.0</v>
      </c>
      <c r="BW123" s="25">
        <v>0.0</v>
      </c>
      <c r="BX123" s="25">
        <v>0.0</v>
      </c>
      <c r="BY123" s="25">
        <v>6567.66</v>
      </c>
      <c r="BZ123" s="22">
        <v>0.0</v>
      </c>
      <c r="CA123" s="25">
        <v>0.0</v>
      </c>
      <c r="CB123" s="22">
        <v>0.0</v>
      </c>
      <c r="CC123" s="25">
        <v>0.0</v>
      </c>
      <c r="CD123" s="25">
        <v>0.0</v>
      </c>
      <c r="CE123" s="25">
        <v>0.0</v>
      </c>
      <c r="CF123" s="25">
        <v>0.0</v>
      </c>
      <c r="CG123" s="25">
        <v>0.0</v>
      </c>
      <c r="CH123" s="25">
        <v>8653.83</v>
      </c>
      <c r="CI123" s="25">
        <v>1128.76</v>
      </c>
      <c r="CJ123" s="25">
        <v>7525.07</v>
      </c>
      <c r="CK123" s="25">
        <v>7525.07</v>
      </c>
      <c r="CL123" s="22">
        <v>0.0</v>
      </c>
      <c r="CM123" s="22">
        <v>0.0</v>
      </c>
      <c r="CN123" s="22">
        <v>0.0</v>
      </c>
      <c r="CO123" s="22">
        <v>100.0</v>
      </c>
      <c r="CP123" s="24"/>
      <c r="CQ123" s="22">
        <v>0.0</v>
      </c>
      <c r="CR123" s="22">
        <v>0.0</v>
      </c>
      <c r="CS123" s="22">
        <v>0.0</v>
      </c>
      <c r="CT123" s="22">
        <v>-5209.0</v>
      </c>
      <c r="CU123" s="24">
        <v>47330.0</v>
      </c>
      <c r="CV123" s="24">
        <v>47330.0</v>
      </c>
      <c r="CW123" s="22">
        <v>180373.0</v>
      </c>
      <c r="CX123" s="22" t="s">
        <v>122</v>
      </c>
      <c r="CY123" s="22" t="s">
        <v>123</v>
      </c>
      <c r="CZ123" s="25">
        <v>1793.22</v>
      </c>
      <c r="DA123" s="25">
        <v>4238.52</v>
      </c>
      <c r="DB123" s="25">
        <v>-4510.41</v>
      </c>
      <c r="DC123" s="25">
        <v>0.57</v>
      </c>
      <c r="DD123" s="25">
        <v>-3264.96</v>
      </c>
      <c r="DE123" s="25">
        <v>-3754.7</v>
      </c>
      <c r="DF123" s="22"/>
    </row>
    <row r="124" ht="13.5" customHeight="1">
      <c r="A124" s="22" t="s">
        <v>203</v>
      </c>
      <c r="B124" s="23">
        <v>43922.0</v>
      </c>
      <c r="C124" s="22" t="s">
        <v>136</v>
      </c>
      <c r="D124" s="22" t="s">
        <v>125</v>
      </c>
      <c r="E124" s="22" t="s">
        <v>126</v>
      </c>
      <c r="F124" s="22" t="s">
        <v>196</v>
      </c>
      <c r="G124" s="22" t="s">
        <v>140</v>
      </c>
      <c r="H124" s="22" t="s">
        <v>129</v>
      </c>
      <c r="I124" s="24">
        <v>43933.0</v>
      </c>
      <c r="J124" s="24">
        <v>43936.0</v>
      </c>
      <c r="K124" s="22">
        <f t="shared" si="1"/>
        <v>3</v>
      </c>
      <c r="L124" s="22">
        <v>1.0</v>
      </c>
      <c r="M124" s="22">
        <f t="shared" si="2"/>
        <v>2</v>
      </c>
      <c r="N124" s="24">
        <v>43969.0</v>
      </c>
      <c r="O124" s="24">
        <v>44010.0</v>
      </c>
      <c r="P124" s="22">
        <f t="shared" si="3"/>
        <v>41</v>
      </c>
      <c r="Q124" s="22">
        <v>90.0</v>
      </c>
      <c r="R124" s="22">
        <f t="shared" si="4"/>
        <v>-49</v>
      </c>
      <c r="S124" s="22" t="s">
        <v>440</v>
      </c>
      <c r="T124" s="22" t="s">
        <v>441</v>
      </c>
      <c r="U124" s="22" t="s">
        <v>117</v>
      </c>
      <c r="V124" s="22" t="s">
        <v>132</v>
      </c>
      <c r="W124" s="22" t="s">
        <v>119</v>
      </c>
      <c r="X124" s="22" t="s">
        <v>433</v>
      </c>
      <c r="Y124" s="22">
        <v>2024.0</v>
      </c>
      <c r="Z124" s="22" t="s">
        <v>135</v>
      </c>
      <c r="AA124" s="22">
        <v>2498.0</v>
      </c>
      <c r="AB124" s="22">
        <v>16.0</v>
      </c>
      <c r="AC124" s="22">
        <v>0.0</v>
      </c>
      <c r="AD124" s="25">
        <v>439391.0</v>
      </c>
      <c r="AE124" s="25">
        <v>54387.32</v>
      </c>
      <c r="AF124" s="26">
        <v>0.12</v>
      </c>
      <c r="AG124" s="25">
        <v>29766.79</v>
      </c>
      <c r="AH124" s="25">
        <v>5707.0</v>
      </c>
      <c r="AI124" s="22">
        <v>7.75</v>
      </c>
      <c r="AJ124" s="25">
        <v>158181.0</v>
      </c>
      <c r="AK124" s="22">
        <v>36.0</v>
      </c>
      <c r="AL124" s="24">
        <v>44010.0</v>
      </c>
      <c r="AM124" s="24">
        <v>45836.0</v>
      </c>
      <c r="AN124" s="22">
        <v>60.0</v>
      </c>
      <c r="AO124" s="22">
        <v>3000.0</v>
      </c>
      <c r="AP124" s="22">
        <v>180000.0</v>
      </c>
      <c r="AQ124" s="24">
        <v>46203.0</v>
      </c>
      <c r="AR124" s="22">
        <v>25734.0</v>
      </c>
      <c r="AS124" s="22">
        <v>28412.0</v>
      </c>
      <c r="AT124" s="22">
        <v>2678.0</v>
      </c>
      <c r="AU124" s="22">
        <v>28044.0</v>
      </c>
      <c r="AV124" s="22">
        <v>2549.0</v>
      </c>
      <c r="AW124" s="25">
        <v>7142.21</v>
      </c>
      <c r="AX124" s="25">
        <v>1380.0</v>
      </c>
      <c r="AY124" s="25">
        <v>125.0</v>
      </c>
      <c r="AZ124" s="25">
        <v>291.0</v>
      </c>
      <c r="BA124" s="25">
        <v>1553.61</v>
      </c>
      <c r="BB124" s="25">
        <v>10491.82</v>
      </c>
      <c r="BC124" s="25">
        <v>1573.77</v>
      </c>
      <c r="BD124" s="25">
        <v>12065.59</v>
      </c>
      <c r="BE124" s="24">
        <v>45748.0</v>
      </c>
      <c r="BF124" s="24">
        <v>45838.0</v>
      </c>
      <c r="BG124" s="22">
        <v>19421.0</v>
      </c>
      <c r="BH124" s="22">
        <v>28412.0</v>
      </c>
      <c r="BI124" s="22">
        <v>8991.0</v>
      </c>
      <c r="BJ124" s="22">
        <v>9000.0</v>
      </c>
      <c r="BK124" s="22">
        <v>-9.0</v>
      </c>
      <c r="BL124" s="25">
        <v>0.53</v>
      </c>
      <c r="BM124" s="25">
        <v>1.56</v>
      </c>
      <c r="BN124" s="25">
        <v>0.0</v>
      </c>
      <c r="BO124" s="25">
        <v>0.0</v>
      </c>
      <c r="BP124" s="25">
        <v>0.0</v>
      </c>
      <c r="BQ124" s="25">
        <v>0.0</v>
      </c>
      <c r="BR124" s="25">
        <v>0.0</v>
      </c>
      <c r="BS124" s="25">
        <v>0.0</v>
      </c>
      <c r="BT124" s="25">
        <v>0.0</v>
      </c>
      <c r="BU124" s="25">
        <v>0.0</v>
      </c>
      <c r="BV124" s="25">
        <v>0.0</v>
      </c>
      <c r="BW124" s="25">
        <v>0.0</v>
      </c>
      <c r="BX124" s="25">
        <v>0.0</v>
      </c>
      <c r="BY124" s="25">
        <v>5269.69</v>
      </c>
      <c r="BZ124" s="22">
        <v>0.0</v>
      </c>
      <c r="CA124" s="25">
        <v>0.0</v>
      </c>
      <c r="CB124" s="22">
        <v>0.0</v>
      </c>
      <c r="CC124" s="25">
        <v>0.0</v>
      </c>
      <c r="CD124" s="25">
        <v>0.0</v>
      </c>
      <c r="CE124" s="25">
        <v>0.0</v>
      </c>
      <c r="CF124" s="25">
        <v>0.0</v>
      </c>
      <c r="CG124" s="25">
        <v>0.0</v>
      </c>
      <c r="CH124" s="25">
        <v>12065.59</v>
      </c>
      <c r="CI124" s="25">
        <v>1573.77</v>
      </c>
      <c r="CJ124" s="25">
        <v>10491.82</v>
      </c>
      <c r="CK124" s="25">
        <v>3.92</v>
      </c>
      <c r="CL124" s="22">
        <v>0.0</v>
      </c>
      <c r="CM124" s="22">
        <v>0.0</v>
      </c>
      <c r="CN124" s="22">
        <v>0.0</v>
      </c>
      <c r="CO124" s="22">
        <v>100.0</v>
      </c>
      <c r="CP124" s="24"/>
      <c r="CQ124" s="22">
        <v>0.0</v>
      </c>
      <c r="CR124" s="22">
        <v>0.0</v>
      </c>
      <c r="CS124" s="22">
        <v>0.0</v>
      </c>
      <c r="CT124" s="22">
        <v>-5646.0</v>
      </c>
      <c r="CU124" s="24">
        <v>47330.0</v>
      </c>
      <c r="CV124" s="24">
        <v>47330.0</v>
      </c>
      <c r="CW124" s="22">
        <v>180368.0</v>
      </c>
      <c r="CX124" s="22" t="s">
        <v>122</v>
      </c>
      <c r="CY124" s="22" t="s">
        <v>123</v>
      </c>
      <c r="CZ124" s="25">
        <v>598.92</v>
      </c>
      <c r="DA124" s="25">
        <v>0.0</v>
      </c>
      <c r="DB124" s="25">
        <v>-3191.94</v>
      </c>
      <c r="DC124" s="25">
        <v>0.46</v>
      </c>
      <c r="DD124" s="25">
        <v>0.0</v>
      </c>
      <c r="DE124" s="25">
        <v>0.0</v>
      </c>
      <c r="DF124" s="22"/>
    </row>
    <row r="125" ht="13.5" customHeight="1">
      <c r="A125" s="22" t="s">
        <v>203</v>
      </c>
      <c r="B125" s="23">
        <v>43922.0</v>
      </c>
      <c r="C125" s="22" t="s">
        <v>109</v>
      </c>
      <c r="D125" s="22" t="s">
        <v>137</v>
      </c>
      <c r="E125" s="22" t="s">
        <v>138</v>
      </c>
      <c r="F125" s="22" t="s">
        <v>196</v>
      </c>
      <c r="G125" s="22" t="s">
        <v>140</v>
      </c>
      <c r="H125" s="22" t="s">
        <v>141</v>
      </c>
      <c r="I125" s="24">
        <v>43934.0</v>
      </c>
      <c r="J125" s="24">
        <v>43957.0</v>
      </c>
      <c r="K125" s="22">
        <f t="shared" si="1"/>
        <v>23</v>
      </c>
      <c r="L125" s="22">
        <v>1.0</v>
      </c>
      <c r="M125" s="22">
        <f t="shared" si="2"/>
        <v>22</v>
      </c>
      <c r="N125" s="24">
        <v>43970.0</v>
      </c>
      <c r="O125" s="24">
        <v>43980.0</v>
      </c>
      <c r="P125" s="22">
        <f t="shared" si="3"/>
        <v>10</v>
      </c>
      <c r="Q125" s="22">
        <v>90.0</v>
      </c>
      <c r="R125" s="22">
        <f t="shared" si="4"/>
        <v>-80</v>
      </c>
      <c r="S125" s="22" t="s">
        <v>442</v>
      </c>
      <c r="T125" s="22" t="s">
        <v>443</v>
      </c>
      <c r="U125" s="22" t="s">
        <v>117</v>
      </c>
      <c r="V125" s="22" t="s">
        <v>132</v>
      </c>
      <c r="W125" s="22" t="s">
        <v>119</v>
      </c>
      <c r="X125" s="22" t="s">
        <v>433</v>
      </c>
      <c r="Y125" s="22">
        <v>2024.0</v>
      </c>
      <c r="Z125" s="22" t="s">
        <v>135</v>
      </c>
      <c r="AA125" s="22">
        <v>2498.0</v>
      </c>
      <c r="AB125" s="22">
        <v>16.0</v>
      </c>
      <c r="AC125" s="22">
        <v>1.0</v>
      </c>
      <c r="AD125" s="25">
        <v>439391.0</v>
      </c>
      <c r="AE125" s="25">
        <v>54387.32</v>
      </c>
      <c r="AF125" s="26">
        <v>0.12</v>
      </c>
      <c r="AG125" s="25">
        <v>29749.68</v>
      </c>
      <c r="AH125" s="25">
        <v>5773.68</v>
      </c>
      <c r="AI125" s="22">
        <v>7.75</v>
      </c>
      <c r="AJ125" s="25">
        <v>158181.0</v>
      </c>
      <c r="AK125" s="22">
        <v>36.0</v>
      </c>
      <c r="AL125" s="24">
        <v>43980.0</v>
      </c>
      <c r="AM125" s="24">
        <v>45806.0</v>
      </c>
      <c r="AN125" s="22">
        <v>60.0</v>
      </c>
      <c r="AO125" s="22">
        <v>3000.0</v>
      </c>
      <c r="AP125" s="22">
        <v>180000.0</v>
      </c>
      <c r="AQ125" s="24">
        <v>46203.0</v>
      </c>
      <c r="AR125" s="22">
        <v>22661.0</v>
      </c>
      <c r="AS125" s="22">
        <v>25726.0</v>
      </c>
      <c r="AT125" s="22">
        <v>3065.0</v>
      </c>
      <c r="AU125" s="22">
        <v>25357.0</v>
      </c>
      <c r="AV125" s="22">
        <v>2305.0</v>
      </c>
      <c r="AW125" s="25">
        <v>7143.24</v>
      </c>
      <c r="AX125" s="25">
        <v>1380.0</v>
      </c>
      <c r="AY125" s="25">
        <v>125.0</v>
      </c>
      <c r="AZ125" s="25">
        <v>291.0</v>
      </c>
      <c r="BA125" s="25">
        <v>1553.61</v>
      </c>
      <c r="BB125" s="25">
        <v>10492.85</v>
      </c>
      <c r="BC125" s="25">
        <v>1573.93</v>
      </c>
      <c r="BD125" s="25">
        <v>12066.78</v>
      </c>
      <c r="BE125" s="24">
        <v>45748.0</v>
      </c>
      <c r="BF125" s="24">
        <v>45838.0</v>
      </c>
      <c r="BG125" s="22">
        <v>17837.0</v>
      </c>
      <c r="BH125" s="22">
        <v>25726.0</v>
      </c>
      <c r="BI125" s="22">
        <v>7889.0</v>
      </c>
      <c r="BJ125" s="22">
        <v>9000.0</v>
      </c>
      <c r="BK125" s="22">
        <v>-1111.0</v>
      </c>
      <c r="BL125" s="25">
        <v>0.53</v>
      </c>
      <c r="BM125" s="25">
        <v>1.56</v>
      </c>
      <c r="BN125" s="25">
        <v>0.0</v>
      </c>
      <c r="BO125" s="25">
        <v>0.0</v>
      </c>
      <c r="BP125" s="25">
        <v>0.0</v>
      </c>
      <c r="BQ125" s="25">
        <v>-76.66</v>
      </c>
      <c r="BR125" s="25">
        <v>0.0</v>
      </c>
      <c r="BS125" s="25">
        <v>0.0</v>
      </c>
      <c r="BT125" s="25">
        <v>0.0</v>
      </c>
      <c r="BU125" s="25">
        <v>0.0</v>
      </c>
      <c r="BV125" s="25">
        <v>0.0</v>
      </c>
      <c r="BW125" s="25">
        <v>0.0</v>
      </c>
      <c r="BX125" s="25">
        <v>0.0</v>
      </c>
      <c r="BY125" s="25">
        <v>5203.43</v>
      </c>
      <c r="BZ125" s="22">
        <v>0.0</v>
      </c>
      <c r="CA125" s="25">
        <v>0.0</v>
      </c>
      <c r="CB125" s="22">
        <v>0.0</v>
      </c>
      <c r="CC125" s="25">
        <v>0.0</v>
      </c>
      <c r="CD125" s="25">
        <v>0.0</v>
      </c>
      <c r="CE125" s="25">
        <v>0.0</v>
      </c>
      <c r="CF125" s="25">
        <v>0.0</v>
      </c>
      <c r="CG125" s="25">
        <v>0.0</v>
      </c>
      <c r="CH125" s="25">
        <v>11479.06</v>
      </c>
      <c r="CI125" s="25">
        <v>1497.27</v>
      </c>
      <c r="CJ125" s="25">
        <v>9981.79</v>
      </c>
      <c r="CK125" s="25">
        <v>3.26</v>
      </c>
      <c r="CL125" s="22">
        <v>0.0</v>
      </c>
      <c r="CM125" s="22">
        <v>0.0</v>
      </c>
      <c r="CN125" s="22">
        <v>0.0</v>
      </c>
      <c r="CO125" s="22">
        <v>100.0</v>
      </c>
      <c r="CP125" s="24"/>
      <c r="CQ125" s="22">
        <v>0.0</v>
      </c>
      <c r="CR125" s="22">
        <v>0.0</v>
      </c>
      <c r="CS125" s="22">
        <v>0.0</v>
      </c>
      <c r="CT125" s="22">
        <v>-8333.0</v>
      </c>
      <c r="CU125" s="24">
        <v>47330.0</v>
      </c>
      <c r="CV125" s="24">
        <v>47330.0</v>
      </c>
      <c r="CW125" s="22">
        <v>180369.0</v>
      </c>
      <c r="CX125" s="22" t="s">
        <v>122</v>
      </c>
      <c r="CY125" s="22" t="s">
        <v>123</v>
      </c>
      <c r="CZ125" s="25">
        <v>335.34</v>
      </c>
      <c r="DA125" s="25">
        <v>0.0</v>
      </c>
      <c r="DB125" s="25">
        <v>-4168.52</v>
      </c>
      <c r="DC125" s="25">
        <v>0.46</v>
      </c>
      <c r="DD125" s="25">
        <v>-511.06</v>
      </c>
      <c r="DE125" s="25">
        <v>-587.72</v>
      </c>
      <c r="DF125" s="22"/>
    </row>
    <row r="126" ht="13.5" customHeight="1">
      <c r="A126" s="22" t="s">
        <v>228</v>
      </c>
      <c r="B126" s="23">
        <v>43922.0</v>
      </c>
      <c r="C126" s="22" t="s">
        <v>124</v>
      </c>
      <c r="D126" s="22" t="s">
        <v>110</v>
      </c>
      <c r="E126" s="22" t="s">
        <v>111</v>
      </c>
      <c r="F126" s="22" t="s">
        <v>196</v>
      </c>
      <c r="G126" s="22" t="s">
        <v>140</v>
      </c>
      <c r="H126" s="22" t="s">
        <v>114</v>
      </c>
      <c r="I126" s="24">
        <v>43935.0</v>
      </c>
      <c r="J126" s="24">
        <v>43958.0</v>
      </c>
      <c r="K126" s="22">
        <f t="shared" si="1"/>
        <v>23</v>
      </c>
      <c r="L126" s="22">
        <v>1.0</v>
      </c>
      <c r="M126" s="22">
        <f t="shared" si="2"/>
        <v>22</v>
      </c>
      <c r="N126" s="24">
        <v>43971.0</v>
      </c>
      <c r="O126" s="24">
        <v>43981.0</v>
      </c>
      <c r="P126" s="22">
        <f t="shared" si="3"/>
        <v>10</v>
      </c>
      <c r="Q126" s="22">
        <v>90.0</v>
      </c>
      <c r="R126" s="22">
        <f t="shared" si="4"/>
        <v>-80</v>
      </c>
      <c r="S126" s="22" t="s">
        <v>444</v>
      </c>
      <c r="T126" s="22" t="s">
        <v>445</v>
      </c>
      <c r="U126" s="22" t="s">
        <v>117</v>
      </c>
      <c r="V126" s="22" t="s">
        <v>132</v>
      </c>
      <c r="W126" s="22" t="s">
        <v>119</v>
      </c>
      <c r="X126" s="22" t="s">
        <v>433</v>
      </c>
      <c r="Y126" s="22">
        <v>2024.0</v>
      </c>
      <c r="Z126" s="22" t="s">
        <v>135</v>
      </c>
      <c r="AA126" s="22">
        <v>2498.0</v>
      </c>
      <c r="AB126" s="22">
        <v>16.0</v>
      </c>
      <c r="AC126" s="22">
        <v>0.0</v>
      </c>
      <c r="AD126" s="25">
        <v>439391.0</v>
      </c>
      <c r="AE126" s="25">
        <v>54387.32</v>
      </c>
      <c r="AF126" s="26">
        <v>0.12</v>
      </c>
      <c r="AG126" s="25">
        <v>33969.76</v>
      </c>
      <c r="AH126" s="25">
        <v>2207.0</v>
      </c>
      <c r="AI126" s="22">
        <v>7.75</v>
      </c>
      <c r="AJ126" s="25">
        <v>158181.0</v>
      </c>
      <c r="AK126" s="22">
        <v>36.0</v>
      </c>
      <c r="AL126" s="24">
        <v>43981.0</v>
      </c>
      <c r="AM126" s="24">
        <v>45807.0</v>
      </c>
      <c r="AN126" s="22">
        <v>60.0</v>
      </c>
      <c r="AO126" s="22">
        <v>3000.0</v>
      </c>
      <c r="AP126" s="22">
        <v>180000.0</v>
      </c>
      <c r="AQ126" s="24">
        <v>46203.0</v>
      </c>
      <c r="AR126" s="22">
        <v>24504.0</v>
      </c>
      <c r="AS126" s="22">
        <v>28645.0</v>
      </c>
      <c r="AT126" s="22">
        <v>4141.0</v>
      </c>
      <c r="AU126" s="22">
        <v>28274.0</v>
      </c>
      <c r="AV126" s="22">
        <v>2570.0</v>
      </c>
      <c r="AW126" s="25">
        <v>7156.77</v>
      </c>
      <c r="AX126" s="25">
        <v>1380.0</v>
      </c>
      <c r="AY126" s="25">
        <v>125.0</v>
      </c>
      <c r="AZ126" s="25">
        <v>291.0</v>
      </c>
      <c r="BA126" s="25">
        <v>1553.61</v>
      </c>
      <c r="BB126" s="25">
        <v>10506.38</v>
      </c>
      <c r="BC126" s="25">
        <v>1575.96</v>
      </c>
      <c r="BD126" s="25">
        <v>12082.34</v>
      </c>
      <c r="BE126" s="24">
        <v>45748.0</v>
      </c>
      <c r="BF126" s="24">
        <v>45838.0</v>
      </c>
      <c r="BG126" s="22">
        <v>19662.0</v>
      </c>
      <c r="BH126" s="22">
        <v>28645.0</v>
      </c>
      <c r="BI126" s="22">
        <v>8983.0</v>
      </c>
      <c r="BJ126" s="22">
        <v>9000.0</v>
      </c>
      <c r="BK126" s="22">
        <v>-17.0</v>
      </c>
      <c r="BL126" s="25">
        <v>0.53</v>
      </c>
      <c r="BM126" s="25">
        <v>1.56</v>
      </c>
      <c r="BN126" s="25">
        <v>0.0</v>
      </c>
      <c r="BO126" s="25">
        <v>0.0</v>
      </c>
      <c r="BP126" s="25">
        <v>0.0</v>
      </c>
      <c r="BQ126" s="25">
        <v>0.0</v>
      </c>
      <c r="BR126" s="25">
        <v>0.0</v>
      </c>
      <c r="BS126" s="25">
        <v>0.0</v>
      </c>
      <c r="BT126" s="25">
        <v>0.0</v>
      </c>
      <c r="BU126" s="25">
        <v>0.0</v>
      </c>
      <c r="BV126" s="25">
        <v>0.0</v>
      </c>
      <c r="BW126" s="25">
        <v>0.0</v>
      </c>
      <c r="BX126" s="25">
        <v>0.0</v>
      </c>
      <c r="BY126" s="25">
        <v>9281.36</v>
      </c>
      <c r="BZ126" s="22">
        <v>0.0</v>
      </c>
      <c r="CA126" s="25">
        <v>0.0</v>
      </c>
      <c r="CB126" s="22">
        <v>0.0</v>
      </c>
      <c r="CC126" s="25">
        <v>0.0</v>
      </c>
      <c r="CD126" s="25">
        <v>0.0</v>
      </c>
      <c r="CE126" s="25">
        <v>0.0</v>
      </c>
      <c r="CF126" s="25">
        <v>0.0</v>
      </c>
      <c r="CG126" s="25">
        <v>0.0</v>
      </c>
      <c r="CH126" s="25">
        <v>12082.34</v>
      </c>
      <c r="CI126" s="25">
        <v>1575.96</v>
      </c>
      <c r="CJ126" s="25">
        <v>10506.38</v>
      </c>
      <c r="CK126" s="25">
        <v>2.54</v>
      </c>
      <c r="CL126" s="22">
        <v>0.0</v>
      </c>
      <c r="CM126" s="22">
        <v>0.0</v>
      </c>
      <c r="CN126" s="22">
        <v>0.0</v>
      </c>
      <c r="CO126" s="22">
        <v>100.0</v>
      </c>
      <c r="CP126" s="24"/>
      <c r="CQ126" s="22">
        <v>0.0</v>
      </c>
      <c r="CR126" s="22">
        <v>0.0</v>
      </c>
      <c r="CS126" s="22">
        <v>0.0</v>
      </c>
      <c r="CT126" s="22">
        <v>-5515.0</v>
      </c>
      <c r="CU126" s="24">
        <v>47330.0</v>
      </c>
      <c r="CV126" s="24">
        <v>47330.0</v>
      </c>
      <c r="CW126" s="22">
        <v>180371.0</v>
      </c>
      <c r="CX126" s="22" t="s">
        <v>122</v>
      </c>
      <c r="CY126" s="22" t="s">
        <v>123</v>
      </c>
      <c r="CZ126" s="25">
        <v>0.0</v>
      </c>
      <c r="DA126" s="25">
        <v>0.0</v>
      </c>
      <c r="DB126" s="25">
        <v>-2529.08</v>
      </c>
      <c r="DC126" s="25">
        <v>0.46</v>
      </c>
      <c r="DD126" s="25">
        <v>0.0</v>
      </c>
      <c r="DE126" s="25">
        <v>0.0</v>
      </c>
      <c r="DF126" s="22"/>
    </row>
    <row r="127" ht="13.5" customHeight="1">
      <c r="A127" s="22" t="s">
        <v>228</v>
      </c>
      <c r="B127" s="23">
        <v>43922.0</v>
      </c>
      <c r="C127" s="22" t="s">
        <v>136</v>
      </c>
      <c r="D127" s="22" t="s">
        <v>125</v>
      </c>
      <c r="E127" s="22" t="s">
        <v>126</v>
      </c>
      <c r="F127" s="22" t="s">
        <v>196</v>
      </c>
      <c r="G127" s="22" t="s">
        <v>140</v>
      </c>
      <c r="H127" s="22" t="s">
        <v>129</v>
      </c>
      <c r="I127" s="24">
        <v>43936.0</v>
      </c>
      <c r="J127" s="24">
        <v>43959.0</v>
      </c>
      <c r="K127" s="22">
        <f t="shared" si="1"/>
        <v>23</v>
      </c>
      <c r="L127" s="22">
        <v>1.0</v>
      </c>
      <c r="M127" s="22">
        <f t="shared" si="2"/>
        <v>22</v>
      </c>
      <c r="N127" s="24">
        <v>43972.0</v>
      </c>
      <c r="O127" s="24">
        <v>44074.0</v>
      </c>
      <c r="P127" s="22">
        <f t="shared" si="3"/>
        <v>102</v>
      </c>
      <c r="Q127" s="22">
        <v>90.0</v>
      </c>
      <c r="R127" s="22">
        <f t="shared" si="4"/>
        <v>12</v>
      </c>
      <c r="S127" s="22" t="s">
        <v>446</v>
      </c>
      <c r="T127" s="22" t="s">
        <v>447</v>
      </c>
      <c r="U127" s="22" t="s">
        <v>117</v>
      </c>
      <c r="V127" s="22" t="s">
        <v>132</v>
      </c>
      <c r="W127" s="22" t="s">
        <v>119</v>
      </c>
      <c r="X127" s="22" t="s">
        <v>433</v>
      </c>
      <c r="Y127" s="22">
        <v>2024.0</v>
      </c>
      <c r="Z127" s="22" t="s">
        <v>135</v>
      </c>
      <c r="AA127" s="22">
        <v>2498.0</v>
      </c>
      <c r="AB127" s="22">
        <v>16.0</v>
      </c>
      <c r="AC127" s="22">
        <v>0.0</v>
      </c>
      <c r="AD127" s="25">
        <v>439391.0</v>
      </c>
      <c r="AE127" s="25">
        <v>54387.32</v>
      </c>
      <c r="AF127" s="26">
        <v>0.12</v>
      </c>
      <c r="AG127" s="25">
        <v>33187.94</v>
      </c>
      <c r="AH127" s="25">
        <v>2207.0</v>
      </c>
      <c r="AI127" s="22">
        <v>7.75</v>
      </c>
      <c r="AJ127" s="25">
        <v>158181.0</v>
      </c>
      <c r="AK127" s="22">
        <v>36.0</v>
      </c>
      <c r="AL127" s="24">
        <v>44074.0</v>
      </c>
      <c r="AM127" s="24">
        <v>45900.0</v>
      </c>
      <c r="AN127" s="22">
        <v>60.0</v>
      </c>
      <c r="AO127" s="22">
        <v>3000.0</v>
      </c>
      <c r="AP127" s="22">
        <v>180000.0</v>
      </c>
      <c r="AQ127" s="24">
        <v>46203.0</v>
      </c>
      <c r="AR127" s="22">
        <v>28432.0</v>
      </c>
      <c r="AS127" s="22">
        <v>32136.0</v>
      </c>
      <c r="AT127" s="22">
        <v>3704.0</v>
      </c>
      <c r="AU127" s="22">
        <v>31767.0</v>
      </c>
      <c r="AV127" s="22">
        <v>2888.0</v>
      </c>
      <c r="AW127" s="25">
        <v>7140.6</v>
      </c>
      <c r="AX127" s="25">
        <v>1380.0</v>
      </c>
      <c r="AY127" s="25">
        <v>125.0</v>
      </c>
      <c r="AZ127" s="25">
        <v>291.0</v>
      </c>
      <c r="BA127" s="25">
        <v>1553.61</v>
      </c>
      <c r="BB127" s="25">
        <v>10490.21</v>
      </c>
      <c r="BC127" s="25">
        <v>1573.53</v>
      </c>
      <c r="BD127" s="25">
        <v>12063.74</v>
      </c>
      <c r="BE127" s="24">
        <v>45748.0</v>
      </c>
      <c r="BF127" s="24">
        <v>45838.0</v>
      </c>
      <c r="BG127" s="22">
        <v>23149.0</v>
      </c>
      <c r="BH127" s="22">
        <v>32136.0</v>
      </c>
      <c r="BI127" s="22">
        <v>8987.0</v>
      </c>
      <c r="BJ127" s="22">
        <v>9000.0</v>
      </c>
      <c r="BK127" s="22">
        <v>-13.0</v>
      </c>
      <c r="BL127" s="25">
        <v>0.53</v>
      </c>
      <c r="BM127" s="25">
        <v>1.56</v>
      </c>
      <c r="BN127" s="25">
        <v>0.0</v>
      </c>
      <c r="BO127" s="25">
        <v>0.0</v>
      </c>
      <c r="BP127" s="25">
        <v>0.0</v>
      </c>
      <c r="BQ127" s="25">
        <v>0.0</v>
      </c>
      <c r="BR127" s="25">
        <v>0.0</v>
      </c>
      <c r="BS127" s="25">
        <v>0.0</v>
      </c>
      <c r="BT127" s="25">
        <v>0.0</v>
      </c>
      <c r="BU127" s="25">
        <v>0.0</v>
      </c>
      <c r="BV127" s="25">
        <v>0.0</v>
      </c>
      <c r="BW127" s="25">
        <v>0.0</v>
      </c>
      <c r="BX127" s="25">
        <v>0.0</v>
      </c>
      <c r="BY127" s="25">
        <v>6535.97</v>
      </c>
      <c r="BZ127" s="22">
        <v>0.0</v>
      </c>
      <c r="CA127" s="25">
        <v>0.0</v>
      </c>
      <c r="CB127" s="22">
        <v>0.0</v>
      </c>
      <c r="CC127" s="25">
        <v>0.0</v>
      </c>
      <c r="CD127" s="25">
        <v>0.0</v>
      </c>
      <c r="CE127" s="25">
        <v>0.0</v>
      </c>
      <c r="CF127" s="25">
        <v>0.0</v>
      </c>
      <c r="CG127" s="25">
        <v>0.0</v>
      </c>
      <c r="CH127" s="25">
        <v>12063.74</v>
      </c>
      <c r="CI127" s="25">
        <v>1573.53</v>
      </c>
      <c r="CJ127" s="25">
        <v>10490.21</v>
      </c>
      <c r="CK127" s="25">
        <v>2.83</v>
      </c>
      <c r="CL127" s="22">
        <v>0.0</v>
      </c>
      <c r="CM127" s="22">
        <v>0.0</v>
      </c>
      <c r="CN127" s="22">
        <v>0.0</v>
      </c>
      <c r="CO127" s="22">
        <v>100.0</v>
      </c>
      <c r="CP127" s="24"/>
      <c r="CQ127" s="22">
        <v>0.0</v>
      </c>
      <c r="CR127" s="22">
        <v>0.0</v>
      </c>
      <c r="CS127" s="22">
        <v>0.0</v>
      </c>
      <c r="CT127" s="22">
        <v>-2022.0</v>
      </c>
      <c r="CU127" s="24">
        <v>47330.0</v>
      </c>
      <c r="CV127" s="24">
        <v>47330.0</v>
      </c>
      <c r="CW127" s="22">
        <v>180369.0</v>
      </c>
      <c r="CX127" s="22" t="s">
        <v>122</v>
      </c>
      <c r="CY127" s="22" t="s">
        <v>123</v>
      </c>
      <c r="CZ127" s="25">
        <v>4798.99</v>
      </c>
      <c r="DA127" s="25">
        <v>9570.6</v>
      </c>
      <c r="DB127" s="25">
        <v>-5703.81</v>
      </c>
      <c r="DC127" s="25">
        <v>0.46</v>
      </c>
      <c r="DD127" s="25">
        <v>0.0</v>
      </c>
      <c r="DE127" s="25">
        <v>0.0</v>
      </c>
      <c r="DF127" s="22"/>
    </row>
    <row r="128" ht="13.5" customHeight="1">
      <c r="A128" s="27" t="s">
        <v>108</v>
      </c>
      <c r="B128" s="28">
        <v>43952.0</v>
      </c>
      <c r="C128" s="27" t="s">
        <v>109</v>
      </c>
      <c r="D128" s="27" t="s">
        <v>137</v>
      </c>
      <c r="E128" s="27" t="s">
        <v>138</v>
      </c>
      <c r="F128" s="27" t="s">
        <v>196</v>
      </c>
      <c r="G128" s="27" t="s">
        <v>140</v>
      </c>
      <c r="H128" s="27" t="s">
        <v>141</v>
      </c>
      <c r="I128" s="29">
        <v>43960.0</v>
      </c>
      <c r="J128" s="29">
        <v>43960.0</v>
      </c>
      <c r="K128" s="27">
        <f t="shared" si="1"/>
        <v>0</v>
      </c>
      <c r="L128" s="27">
        <v>1.0</v>
      </c>
      <c r="M128" s="27">
        <f t="shared" si="2"/>
        <v>-1</v>
      </c>
      <c r="N128" s="29">
        <v>43973.0</v>
      </c>
      <c r="O128" s="29">
        <v>43983.0</v>
      </c>
      <c r="P128" s="27">
        <f t="shared" si="3"/>
        <v>10</v>
      </c>
      <c r="Q128" s="27">
        <v>90.0</v>
      </c>
      <c r="R128" s="27">
        <f t="shared" si="4"/>
        <v>-80</v>
      </c>
      <c r="S128" s="27" t="s">
        <v>448</v>
      </c>
      <c r="T128" s="27" t="s">
        <v>449</v>
      </c>
      <c r="U128" s="27" t="s">
        <v>117</v>
      </c>
      <c r="V128" s="27" t="s">
        <v>132</v>
      </c>
      <c r="W128" s="27" t="s">
        <v>119</v>
      </c>
      <c r="X128" s="27" t="s">
        <v>433</v>
      </c>
      <c r="Y128" s="27">
        <v>2024.0</v>
      </c>
      <c r="Z128" s="27" t="s">
        <v>135</v>
      </c>
      <c r="AA128" s="27">
        <v>2498.0</v>
      </c>
      <c r="AB128" s="27">
        <v>16.0</v>
      </c>
      <c r="AC128" s="27">
        <v>0.0</v>
      </c>
      <c r="AD128" s="30">
        <v>439391.0</v>
      </c>
      <c r="AE128" s="30">
        <v>54387.32</v>
      </c>
      <c r="AF128" s="31">
        <v>0.12</v>
      </c>
      <c r="AG128" s="30">
        <v>30639.81</v>
      </c>
      <c r="AH128" s="30">
        <v>5792.52</v>
      </c>
      <c r="AI128" s="27">
        <v>7.75</v>
      </c>
      <c r="AJ128" s="30">
        <v>158181.0</v>
      </c>
      <c r="AK128" s="27">
        <v>36.0</v>
      </c>
      <c r="AL128" s="29">
        <v>43983.0</v>
      </c>
      <c r="AM128" s="29">
        <v>45809.0</v>
      </c>
      <c r="AN128" s="27">
        <v>60.0</v>
      </c>
      <c r="AO128" s="27">
        <v>3000.0</v>
      </c>
      <c r="AP128" s="27">
        <v>180000.0</v>
      </c>
      <c r="AQ128" s="29">
        <v>46203.0</v>
      </c>
      <c r="AR128" s="27">
        <v>23855.0</v>
      </c>
      <c r="AS128" s="27">
        <v>26482.0</v>
      </c>
      <c r="AT128" s="27">
        <v>2627.0</v>
      </c>
      <c r="AU128" s="27">
        <v>26113.0</v>
      </c>
      <c r="AV128" s="27">
        <v>2374.0</v>
      </c>
      <c r="AW128" s="30">
        <v>7161.59</v>
      </c>
      <c r="AX128" s="30">
        <v>1380.0</v>
      </c>
      <c r="AY128" s="30">
        <v>125.0</v>
      </c>
      <c r="AZ128" s="30">
        <v>291.0</v>
      </c>
      <c r="BA128" s="30">
        <v>1553.61</v>
      </c>
      <c r="BB128" s="30">
        <v>10511.2</v>
      </c>
      <c r="BC128" s="30">
        <v>1576.68</v>
      </c>
      <c r="BD128" s="30">
        <v>12087.88</v>
      </c>
      <c r="BE128" s="29">
        <v>45748.0</v>
      </c>
      <c r="BF128" s="29">
        <v>45838.0</v>
      </c>
      <c r="BG128" s="27">
        <v>19226.0</v>
      </c>
      <c r="BH128" s="27">
        <v>26482.0</v>
      </c>
      <c r="BI128" s="27">
        <v>7256.0</v>
      </c>
      <c r="BJ128" s="27">
        <v>9000.0</v>
      </c>
      <c r="BK128" s="27">
        <v>-1744.0</v>
      </c>
      <c r="BL128" s="30">
        <v>0.53</v>
      </c>
      <c r="BM128" s="30">
        <v>1.56</v>
      </c>
      <c r="BN128" s="30">
        <v>0.0</v>
      </c>
      <c r="BO128" s="30">
        <v>0.0</v>
      </c>
      <c r="BP128" s="30">
        <v>0.0</v>
      </c>
      <c r="BQ128" s="30">
        <v>-120.34</v>
      </c>
      <c r="BR128" s="30">
        <v>0.0</v>
      </c>
      <c r="BS128" s="30">
        <v>0.0</v>
      </c>
      <c r="BT128" s="30">
        <v>0.0</v>
      </c>
      <c r="BU128" s="30">
        <v>0.0</v>
      </c>
      <c r="BV128" s="30">
        <v>0.0</v>
      </c>
      <c r="BW128" s="30">
        <v>0.0</v>
      </c>
      <c r="BX128" s="30">
        <v>0.0</v>
      </c>
      <c r="BY128" s="30">
        <v>4045.09</v>
      </c>
      <c r="BZ128" s="27">
        <v>0.0</v>
      </c>
      <c r="CA128" s="30">
        <v>1199.61</v>
      </c>
      <c r="CB128" s="27">
        <v>0.0</v>
      </c>
      <c r="CC128" s="30">
        <v>0.0</v>
      </c>
      <c r="CD128" s="30">
        <v>0.0</v>
      </c>
      <c r="CE128" s="30">
        <v>0.0</v>
      </c>
      <c r="CF128" s="30">
        <v>0.0</v>
      </c>
      <c r="CG128" s="30">
        <v>0.0</v>
      </c>
      <c r="CH128" s="30">
        <v>11165.3</v>
      </c>
      <c r="CI128" s="30">
        <v>1456.34</v>
      </c>
      <c r="CJ128" s="30">
        <v>9708.96</v>
      </c>
      <c r="CK128" s="30">
        <v>3.7</v>
      </c>
      <c r="CL128" s="27">
        <v>0.0</v>
      </c>
      <c r="CM128" s="27">
        <v>0.0</v>
      </c>
      <c r="CN128" s="27">
        <v>0.0</v>
      </c>
      <c r="CO128" s="27">
        <v>100.0</v>
      </c>
      <c r="CP128" s="29"/>
      <c r="CQ128" s="27">
        <v>0.0</v>
      </c>
      <c r="CR128" s="27">
        <v>0.0</v>
      </c>
      <c r="CS128" s="27">
        <v>0.0</v>
      </c>
      <c r="CT128" s="27">
        <v>-7577.0</v>
      </c>
      <c r="CU128" s="29">
        <v>47330.0</v>
      </c>
      <c r="CV128" s="29">
        <v>47330.0</v>
      </c>
      <c r="CW128" s="27">
        <v>180369.0</v>
      </c>
      <c r="CX128" s="27" t="s">
        <v>122</v>
      </c>
      <c r="CY128" s="27" t="s">
        <v>123</v>
      </c>
      <c r="CZ128" s="30">
        <v>1359.3</v>
      </c>
      <c r="DA128" s="30">
        <v>0.0</v>
      </c>
      <c r="DB128" s="30">
        <v>-4844.72</v>
      </c>
      <c r="DC128" s="30">
        <v>0.46</v>
      </c>
      <c r="DD128" s="30">
        <v>-802.24</v>
      </c>
      <c r="DE128" s="30">
        <v>-922.58</v>
      </c>
      <c r="DF128" s="27"/>
    </row>
    <row r="129" ht="13.5" customHeight="1">
      <c r="A129" s="27" t="s">
        <v>108</v>
      </c>
      <c r="B129" s="28">
        <v>43952.0</v>
      </c>
      <c r="C129" s="27" t="s">
        <v>124</v>
      </c>
      <c r="D129" s="27" t="s">
        <v>110</v>
      </c>
      <c r="E129" s="27" t="s">
        <v>111</v>
      </c>
      <c r="F129" s="27" t="s">
        <v>196</v>
      </c>
      <c r="G129" s="27" t="s">
        <v>140</v>
      </c>
      <c r="H129" s="27" t="s">
        <v>114</v>
      </c>
      <c r="I129" s="29">
        <v>43960.0</v>
      </c>
      <c r="J129" s="29">
        <v>43971.0</v>
      </c>
      <c r="K129" s="27">
        <f t="shared" si="1"/>
        <v>11</v>
      </c>
      <c r="L129" s="27">
        <v>1.0</v>
      </c>
      <c r="M129" s="27">
        <f t="shared" si="2"/>
        <v>10</v>
      </c>
      <c r="N129" s="29">
        <v>43974.0</v>
      </c>
      <c r="O129" s="29">
        <v>44045.0</v>
      </c>
      <c r="P129" s="27">
        <f t="shared" si="3"/>
        <v>71</v>
      </c>
      <c r="Q129" s="27">
        <v>90.0</v>
      </c>
      <c r="R129" s="27">
        <f t="shared" si="4"/>
        <v>-19</v>
      </c>
      <c r="S129" s="27" t="s">
        <v>450</v>
      </c>
      <c r="T129" s="27" t="s">
        <v>451</v>
      </c>
      <c r="U129" s="27" t="s">
        <v>117</v>
      </c>
      <c r="V129" s="27" t="s">
        <v>132</v>
      </c>
      <c r="W129" s="27" t="s">
        <v>119</v>
      </c>
      <c r="X129" s="27" t="s">
        <v>433</v>
      </c>
      <c r="Y129" s="27">
        <v>2024.0</v>
      </c>
      <c r="Z129" s="27" t="s">
        <v>135</v>
      </c>
      <c r="AA129" s="27">
        <v>2498.0</v>
      </c>
      <c r="AB129" s="27">
        <v>16.0</v>
      </c>
      <c r="AC129" s="27">
        <v>0.0</v>
      </c>
      <c r="AD129" s="30">
        <v>439391.0</v>
      </c>
      <c r="AE129" s="30">
        <v>54387.32</v>
      </c>
      <c r="AF129" s="31">
        <v>0.12</v>
      </c>
      <c r="AG129" s="30">
        <v>30442.34</v>
      </c>
      <c r="AH129" s="30">
        <v>5707.0</v>
      </c>
      <c r="AI129" s="27">
        <v>7.75</v>
      </c>
      <c r="AJ129" s="30">
        <v>158181.0</v>
      </c>
      <c r="AK129" s="27">
        <v>36.0</v>
      </c>
      <c r="AL129" s="29">
        <v>44045.0</v>
      </c>
      <c r="AM129" s="29">
        <v>45871.0</v>
      </c>
      <c r="AN129" s="27">
        <v>60.0</v>
      </c>
      <c r="AO129" s="27">
        <v>3000.0</v>
      </c>
      <c r="AP129" s="27">
        <v>180000.0</v>
      </c>
      <c r="AQ129" s="29">
        <v>46203.0</v>
      </c>
      <c r="AR129" s="27">
        <v>28888.0</v>
      </c>
      <c r="AS129" s="27">
        <v>29942.0</v>
      </c>
      <c r="AT129" s="27">
        <v>1054.0</v>
      </c>
      <c r="AU129" s="27">
        <v>29572.0</v>
      </c>
      <c r="AV129" s="27">
        <v>2688.0</v>
      </c>
      <c r="AW129" s="30">
        <v>7156.18</v>
      </c>
      <c r="AX129" s="30">
        <v>1380.0</v>
      </c>
      <c r="AY129" s="30">
        <v>125.0</v>
      </c>
      <c r="AZ129" s="30">
        <v>291.0</v>
      </c>
      <c r="BA129" s="30">
        <v>1553.61</v>
      </c>
      <c r="BB129" s="30">
        <v>10505.79</v>
      </c>
      <c r="BC129" s="30">
        <v>1575.87</v>
      </c>
      <c r="BD129" s="30">
        <v>12081.66</v>
      </c>
      <c r="BE129" s="29">
        <v>45748.0</v>
      </c>
      <c r="BF129" s="29">
        <v>45838.0</v>
      </c>
      <c r="BG129" s="27">
        <v>21290.0</v>
      </c>
      <c r="BH129" s="27">
        <v>29942.0</v>
      </c>
      <c r="BI129" s="27">
        <v>8652.0</v>
      </c>
      <c r="BJ129" s="27">
        <v>9000.0</v>
      </c>
      <c r="BK129" s="27">
        <v>-348.0</v>
      </c>
      <c r="BL129" s="30">
        <v>0.53</v>
      </c>
      <c r="BM129" s="30">
        <v>1.56</v>
      </c>
      <c r="BN129" s="30">
        <v>0.0</v>
      </c>
      <c r="BO129" s="30">
        <v>0.0</v>
      </c>
      <c r="BP129" s="30">
        <v>0.0</v>
      </c>
      <c r="BQ129" s="30">
        <v>0.0</v>
      </c>
      <c r="BR129" s="30">
        <v>0.0</v>
      </c>
      <c r="BS129" s="30">
        <v>0.0</v>
      </c>
      <c r="BT129" s="30">
        <v>0.0</v>
      </c>
      <c r="BU129" s="30">
        <v>0.0</v>
      </c>
      <c r="BV129" s="30">
        <v>0.0</v>
      </c>
      <c r="BW129" s="30">
        <v>0.0</v>
      </c>
      <c r="BX129" s="30">
        <v>0.0</v>
      </c>
      <c r="BY129" s="30">
        <v>2600.82</v>
      </c>
      <c r="BZ129" s="27">
        <v>0.0</v>
      </c>
      <c r="CA129" s="30">
        <v>0.0</v>
      </c>
      <c r="CB129" s="27">
        <v>0.0</v>
      </c>
      <c r="CC129" s="30">
        <v>0.0</v>
      </c>
      <c r="CD129" s="30">
        <v>0.0</v>
      </c>
      <c r="CE129" s="30">
        <v>0.0</v>
      </c>
      <c r="CF129" s="30">
        <v>0.0</v>
      </c>
      <c r="CG129" s="30">
        <v>0.0</v>
      </c>
      <c r="CH129" s="30">
        <v>12081.66</v>
      </c>
      <c r="CI129" s="30">
        <v>1575.87</v>
      </c>
      <c r="CJ129" s="30">
        <v>10505.79</v>
      </c>
      <c r="CK129" s="30">
        <v>9.97</v>
      </c>
      <c r="CL129" s="27">
        <v>0.0</v>
      </c>
      <c r="CM129" s="27">
        <v>0.0</v>
      </c>
      <c r="CN129" s="27">
        <v>0.0</v>
      </c>
      <c r="CO129" s="27">
        <v>100.0</v>
      </c>
      <c r="CP129" s="29"/>
      <c r="CQ129" s="27">
        <v>0.0</v>
      </c>
      <c r="CR129" s="27">
        <v>0.0</v>
      </c>
      <c r="CS129" s="27">
        <v>0.0</v>
      </c>
      <c r="CT129" s="27">
        <v>-4118.0</v>
      </c>
      <c r="CU129" s="29">
        <v>47330.0</v>
      </c>
      <c r="CV129" s="29">
        <v>47330.0</v>
      </c>
      <c r="CW129" s="27">
        <v>180370.0</v>
      </c>
      <c r="CX129" s="27" t="s">
        <v>122</v>
      </c>
      <c r="CY129" s="27" t="s">
        <v>123</v>
      </c>
      <c r="CZ129" s="30">
        <v>0.0</v>
      </c>
      <c r="DA129" s="30">
        <v>0.0</v>
      </c>
      <c r="DB129" s="30">
        <v>-1660.6</v>
      </c>
      <c r="DC129" s="30">
        <v>0.46</v>
      </c>
      <c r="DD129" s="30">
        <v>0.0</v>
      </c>
      <c r="DE129" s="30">
        <v>0.0</v>
      </c>
      <c r="DF129" s="27"/>
    </row>
    <row r="130" ht="13.5" customHeight="1">
      <c r="A130" s="27" t="s">
        <v>108</v>
      </c>
      <c r="B130" s="28">
        <v>43952.0</v>
      </c>
      <c r="C130" s="27" t="s">
        <v>136</v>
      </c>
      <c r="D130" s="27" t="s">
        <v>125</v>
      </c>
      <c r="E130" s="27" t="s">
        <v>126</v>
      </c>
      <c r="F130" s="27" t="s">
        <v>196</v>
      </c>
      <c r="G130" s="27" t="s">
        <v>140</v>
      </c>
      <c r="H130" s="27" t="s">
        <v>129</v>
      </c>
      <c r="I130" s="29">
        <v>43961.0</v>
      </c>
      <c r="J130" s="29">
        <v>43962.0</v>
      </c>
      <c r="K130" s="27">
        <f t="shared" si="1"/>
        <v>1</v>
      </c>
      <c r="L130" s="27">
        <v>1.0</v>
      </c>
      <c r="M130" s="27">
        <f t="shared" si="2"/>
        <v>0</v>
      </c>
      <c r="N130" s="29">
        <v>43975.0</v>
      </c>
      <c r="O130" s="29">
        <v>43985.0</v>
      </c>
      <c r="P130" s="27">
        <f t="shared" si="3"/>
        <v>10</v>
      </c>
      <c r="Q130" s="27">
        <v>90.0</v>
      </c>
      <c r="R130" s="27">
        <f t="shared" si="4"/>
        <v>-80</v>
      </c>
      <c r="S130" s="27" t="s">
        <v>452</v>
      </c>
      <c r="T130" s="27" t="s">
        <v>453</v>
      </c>
      <c r="U130" s="27" t="s">
        <v>117</v>
      </c>
      <c r="V130" s="27" t="s">
        <v>132</v>
      </c>
      <c r="W130" s="27" t="s">
        <v>119</v>
      </c>
      <c r="X130" s="27" t="s">
        <v>433</v>
      </c>
      <c r="Y130" s="27">
        <v>2024.0</v>
      </c>
      <c r="Z130" s="27" t="s">
        <v>135</v>
      </c>
      <c r="AA130" s="27">
        <v>2498.0</v>
      </c>
      <c r="AB130" s="27">
        <v>16.0</v>
      </c>
      <c r="AC130" s="27">
        <v>0.0</v>
      </c>
      <c r="AD130" s="30">
        <v>439391.0</v>
      </c>
      <c r="AE130" s="30">
        <v>54387.32</v>
      </c>
      <c r="AF130" s="31">
        <v>0.12</v>
      </c>
      <c r="AG130" s="30">
        <v>29775.79</v>
      </c>
      <c r="AH130" s="30">
        <v>5819.96</v>
      </c>
      <c r="AI130" s="27">
        <v>7.75</v>
      </c>
      <c r="AJ130" s="30">
        <v>158181.0</v>
      </c>
      <c r="AK130" s="27">
        <v>36.0</v>
      </c>
      <c r="AL130" s="29">
        <v>43985.0</v>
      </c>
      <c r="AM130" s="29">
        <v>45811.0</v>
      </c>
      <c r="AN130" s="27">
        <v>60.0</v>
      </c>
      <c r="AO130" s="27">
        <v>3000.0</v>
      </c>
      <c r="AP130" s="27">
        <v>180000.0</v>
      </c>
      <c r="AQ130" s="29">
        <v>46203.0</v>
      </c>
      <c r="AR130" s="27">
        <v>25795.0</v>
      </c>
      <c r="AS130" s="27">
        <v>28576.0</v>
      </c>
      <c r="AT130" s="27">
        <v>2781.0</v>
      </c>
      <c r="AU130" s="27">
        <v>28206.0</v>
      </c>
      <c r="AV130" s="27">
        <v>2564.0</v>
      </c>
      <c r="AW130" s="30">
        <v>7144.73</v>
      </c>
      <c r="AX130" s="30">
        <v>1380.0</v>
      </c>
      <c r="AY130" s="30">
        <v>125.0</v>
      </c>
      <c r="AZ130" s="30">
        <v>291.0</v>
      </c>
      <c r="BA130" s="30">
        <v>1553.61</v>
      </c>
      <c r="BB130" s="30">
        <v>10494.34</v>
      </c>
      <c r="BC130" s="30">
        <v>1574.15</v>
      </c>
      <c r="BD130" s="30">
        <v>12068.49</v>
      </c>
      <c r="BE130" s="29">
        <v>45748.0</v>
      </c>
      <c r="BF130" s="29">
        <v>45838.0</v>
      </c>
      <c r="BG130" s="27">
        <v>20101.0</v>
      </c>
      <c r="BH130" s="27">
        <v>28576.0</v>
      </c>
      <c r="BI130" s="27">
        <v>8475.0</v>
      </c>
      <c r="BJ130" s="27">
        <v>9000.0</v>
      </c>
      <c r="BK130" s="27">
        <v>-525.0</v>
      </c>
      <c r="BL130" s="30">
        <v>0.53</v>
      </c>
      <c r="BM130" s="30">
        <v>1.56</v>
      </c>
      <c r="BN130" s="30">
        <v>0.0</v>
      </c>
      <c r="BO130" s="30">
        <v>0.0</v>
      </c>
      <c r="BP130" s="30">
        <v>0.0</v>
      </c>
      <c r="BQ130" s="30">
        <v>-36.23</v>
      </c>
      <c r="BR130" s="30">
        <v>0.0</v>
      </c>
      <c r="BS130" s="30">
        <v>0.0</v>
      </c>
      <c r="BT130" s="30">
        <v>0.0</v>
      </c>
      <c r="BU130" s="30">
        <v>0.0</v>
      </c>
      <c r="BV130" s="30">
        <v>0.0</v>
      </c>
      <c r="BW130" s="30">
        <v>0.0</v>
      </c>
      <c r="BX130" s="30">
        <v>0.0</v>
      </c>
      <c r="BY130" s="30">
        <v>3894.77</v>
      </c>
      <c r="BZ130" s="27">
        <v>0.0</v>
      </c>
      <c r="CA130" s="30">
        <v>0.0</v>
      </c>
      <c r="CB130" s="27">
        <v>0.0</v>
      </c>
      <c r="CC130" s="30">
        <v>0.0</v>
      </c>
      <c r="CD130" s="30">
        <v>0.0</v>
      </c>
      <c r="CE130" s="30">
        <v>0.0</v>
      </c>
      <c r="CF130" s="30">
        <v>0.0</v>
      </c>
      <c r="CG130" s="30">
        <v>0.0</v>
      </c>
      <c r="CH130" s="30">
        <v>11790.76</v>
      </c>
      <c r="CI130" s="30">
        <v>1537.92</v>
      </c>
      <c r="CJ130" s="30">
        <v>10252.84</v>
      </c>
      <c r="CK130" s="30">
        <v>3.69</v>
      </c>
      <c r="CL130" s="27">
        <v>0.0</v>
      </c>
      <c r="CM130" s="27">
        <v>0.0</v>
      </c>
      <c r="CN130" s="27">
        <v>0.0</v>
      </c>
      <c r="CO130" s="27">
        <v>100.0</v>
      </c>
      <c r="CP130" s="29"/>
      <c r="CQ130" s="27">
        <v>0.0</v>
      </c>
      <c r="CR130" s="27">
        <v>0.0</v>
      </c>
      <c r="CS130" s="27">
        <v>0.0</v>
      </c>
      <c r="CT130" s="27">
        <v>-5484.0</v>
      </c>
      <c r="CU130" s="29">
        <v>47330.0</v>
      </c>
      <c r="CV130" s="29">
        <v>47330.0</v>
      </c>
      <c r="CW130" s="27">
        <v>180370.0</v>
      </c>
      <c r="CX130" s="27" t="s">
        <v>122</v>
      </c>
      <c r="CY130" s="27" t="s">
        <v>123</v>
      </c>
      <c r="CZ130" s="30">
        <v>697.36</v>
      </c>
      <c r="DA130" s="30">
        <v>0.0</v>
      </c>
      <c r="DB130" s="30">
        <v>-3220.0</v>
      </c>
      <c r="DC130" s="30">
        <v>0.46</v>
      </c>
      <c r="DD130" s="30">
        <v>-241.5</v>
      </c>
      <c r="DE130" s="30">
        <v>-277.73</v>
      </c>
      <c r="DF130" s="27"/>
    </row>
    <row r="131" ht="13.5" customHeight="1">
      <c r="A131" s="27" t="s">
        <v>144</v>
      </c>
      <c r="B131" s="28">
        <v>43952.0</v>
      </c>
      <c r="C131" s="27" t="s">
        <v>109</v>
      </c>
      <c r="D131" s="27" t="s">
        <v>137</v>
      </c>
      <c r="E131" s="27" t="s">
        <v>138</v>
      </c>
      <c r="F131" s="27" t="s">
        <v>196</v>
      </c>
      <c r="G131" s="27" t="s">
        <v>140</v>
      </c>
      <c r="H131" s="27" t="s">
        <v>141</v>
      </c>
      <c r="I131" s="29">
        <v>43962.0</v>
      </c>
      <c r="J131" s="29">
        <v>43963.0</v>
      </c>
      <c r="K131" s="27">
        <f t="shared" si="1"/>
        <v>1</v>
      </c>
      <c r="L131" s="27">
        <v>1.0</v>
      </c>
      <c r="M131" s="27">
        <f t="shared" si="2"/>
        <v>0</v>
      </c>
      <c r="N131" s="29">
        <v>43976.0</v>
      </c>
      <c r="O131" s="29">
        <v>43986.0</v>
      </c>
      <c r="P131" s="27">
        <f t="shared" si="3"/>
        <v>10</v>
      </c>
      <c r="Q131" s="27">
        <v>90.0</v>
      </c>
      <c r="R131" s="27">
        <f t="shared" si="4"/>
        <v>-80</v>
      </c>
      <c r="S131" s="27" t="s">
        <v>454</v>
      </c>
      <c r="T131" s="27" t="s">
        <v>455</v>
      </c>
      <c r="U131" s="27" t="s">
        <v>117</v>
      </c>
      <c r="V131" s="27" t="s">
        <v>132</v>
      </c>
      <c r="W131" s="27" t="s">
        <v>119</v>
      </c>
      <c r="X131" s="27" t="s">
        <v>433</v>
      </c>
      <c r="Y131" s="27">
        <v>2024.0</v>
      </c>
      <c r="Z131" s="27" t="s">
        <v>135</v>
      </c>
      <c r="AA131" s="27">
        <v>2498.0</v>
      </c>
      <c r="AB131" s="27">
        <v>16.0</v>
      </c>
      <c r="AC131" s="27">
        <v>1.0</v>
      </c>
      <c r="AD131" s="30">
        <v>439391.0</v>
      </c>
      <c r="AE131" s="30">
        <v>54387.32</v>
      </c>
      <c r="AF131" s="31">
        <v>0.12</v>
      </c>
      <c r="AG131" s="30">
        <v>33485.94</v>
      </c>
      <c r="AH131" s="30">
        <v>2124.0</v>
      </c>
      <c r="AI131" s="27">
        <v>7.75</v>
      </c>
      <c r="AJ131" s="30">
        <v>158181.0</v>
      </c>
      <c r="AK131" s="27">
        <v>36.0</v>
      </c>
      <c r="AL131" s="29">
        <v>43986.0</v>
      </c>
      <c r="AM131" s="29">
        <v>45812.0</v>
      </c>
      <c r="AN131" s="27">
        <v>60.0</v>
      </c>
      <c r="AO131" s="27">
        <v>3000.0</v>
      </c>
      <c r="AP131" s="27">
        <v>180000.0</v>
      </c>
      <c r="AQ131" s="29">
        <v>46203.0</v>
      </c>
      <c r="AR131" s="27">
        <v>21952.0</v>
      </c>
      <c r="AS131" s="27">
        <v>24267.0</v>
      </c>
      <c r="AT131" s="27">
        <v>2315.0</v>
      </c>
      <c r="AU131" s="27">
        <v>23680.0</v>
      </c>
      <c r="AV131" s="27">
        <v>2153.0</v>
      </c>
      <c r="AW131" s="30">
        <v>7145.07</v>
      </c>
      <c r="AX131" s="30">
        <v>1380.0</v>
      </c>
      <c r="AY131" s="30">
        <v>125.0</v>
      </c>
      <c r="AZ131" s="30">
        <v>291.0</v>
      </c>
      <c r="BA131" s="30">
        <v>1553.61</v>
      </c>
      <c r="BB131" s="30">
        <v>10494.68</v>
      </c>
      <c r="BC131" s="30">
        <v>1574.2</v>
      </c>
      <c r="BD131" s="30">
        <v>12068.88</v>
      </c>
      <c r="BE131" s="29">
        <v>45748.0</v>
      </c>
      <c r="BF131" s="29">
        <v>45838.0</v>
      </c>
      <c r="BG131" s="27">
        <v>18058.0</v>
      </c>
      <c r="BH131" s="27">
        <v>24267.0</v>
      </c>
      <c r="BI131" s="27">
        <v>6209.0</v>
      </c>
      <c r="BJ131" s="27">
        <v>9000.0</v>
      </c>
      <c r="BK131" s="27">
        <v>-2791.0</v>
      </c>
      <c r="BL131" s="30">
        <v>0.53</v>
      </c>
      <c r="BM131" s="30">
        <v>1.56</v>
      </c>
      <c r="BN131" s="30">
        <v>0.0</v>
      </c>
      <c r="BO131" s="30">
        <v>0.0</v>
      </c>
      <c r="BP131" s="30">
        <v>0.0</v>
      </c>
      <c r="BQ131" s="30">
        <v>-192.58</v>
      </c>
      <c r="BR131" s="30">
        <v>0.0</v>
      </c>
      <c r="BS131" s="30">
        <v>0.0</v>
      </c>
      <c r="BT131" s="30">
        <v>0.0</v>
      </c>
      <c r="BU131" s="30">
        <v>0.0</v>
      </c>
      <c r="BV131" s="30">
        <v>0.0</v>
      </c>
      <c r="BW131" s="30">
        <v>0.0</v>
      </c>
      <c r="BX131" s="30">
        <v>0.0</v>
      </c>
      <c r="BY131" s="30">
        <v>5588.52</v>
      </c>
      <c r="BZ131" s="27">
        <v>0.0</v>
      </c>
      <c r="CA131" s="30">
        <v>0.0</v>
      </c>
      <c r="CB131" s="27">
        <v>0.0</v>
      </c>
      <c r="CC131" s="30">
        <v>0.0</v>
      </c>
      <c r="CD131" s="30">
        <v>0.0</v>
      </c>
      <c r="CE131" s="30">
        <v>0.0</v>
      </c>
      <c r="CF131" s="30">
        <v>0.0</v>
      </c>
      <c r="CG131" s="30">
        <v>0.0</v>
      </c>
      <c r="CH131" s="30">
        <v>10592.44</v>
      </c>
      <c r="CI131" s="30">
        <v>1381.62</v>
      </c>
      <c r="CJ131" s="30">
        <v>9210.82</v>
      </c>
      <c r="CK131" s="30">
        <v>3.98</v>
      </c>
      <c r="CL131" s="27">
        <v>0.0</v>
      </c>
      <c r="CM131" s="27">
        <v>0.0</v>
      </c>
      <c r="CN131" s="27">
        <v>0.0</v>
      </c>
      <c r="CO131" s="27">
        <v>100.0</v>
      </c>
      <c r="CP131" s="29"/>
      <c r="CQ131" s="27">
        <v>0.0</v>
      </c>
      <c r="CR131" s="27">
        <v>0.0</v>
      </c>
      <c r="CS131" s="27">
        <v>0.0</v>
      </c>
      <c r="CT131" s="27">
        <v>-10010.0</v>
      </c>
      <c r="CU131" s="29">
        <v>47330.0</v>
      </c>
      <c r="CV131" s="29">
        <v>47330.0</v>
      </c>
      <c r="CW131" s="27">
        <v>180587.0</v>
      </c>
      <c r="CX131" s="27" t="s">
        <v>122</v>
      </c>
      <c r="CY131" s="27" t="s">
        <v>123</v>
      </c>
      <c r="CZ131" s="30">
        <v>2082.88</v>
      </c>
      <c r="DA131" s="30">
        <v>0.0</v>
      </c>
      <c r="DB131" s="30">
        <v>-6882.52</v>
      </c>
      <c r="DC131" s="30">
        <v>0.46</v>
      </c>
      <c r="DD131" s="30">
        <v>-1283.86</v>
      </c>
      <c r="DE131" s="30">
        <v>-1476.44</v>
      </c>
      <c r="DF131" s="27"/>
    </row>
    <row r="132" ht="13.5" customHeight="1">
      <c r="A132" s="27" t="s">
        <v>144</v>
      </c>
      <c r="B132" s="28">
        <v>43952.0</v>
      </c>
      <c r="C132" s="27" t="s">
        <v>124</v>
      </c>
      <c r="D132" s="27" t="s">
        <v>110</v>
      </c>
      <c r="E132" s="27" t="s">
        <v>111</v>
      </c>
      <c r="F132" s="27" t="s">
        <v>196</v>
      </c>
      <c r="G132" s="27" t="s">
        <v>140</v>
      </c>
      <c r="H132" s="27" t="s">
        <v>114</v>
      </c>
      <c r="I132" s="29">
        <v>43963.0</v>
      </c>
      <c r="J132" s="29">
        <v>43964.0</v>
      </c>
      <c r="K132" s="27">
        <f t="shared" si="1"/>
        <v>1</v>
      </c>
      <c r="L132" s="27">
        <v>1.0</v>
      </c>
      <c r="M132" s="27">
        <f t="shared" si="2"/>
        <v>0</v>
      </c>
      <c r="N132" s="29">
        <v>43977.0</v>
      </c>
      <c r="O132" s="29">
        <v>44129.0</v>
      </c>
      <c r="P132" s="27">
        <f t="shared" si="3"/>
        <v>152</v>
      </c>
      <c r="Q132" s="27">
        <v>90.0</v>
      </c>
      <c r="R132" s="27">
        <f t="shared" si="4"/>
        <v>62</v>
      </c>
      <c r="S132" s="27" t="s">
        <v>456</v>
      </c>
      <c r="T132" s="27" t="s">
        <v>457</v>
      </c>
      <c r="U132" s="27" t="s">
        <v>117</v>
      </c>
      <c r="V132" s="27" t="s">
        <v>132</v>
      </c>
      <c r="W132" s="27" t="s">
        <v>119</v>
      </c>
      <c r="X132" s="27" t="s">
        <v>433</v>
      </c>
      <c r="Y132" s="27">
        <v>2024.0</v>
      </c>
      <c r="Z132" s="27" t="s">
        <v>135</v>
      </c>
      <c r="AA132" s="27">
        <v>2498.0</v>
      </c>
      <c r="AB132" s="27">
        <v>16.0</v>
      </c>
      <c r="AC132" s="27">
        <v>0.0</v>
      </c>
      <c r="AD132" s="30">
        <v>439391.0</v>
      </c>
      <c r="AE132" s="30">
        <v>54387.32</v>
      </c>
      <c r="AF132" s="31">
        <v>0.12</v>
      </c>
      <c r="AG132" s="30">
        <v>34089.95</v>
      </c>
      <c r="AH132" s="30">
        <v>2124.0</v>
      </c>
      <c r="AI132" s="27">
        <v>7.75</v>
      </c>
      <c r="AJ132" s="30">
        <v>158181.0</v>
      </c>
      <c r="AK132" s="27">
        <v>36.0</v>
      </c>
      <c r="AL132" s="29">
        <v>44129.0</v>
      </c>
      <c r="AM132" s="29">
        <v>45955.0</v>
      </c>
      <c r="AN132" s="27">
        <v>60.0</v>
      </c>
      <c r="AO132" s="27">
        <v>3000.0</v>
      </c>
      <c r="AP132" s="27">
        <v>180000.0</v>
      </c>
      <c r="AQ132" s="29">
        <v>46203.0</v>
      </c>
      <c r="AR132" s="27">
        <v>29824.0</v>
      </c>
      <c r="AS132" s="27">
        <v>31016.0</v>
      </c>
      <c r="AT132" s="27">
        <v>1192.0</v>
      </c>
      <c r="AU132" s="27">
        <v>30429.0</v>
      </c>
      <c r="AV132" s="27">
        <v>2766.0</v>
      </c>
      <c r="AW132" s="30">
        <v>7124.3</v>
      </c>
      <c r="AX132" s="30">
        <v>1380.0</v>
      </c>
      <c r="AY132" s="30">
        <v>125.0</v>
      </c>
      <c r="AZ132" s="30">
        <v>291.0</v>
      </c>
      <c r="BA132" s="30">
        <v>1553.61</v>
      </c>
      <c r="BB132" s="30">
        <v>10473.91</v>
      </c>
      <c r="BC132" s="30">
        <v>1571.09</v>
      </c>
      <c r="BD132" s="30">
        <v>12045.0</v>
      </c>
      <c r="BE132" s="29">
        <v>45748.0</v>
      </c>
      <c r="BF132" s="29">
        <v>45838.0</v>
      </c>
      <c r="BG132" s="27">
        <v>22036.0</v>
      </c>
      <c r="BH132" s="27">
        <v>31016.0</v>
      </c>
      <c r="BI132" s="27">
        <v>8980.0</v>
      </c>
      <c r="BJ132" s="27">
        <v>9000.0</v>
      </c>
      <c r="BK132" s="27">
        <v>-20.0</v>
      </c>
      <c r="BL132" s="30">
        <v>0.53</v>
      </c>
      <c r="BM132" s="30">
        <v>1.56</v>
      </c>
      <c r="BN132" s="30">
        <v>0.0</v>
      </c>
      <c r="BO132" s="30">
        <v>0.0</v>
      </c>
      <c r="BP132" s="30">
        <v>0.0</v>
      </c>
      <c r="BQ132" s="30">
        <v>0.0</v>
      </c>
      <c r="BR132" s="30">
        <v>0.0</v>
      </c>
      <c r="BS132" s="30">
        <v>0.0</v>
      </c>
      <c r="BT132" s="30">
        <v>0.0</v>
      </c>
      <c r="BU132" s="30">
        <v>0.0</v>
      </c>
      <c r="BV132" s="30">
        <v>0.0</v>
      </c>
      <c r="BW132" s="30">
        <v>0.0</v>
      </c>
      <c r="BX132" s="30">
        <v>0.0</v>
      </c>
      <c r="BY132" s="30">
        <v>1411.23</v>
      </c>
      <c r="BZ132" s="27">
        <v>0.0</v>
      </c>
      <c r="CA132" s="30">
        <v>0.0</v>
      </c>
      <c r="CB132" s="27">
        <v>0.0</v>
      </c>
      <c r="CC132" s="30">
        <v>0.0</v>
      </c>
      <c r="CD132" s="30">
        <v>0.0</v>
      </c>
      <c r="CE132" s="30">
        <v>0.0</v>
      </c>
      <c r="CF132" s="30">
        <v>0.0</v>
      </c>
      <c r="CG132" s="30">
        <v>0.0</v>
      </c>
      <c r="CH132" s="30">
        <v>12045.0</v>
      </c>
      <c r="CI132" s="30">
        <v>1571.09</v>
      </c>
      <c r="CJ132" s="30">
        <v>10473.91</v>
      </c>
      <c r="CK132" s="30">
        <v>8.79</v>
      </c>
      <c r="CL132" s="27">
        <v>0.0</v>
      </c>
      <c r="CM132" s="27">
        <v>0.0</v>
      </c>
      <c r="CN132" s="27">
        <v>0.0</v>
      </c>
      <c r="CO132" s="27">
        <v>100.0</v>
      </c>
      <c r="CP132" s="29"/>
      <c r="CQ132" s="27">
        <v>0.0</v>
      </c>
      <c r="CR132" s="27">
        <v>0.0</v>
      </c>
      <c r="CS132" s="27">
        <v>0.0</v>
      </c>
      <c r="CT132" s="27">
        <v>-3261.0</v>
      </c>
      <c r="CU132" s="29">
        <v>47330.0</v>
      </c>
      <c r="CV132" s="29">
        <v>47330.0</v>
      </c>
      <c r="CW132" s="27">
        <v>180587.0</v>
      </c>
      <c r="CX132" s="27" t="s">
        <v>122</v>
      </c>
      <c r="CY132" s="27" t="s">
        <v>123</v>
      </c>
      <c r="CZ132" s="30">
        <v>1831.04</v>
      </c>
      <c r="DA132" s="30">
        <v>2168.4</v>
      </c>
      <c r="DB132" s="30">
        <v>-3319.6</v>
      </c>
      <c r="DC132" s="30">
        <v>0.46</v>
      </c>
      <c r="DD132" s="30">
        <v>0.0</v>
      </c>
      <c r="DE132" s="30">
        <v>0.0</v>
      </c>
      <c r="DF132" s="27"/>
    </row>
    <row r="133" ht="13.5" customHeight="1">
      <c r="A133" s="27" t="s">
        <v>144</v>
      </c>
      <c r="B133" s="28">
        <v>43952.0</v>
      </c>
      <c r="C133" s="27" t="s">
        <v>136</v>
      </c>
      <c r="D133" s="27" t="s">
        <v>125</v>
      </c>
      <c r="E133" s="27" t="s">
        <v>126</v>
      </c>
      <c r="F133" s="27" t="s">
        <v>196</v>
      </c>
      <c r="G133" s="27" t="s">
        <v>140</v>
      </c>
      <c r="H133" s="27" t="s">
        <v>129</v>
      </c>
      <c r="I133" s="29">
        <v>43964.0</v>
      </c>
      <c r="J133" s="29">
        <v>43965.0</v>
      </c>
      <c r="K133" s="27">
        <f t="shared" si="1"/>
        <v>1</v>
      </c>
      <c r="L133" s="27">
        <v>1.0</v>
      </c>
      <c r="M133" s="27">
        <f t="shared" si="2"/>
        <v>0</v>
      </c>
      <c r="N133" s="29">
        <v>43978.0</v>
      </c>
      <c r="O133" s="29">
        <v>44008.0</v>
      </c>
      <c r="P133" s="27">
        <f t="shared" si="3"/>
        <v>30</v>
      </c>
      <c r="Q133" s="27">
        <v>90.0</v>
      </c>
      <c r="R133" s="27">
        <f t="shared" si="4"/>
        <v>-60</v>
      </c>
      <c r="S133" s="27" t="s">
        <v>458</v>
      </c>
      <c r="T133" s="27" t="s">
        <v>459</v>
      </c>
      <c r="U133" s="27" t="s">
        <v>117</v>
      </c>
      <c r="V133" s="27" t="s">
        <v>132</v>
      </c>
      <c r="W133" s="27" t="s">
        <v>119</v>
      </c>
      <c r="X133" s="27" t="s">
        <v>433</v>
      </c>
      <c r="Y133" s="27">
        <v>2024.0</v>
      </c>
      <c r="Z133" s="27" t="s">
        <v>135</v>
      </c>
      <c r="AA133" s="27">
        <v>2498.0</v>
      </c>
      <c r="AB133" s="27">
        <v>16.0</v>
      </c>
      <c r="AC133" s="27">
        <v>0.0</v>
      </c>
      <c r="AD133" s="30">
        <v>439391.0</v>
      </c>
      <c r="AE133" s="30">
        <v>54387.32</v>
      </c>
      <c r="AF133" s="31">
        <v>0.12</v>
      </c>
      <c r="AG133" s="30">
        <v>40210.46</v>
      </c>
      <c r="AH133" s="30">
        <v>2207.0</v>
      </c>
      <c r="AI133" s="27">
        <v>7.75</v>
      </c>
      <c r="AJ133" s="30">
        <v>158181.0</v>
      </c>
      <c r="AK133" s="27">
        <v>36.0</v>
      </c>
      <c r="AL133" s="29">
        <v>44008.0</v>
      </c>
      <c r="AM133" s="29">
        <v>45834.0</v>
      </c>
      <c r="AN133" s="27">
        <v>60.0</v>
      </c>
      <c r="AO133" s="27">
        <v>3500.0</v>
      </c>
      <c r="AP133" s="27">
        <v>210000.0</v>
      </c>
      <c r="AQ133" s="29">
        <v>46203.0</v>
      </c>
      <c r="AR133" s="27">
        <v>27487.0</v>
      </c>
      <c r="AS133" s="27">
        <v>31543.0</v>
      </c>
      <c r="AT133" s="27">
        <v>4056.0</v>
      </c>
      <c r="AU133" s="27">
        <v>31170.0</v>
      </c>
      <c r="AV133" s="27">
        <v>3117.0</v>
      </c>
      <c r="AW133" s="30">
        <v>7284.47</v>
      </c>
      <c r="AX133" s="30">
        <v>1540.0</v>
      </c>
      <c r="AY133" s="30">
        <v>125.0</v>
      </c>
      <c r="AZ133" s="30">
        <v>291.0</v>
      </c>
      <c r="BA133" s="30">
        <v>1553.61</v>
      </c>
      <c r="BB133" s="30">
        <v>10794.08</v>
      </c>
      <c r="BC133" s="30">
        <v>1619.11</v>
      </c>
      <c r="BD133" s="30">
        <v>12413.19</v>
      </c>
      <c r="BE133" s="29">
        <v>45748.0</v>
      </c>
      <c r="BF133" s="29">
        <v>45838.0</v>
      </c>
      <c r="BG133" s="27">
        <v>21056.0</v>
      </c>
      <c r="BH133" s="27">
        <v>31543.0</v>
      </c>
      <c r="BI133" s="27">
        <v>10487.0</v>
      </c>
      <c r="BJ133" s="27">
        <v>10500.0</v>
      </c>
      <c r="BK133" s="27">
        <v>-13.0</v>
      </c>
      <c r="BL133" s="30">
        <v>0.51</v>
      </c>
      <c r="BM133" s="30">
        <v>1.34</v>
      </c>
      <c r="BN133" s="30">
        <v>0.0</v>
      </c>
      <c r="BO133" s="30">
        <v>0.0</v>
      </c>
      <c r="BP133" s="30">
        <v>0.0</v>
      </c>
      <c r="BQ133" s="30">
        <v>0.0</v>
      </c>
      <c r="BR133" s="30">
        <v>0.0</v>
      </c>
      <c r="BS133" s="30">
        <v>0.0</v>
      </c>
      <c r="BT133" s="30">
        <v>0.0</v>
      </c>
      <c r="BU133" s="30">
        <v>0.0</v>
      </c>
      <c r="BV133" s="30">
        <v>0.0</v>
      </c>
      <c r="BW133" s="30">
        <v>0.0</v>
      </c>
      <c r="BX133" s="30">
        <v>0.0</v>
      </c>
      <c r="BY133" s="30">
        <v>6476.08</v>
      </c>
      <c r="BZ133" s="27">
        <v>0.0</v>
      </c>
      <c r="CA133" s="30">
        <v>0.0</v>
      </c>
      <c r="CB133" s="27">
        <v>0.0</v>
      </c>
      <c r="CC133" s="30">
        <v>0.0</v>
      </c>
      <c r="CD133" s="30">
        <v>0.0</v>
      </c>
      <c r="CE133" s="30">
        <v>0.0</v>
      </c>
      <c r="CF133" s="30">
        <v>0.0</v>
      </c>
      <c r="CG133" s="30">
        <v>0.0</v>
      </c>
      <c r="CH133" s="30">
        <v>12413.19</v>
      </c>
      <c r="CI133" s="30">
        <v>1619.11</v>
      </c>
      <c r="CJ133" s="30">
        <v>10794.08</v>
      </c>
      <c r="CK133" s="30">
        <v>2.66</v>
      </c>
      <c r="CL133" s="27">
        <v>0.0</v>
      </c>
      <c r="CM133" s="27">
        <v>0.0</v>
      </c>
      <c r="CN133" s="27">
        <v>0.0</v>
      </c>
      <c r="CO133" s="27">
        <v>100.0</v>
      </c>
      <c r="CP133" s="29"/>
      <c r="CQ133" s="27">
        <v>0.0</v>
      </c>
      <c r="CR133" s="27">
        <v>0.0</v>
      </c>
      <c r="CS133" s="27">
        <v>0.0</v>
      </c>
      <c r="CT133" s="27">
        <v>-6821.0</v>
      </c>
      <c r="CU133" s="29">
        <v>47361.0</v>
      </c>
      <c r="CV133" s="29">
        <v>47361.0</v>
      </c>
      <c r="CW133" s="27">
        <v>210373.0</v>
      </c>
      <c r="CX133" s="27" t="s">
        <v>122</v>
      </c>
      <c r="CY133" s="27" t="s">
        <v>123</v>
      </c>
      <c r="CZ133" s="30">
        <v>0.0</v>
      </c>
      <c r="DA133" s="30">
        <v>0.0</v>
      </c>
      <c r="DB133" s="30">
        <v>-2995.52</v>
      </c>
      <c r="DC133" s="30">
        <v>0.44</v>
      </c>
      <c r="DD133" s="30">
        <v>0.0</v>
      </c>
      <c r="DE133" s="30">
        <v>0.0</v>
      </c>
      <c r="DF133" s="27"/>
    </row>
    <row r="134" ht="13.5" customHeight="1">
      <c r="A134" s="27" t="s">
        <v>144</v>
      </c>
      <c r="B134" s="28">
        <v>43952.0</v>
      </c>
      <c r="C134" s="27" t="s">
        <v>109</v>
      </c>
      <c r="D134" s="27" t="s">
        <v>137</v>
      </c>
      <c r="E134" s="27" t="s">
        <v>138</v>
      </c>
      <c r="F134" s="27" t="s">
        <v>196</v>
      </c>
      <c r="G134" s="27" t="s">
        <v>140</v>
      </c>
      <c r="H134" s="27" t="s">
        <v>141</v>
      </c>
      <c r="I134" s="29">
        <v>43965.0</v>
      </c>
      <c r="J134" s="29">
        <v>43966.0</v>
      </c>
      <c r="K134" s="27">
        <f t="shared" si="1"/>
        <v>1</v>
      </c>
      <c r="L134" s="27">
        <v>1.0</v>
      </c>
      <c r="M134" s="27">
        <f t="shared" si="2"/>
        <v>0</v>
      </c>
      <c r="N134" s="29">
        <v>43979.0</v>
      </c>
      <c r="O134" s="29">
        <v>44009.0</v>
      </c>
      <c r="P134" s="27">
        <f t="shared" si="3"/>
        <v>30</v>
      </c>
      <c r="Q134" s="27">
        <v>90.0</v>
      </c>
      <c r="R134" s="27">
        <f t="shared" si="4"/>
        <v>-60</v>
      </c>
      <c r="S134" s="27" t="s">
        <v>460</v>
      </c>
      <c r="T134" s="27" t="s">
        <v>461</v>
      </c>
      <c r="U134" s="27" t="s">
        <v>117</v>
      </c>
      <c r="V134" s="27" t="s">
        <v>132</v>
      </c>
      <c r="W134" s="27" t="s">
        <v>119</v>
      </c>
      <c r="X134" s="27" t="s">
        <v>433</v>
      </c>
      <c r="Y134" s="27">
        <v>2024.0</v>
      </c>
      <c r="Z134" s="27" t="s">
        <v>135</v>
      </c>
      <c r="AA134" s="27">
        <v>2498.0</v>
      </c>
      <c r="AB134" s="27">
        <v>16.0</v>
      </c>
      <c r="AC134" s="27">
        <v>2.0</v>
      </c>
      <c r="AD134" s="30">
        <v>439391.0</v>
      </c>
      <c r="AE134" s="30">
        <v>54387.32</v>
      </c>
      <c r="AF134" s="31">
        <v>0.12</v>
      </c>
      <c r="AG134" s="30">
        <v>40504.16</v>
      </c>
      <c r="AH134" s="30">
        <v>2207.0</v>
      </c>
      <c r="AI134" s="27">
        <v>7.75</v>
      </c>
      <c r="AJ134" s="30">
        <v>158181.0</v>
      </c>
      <c r="AK134" s="27">
        <v>36.0</v>
      </c>
      <c r="AL134" s="29">
        <v>44009.0</v>
      </c>
      <c r="AM134" s="29">
        <v>45835.0</v>
      </c>
      <c r="AN134" s="27">
        <v>60.0</v>
      </c>
      <c r="AO134" s="27">
        <v>3500.0</v>
      </c>
      <c r="AP134" s="27">
        <v>210000.0</v>
      </c>
      <c r="AQ134" s="29">
        <v>46203.0</v>
      </c>
      <c r="AR134" s="27">
        <v>17931.0</v>
      </c>
      <c r="AS134" s="27">
        <v>22188.0</v>
      </c>
      <c r="AT134" s="27">
        <v>4257.0</v>
      </c>
      <c r="AU134" s="27">
        <v>21816.0</v>
      </c>
      <c r="AV134" s="27">
        <v>2182.0</v>
      </c>
      <c r="AW134" s="30">
        <v>7266.9</v>
      </c>
      <c r="AX134" s="30">
        <v>1540.0</v>
      </c>
      <c r="AY134" s="30">
        <v>125.0</v>
      </c>
      <c r="AZ134" s="30">
        <v>291.0</v>
      </c>
      <c r="BA134" s="30">
        <v>1553.61</v>
      </c>
      <c r="BB134" s="30">
        <v>10776.51</v>
      </c>
      <c r="BC134" s="30">
        <v>1616.48</v>
      </c>
      <c r="BD134" s="30">
        <v>12392.99</v>
      </c>
      <c r="BE134" s="29">
        <v>45748.0</v>
      </c>
      <c r="BF134" s="29">
        <v>45838.0</v>
      </c>
      <c r="BG134" s="27">
        <v>14464.0</v>
      </c>
      <c r="BH134" s="27">
        <v>22188.0</v>
      </c>
      <c r="BI134" s="27">
        <v>7724.0</v>
      </c>
      <c r="BJ134" s="27">
        <v>10500.0</v>
      </c>
      <c r="BK134" s="27">
        <v>-2776.0</v>
      </c>
      <c r="BL134" s="30">
        <v>0.51</v>
      </c>
      <c r="BM134" s="30">
        <v>1.34</v>
      </c>
      <c r="BN134" s="30">
        <v>0.0</v>
      </c>
      <c r="BO134" s="30">
        <v>0.0</v>
      </c>
      <c r="BP134" s="30">
        <v>0.0</v>
      </c>
      <c r="BQ134" s="30">
        <v>-183.22</v>
      </c>
      <c r="BR134" s="30">
        <v>0.0</v>
      </c>
      <c r="BS134" s="30">
        <v>0.0</v>
      </c>
      <c r="BT134" s="30">
        <v>0.0</v>
      </c>
      <c r="BU134" s="30">
        <v>0.0</v>
      </c>
      <c r="BV134" s="30">
        <v>0.0</v>
      </c>
      <c r="BW134" s="30">
        <v>0.0</v>
      </c>
      <c r="BX134" s="30">
        <v>0.0</v>
      </c>
      <c r="BY134" s="30">
        <v>7501.1</v>
      </c>
      <c r="BZ134" s="27">
        <v>0.0</v>
      </c>
      <c r="CA134" s="30">
        <v>0.0</v>
      </c>
      <c r="CB134" s="27">
        <v>0.0</v>
      </c>
      <c r="CC134" s="30">
        <v>0.0</v>
      </c>
      <c r="CD134" s="30">
        <v>0.0</v>
      </c>
      <c r="CE134" s="30">
        <v>0.0</v>
      </c>
      <c r="CF134" s="30">
        <v>0.0</v>
      </c>
      <c r="CG134" s="30">
        <v>0.0</v>
      </c>
      <c r="CH134" s="30">
        <v>10988.33</v>
      </c>
      <c r="CI134" s="30">
        <v>1433.26</v>
      </c>
      <c r="CJ134" s="30">
        <v>9555.07</v>
      </c>
      <c r="CK134" s="30">
        <v>2.24</v>
      </c>
      <c r="CL134" s="27">
        <v>0.0</v>
      </c>
      <c r="CM134" s="27">
        <v>0.0</v>
      </c>
      <c r="CN134" s="27">
        <v>0.0</v>
      </c>
      <c r="CO134" s="27">
        <v>100.0</v>
      </c>
      <c r="CP134" s="29"/>
      <c r="CQ134" s="27">
        <v>0.0</v>
      </c>
      <c r="CR134" s="27">
        <v>0.0</v>
      </c>
      <c r="CS134" s="27">
        <v>0.0</v>
      </c>
      <c r="CT134" s="27">
        <v>-16175.0</v>
      </c>
      <c r="CU134" s="29">
        <v>47361.0</v>
      </c>
      <c r="CV134" s="29">
        <v>47361.0</v>
      </c>
      <c r="CW134" s="27">
        <v>210372.0</v>
      </c>
      <c r="CX134" s="27" t="s">
        <v>122</v>
      </c>
      <c r="CY134" s="27" t="s">
        <v>123</v>
      </c>
      <c r="CZ134" s="30">
        <v>707.52</v>
      </c>
      <c r="DA134" s="30">
        <v>0.0</v>
      </c>
      <c r="DB134" s="30">
        <v>-7824.52</v>
      </c>
      <c r="DC134" s="30">
        <v>0.44</v>
      </c>
      <c r="DD134" s="30">
        <v>-1221.44</v>
      </c>
      <c r="DE134" s="30">
        <v>-1404.66</v>
      </c>
      <c r="DF134" s="27"/>
    </row>
    <row r="135" ht="13.5" customHeight="1">
      <c r="A135" s="27" t="s">
        <v>157</v>
      </c>
      <c r="B135" s="28">
        <v>43952.0</v>
      </c>
      <c r="C135" s="27" t="s">
        <v>124</v>
      </c>
      <c r="D135" s="27" t="s">
        <v>110</v>
      </c>
      <c r="E135" s="27" t="s">
        <v>111</v>
      </c>
      <c r="F135" s="27" t="s">
        <v>196</v>
      </c>
      <c r="G135" s="27" t="s">
        <v>140</v>
      </c>
      <c r="H135" s="27" t="s">
        <v>114</v>
      </c>
      <c r="I135" s="29">
        <v>43966.0</v>
      </c>
      <c r="J135" s="29">
        <v>43967.0</v>
      </c>
      <c r="K135" s="27">
        <f t="shared" si="1"/>
        <v>1</v>
      </c>
      <c r="L135" s="27">
        <v>1.0</v>
      </c>
      <c r="M135" s="27">
        <f t="shared" si="2"/>
        <v>0</v>
      </c>
      <c r="N135" s="29">
        <v>43980.0</v>
      </c>
      <c r="O135" s="29">
        <v>44010.0</v>
      </c>
      <c r="P135" s="27">
        <f t="shared" si="3"/>
        <v>30</v>
      </c>
      <c r="Q135" s="27">
        <v>90.0</v>
      </c>
      <c r="R135" s="27">
        <f t="shared" si="4"/>
        <v>-60</v>
      </c>
      <c r="S135" s="27" t="s">
        <v>462</v>
      </c>
      <c r="T135" s="27" t="s">
        <v>463</v>
      </c>
      <c r="U135" s="27" t="s">
        <v>117</v>
      </c>
      <c r="V135" s="27" t="s">
        <v>132</v>
      </c>
      <c r="W135" s="27" t="s">
        <v>119</v>
      </c>
      <c r="X135" s="27" t="s">
        <v>433</v>
      </c>
      <c r="Y135" s="27">
        <v>2024.0</v>
      </c>
      <c r="Z135" s="27" t="s">
        <v>135</v>
      </c>
      <c r="AA135" s="27">
        <v>2498.0</v>
      </c>
      <c r="AB135" s="27">
        <v>16.0</v>
      </c>
      <c r="AC135" s="27">
        <v>0.0</v>
      </c>
      <c r="AD135" s="30">
        <v>439391.0</v>
      </c>
      <c r="AE135" s="30">
        <v>54387.32</v>
      </c>
      <c r="AF135" s="31">
        <v>0.12</v>
      </c>
      <c r="AG135" s="30">
        <v>32579.35</v>
      </c>
      <c r="AH135" s="30">
        <v>2840.46</v>
      </c>
      <c r="AI135" s="27">
        <v>7.75</v>
      </c>
      <c r="AJ135" s="30">
        <v>158181.0</v>
      </c>
      <c r="AK135" s="27">
        <v>36.0</v>
      </c>
      <c r="AL135" s="29">
        <v>44010.0</v>
      </c>
      <c r="AM135" s="29">
        <v>45836.0</v>
      </c>
      <c r="AN135" s="27">
        <v>60.0</v>
      </c>
      <c r="AO135" s="27">
        <v>3500.0</v>
      </c>
      <c r="AP135" s="27">
        <v>210000.0</v>
      </c>
      <c r="AQ135" s="29">
        <v>46022.0</v>
      </c>
      <c r="AR135" s="27">
        <v>29291.0</v>
      </c>
      <c r="AS135" s="27">
        <v>32345.0</v>
      </c>
      <c r="AT135" s="27">
        <v>3054.0</v>
      </c>
      <c r="AU135" s="27">
        <v>31972.0</v>
      </c>
      <c r="AV135" s="27">
        <v>2907.0</v>
      </c>
      <c r="AW135" s="30">
        <v>7141.12</v>
      </c>
      <c r="AX135" s="30">
        <v>1540.0</v>
      </c>
      <c r="AY135" s="30">
        <v>125.0</v>
      </c>
      <c r="AZ135" s="30">
        <v>291.0</v>
      </c>
      <c r="BA135" s="30">
        <v>1553.61</v>
      </c>
      <c r="BB135" s="30">
        <v>10650.73</v>
      </c>
      <c r="BC135" s="30">
        <v>1597.61</v>
      </c>
      <c r="BD135" s="30">
        <v>12248.34</v>
      </c>
      <c r="BE135" s="29">
        <v>45748.0</v>
      </c>
      <c r="BF135" s="29">
        <v>45838.0</v>
      </c>
      <c r="BG135" s="27">
        <v>21861.0</v>
      </c>
      <c r="BH135" s="27">
        <v>32345.0</v>
      </c>
      <c r="BI135" s="27">
        <v>10484.0</v>
      </c>
      <c r="BJ135" s="27">
        <v>10500.0</v>
      </c>
      <c r="BK135" s="27">
        <v>-16.0</v>
      </c>
      <c r="BL135" s="30">
        <v>0.51</v>
      </c>
      <c r="BM135" s="30">
        <v>1.34</v>
      </c>
      <c r="BN135" s="30">
        <v>0.0</v>
      </c>
      <c r="BO135" s="30">
        <v>0.0</v>
      </c>
      <c r="BP135" s="30">
        <v>0.0</v>
      </c>
      <c r="BQ135" s="30">
        <v>0.0</v>
      </c>
      <c r="BR135" s="30">
        <v>0.0</v>
      </c>
      <c r="BS135" s="30">
        <v>0.0</v>
      </c>
      <c r="BT135" s="30">
        <v>0.0</v>
      </c>
      <c r="BU135" s="30">
        <v>0.0</v>
      </c>
      <c r="BV135" s="30">
        <v>0.0</v>
      </c>
      <c r="BW135" s="30">
        <v>0.0</v>
      </c>
      <c r="BX135" s="30">
        <v>0.0</v>
      </c>
      <c r="BY135" s="30">
        <v>6028.05</v>
      </c>
      <c r="BZ135" s="27">
        <v>0.0</v>
      </c>
      <c r="CA135" s="30">
        <v>2510.27</v>
      </c>
      <c r="CB135" s="27">
        <v>0.0</v>
      </c>
      <c r="CC135" s="30">
        <v>0.0</v>
      </c>
      <c r="CD135" s="30">
        <v>0.0</v>
      </c>
      <c r="CE135" s="30">
        <v>0.0</v>
      </c>
      <c r="CF135" s="30">
        <v>0.0</v>
      </c>
      <c r="CG135" s="30">
        <v>0.0</v>
      </c>
      <c r="CH135" s="30">
        <v>12248.34</v>
      </c>
      <c r="CI135" s="30">
        <v>1597.61</v>
      </c>
      <c r="CJ135" s="30">
        <v>10650.73</v>
      </c>
      <c r="CK135" s="30">
        <v>3.49</v>
      </c>
      <c r="CL135" s="27">
        <v>0.0</v>
      </c>
      <c r="CM135" s="27">
        <v>0.0</v>
      </c>
      <c r="CN135" s="27">
        <v>0.0</v>
      </c>
      <c r="CO135" s="27">
        <v>100.0</v>
      </c>
      <c r="CP135" s="29"/>
      <c r="CQ135" s="27">
        <v>0.0</v>
      </c>
      <c r="CR135" s="27">
        <v>0.0</v>
      </c>
      <c r="CS135" s="27">
        <v>0.0</v>
      </c>
      <c r="CT135" s="27">
        <v>-7448.0</v>
      </c>
      <c r="CU135" s="29">
        <v>47330.0</v>
      </c>
      <c r="CV135" s="29">
        <v>47330.0</v>
      </c>
      <c r="CW135" s="27">
        <v>210373.0</v>
      </c>
      <c r="CX135" s="27" t="s">
        <v>122</v>
      </c>
      <c r="CY135" s="27" t="s">
        <v>123</v>
      </c>
      <c r="CZ135" s="30">
        <v>3729.44</v>
      </c>
      <c r="DA135" s="30">
        <v>0.0</v>
      </c>
      <c r="DB135" s="30">
        <v>-6998.2</v>
      </c>
      <c r="DC135" s="30">
        <v>0.44</v>
      </c>
      <c r="DD135" s="30">
        <v>0.0</v>
      </c>
      <c r="DE135" s="30">
        <v>0.0</v>
      </c>
      <c r="DF135" s="27"/>
    </row>
    <row r="136" ht="13.5" customHeight="1">
      <c r="A136" s="27" t="s">
        <v>157</v>
      </c>
      <c r="B136" s="28">
        <v>43952.0</v>
      </c>
      <c r="C136" s="27" t="s">
        <v>136</v>
      </c>
      <c r="D136" s="27" t="s">
        <v>125</v>
      </c>
      <c r="E136" s="27" t="s">
        <v>126</v>
      </c>
      <c r="F136" s="27" t="s">
        <v>196</v>
      </c>
      <c r="G136" s="27" t="s">
        <v>140</v>
      </c>
      <c r="H136" s="27" t="s">
        <v>129</v>
      </c>
      <c r="I136" s="29">
        <v>43967.0</v>
      </c>
      <c r="J136" s="29">
        <v>43968.0</v>
      </c>
      <c r="K136" s="27">
        <f t="shared" si="1"/>
        <v>1</v>
      </c>
      <c r="L136" s="27">
        <v>1.0</v>
      </c>
      <c r="M136" s="27">
        <f t="shared" si="2"/>
        <v>0</v>
      </c>
      <c r="N136" s="29">
        <v>43981.0</v>
      </c>
      <c r="O136" s="29">
        <v>44011.0</v>
      </c>
      <c r="P136" s="27">
        <f t="shared" si="3"/>
        <v>30</v>
      </c>
      <c r="Q136" s="27">
        <v>90.0</v>
      </c>
      <c r="R136" s="27">
        <f t="shared" si="4"/>
        <v>-60</v>
      </c>
      <c r="S136" s="27" t="s">
        <v>464</v>
      </c>
      <c r="T136" s="27" t="s">
        <v>465</v>
      </c>
      <c r="U136" s="27" t="s">
        <v>117</v>
      </c>
      <c r="V136" s="27" t="s">
        <v>132</v>
      </c>
      <c r="W136" s="27" t="s">
        <v>119</v>
      </c>
      <c r="X136" s="27" t="s">
        <v>433</v>
      </c>
      <c r="Y136" s="27">
        <v>2024.0</v>
      </c>
      <c r="Z136" s="27" t="s">
        <v>135</v>
      </c>
      <c r="AA136" s="27">
        <v>2498.0</v>
      </c>
      <c r="AB136" s="27">
        <v>16.0</v>
      </c>
      <c r="AC136" s="27">
        <v>0.0</v>
      </c>
      <c r="AD136" s="30">
        <v>439391.0</v>
      </c>
      <c r="AE136" s="30">
        <v>54387.32</v>
      </c>
      <c r="AF136" s="31">
        <v>0.12</v>
      </c>
      <c r="AG136" s="30">
        <v>47033.12</v>
      </c>
      <c r="AH136" s="30">
        <v>2207.0</v>
      </c>
      <c r="AI136" s="27">
        <v>7.75</v>
      </c>
      <c r="AJ136" s="30">
        <v>158181.0</v>
      </c>
      <c r="AK136" s="27">
        <v>36.0</v>
      </c>
      <c r="AL136" s="29">
        <v>44011.0</v>
      </c>
      <c r="AM136" s="29">
        <v>45837.0</v>
      </c>
      <c r="AN136" s="27">
        <v>60.0</v>
      </c>
      <c r="AO136" s="27">
        <v>3000.0</v>
      </c>
      <c r="AP136" s="27">
        <v>180000.0</v>
      </c>
      <c r="AQ136" s="29">
        <v>46203.0</v>
      </c>
      <c r="AR136" s="27">
        <v>21281.0</v>
      </c>
      <c r="AS136" s="27">
        <v>23475.0</v>
      </c>
      <c r="AT136" s="27">
        <v>2194.0</v>
      </c>
      <c r="AU136" s="27">
        <v>23104.0</v>
      </c>
      <c r="AV136" s="27">
        <v>2310.0</v>
      </c>
      <c r="AW136" s="30">
        <v>7425.53</v>
      </c>
      <c r="AX136" s="30">
        <v>1380.0</v>
      </c>
      <c r="AY136" s="30">
        <v>125.0</v>
      </c>
      <c r="AZ136" s="30">
        <v>291.0</v>
      </c>
      <c r="BA136" s="30">
        <v>1553.61</v>
      </c>
      <c r="BB136" s="30">
        <v>10775.14</v>
      </c>
      <c r="BC136" s="30">
        <v>1616.27</v>
      </c>
      <c r="BD136" s="30">
        <v>12391.41</v>
      </c>
      <c r="BE136" s="29">
        <v>45748.0</v>
      </c>
      <c r="BF136" s="29">
        <v>45838.0</v>
      </c>
      <c r="BG136" s="27">
        <v>17568.0</v>
      </c>
      <c r="BH136" s="27">
        <v>23475.0</v>
      </c>
      <c r="BI136" s="27">
        <v>5907.0</v>
      </c>
      <c r="BJ136" s="27">
        <v>9000.0</v>
      </c>
      <c r="BK136" s="27">
        <v>-3093.0</v>
      </c>
      <c r="BL136" s="30">
        <v>0.53</v>
      </c>
      <c r="BM136" s="30">
        <v>1.56</v>
      </c>
      <c r="BN136" s="30">
        <v>0.0</v>
      </c>
      <c r="BO136" s="30">
        <v>0.0</v>
      </c>
      <c r="BP136" s="30">
        <v>0.0</v>
      </c>
      <c r="BQ136" s="30">
        <v>-213.42</v>
      </c>
      <c r="BR136" s="30">
        <v>0.0</v>
      </c>
      <c r="BS136" s="30">
        <v>0.0</v>
      </c>
      <c r="BT136" s="30">
        <v>0.0</v>
      </c>
      <c r="BU136" s="30">
        <v>0.0</v>
      </c>
      <c r="BV136" s="30">
        <v>0.0</v>
      </c>
      <c r="BW136" s="30">
        <v>0.0</v>
      </c>
      <c r="BX136" s="30">
        <v>0.0</v>
      </c>
      <c r="BY136" s="30">
        <v>5318.07</v>
      </c>
      <c r="BZ136" s="27">
        <v>0.0</v>
      </c>
      <c r="CA136" s="30">
        <v>0.0</v>
      </c>
      <c r="CB136" s="27">
        <v>0.0</v>
      </c>
      <c r="CC136" s="30">
        <v>0.0</v>
      </c>
      <c r="CD136" s="30">
        <v>0.0</v>
      </c>
      <c r="CE136" s="30">
        <v>0.0</v>
      </c>
      <c r="CF136" s="30">
        <v>0.0</v>
      </c>
      <c r="CG136" s="30">
        <v>0.0</v>
      </c>
      <c r="CH136" s="30">
        <v>10755.21</v>
      </c>
      <c r="CI136" s="30">
        <v>1402.85</v>
      </c>
      <c r="CJ136" s="30">
        <v>9352.36</v>
      </c>
      <c r="CK136" s="30">
        <v>4.26</v>
      </c>
      <c r="CL136" s="27">
        <v>0.0</v>
      </c>
      <c r="CM136" s="27">
        <v>0.0</v>
      </c>
      <c r="CN136" s="27">
        <v>0.0</v>
      </c>
      <c r="CO136" s="27">
        <v>100.0</v>
      </c>
      <c r="CP136" s="29"/>
      <c r="CQ136" s="27">
        <v>0.0</v>
      </c>
      <c r="CR136" s="27">
        <v>0.0</v>
      </c>
      <c r="CS136" s="27">
        <v>0.0</v>
      </c>
      <c r="CT136" s="27">
        <v>-9460.0</v>
      </c>
      <c r="CU136" s="29">
        <v>47361.0</v>
      </c>
      <c r="CV136" s="29">
        <v>47361.0</v>
      </c>
      <c r="CW136" s="27">
        <v>180371.0</v>
      </c>
      <c r="CX136" s="27" t="s">
        <v>122</v>
      </c>
      <c r="CY136" s="27" t="s">
        <v>123</v>
      </c>
      <c r="CZ136" s="30">
        <v>1735.58</v>
      </c>
      <c r="DA136" s="30">
        <v>0.0</v>
      </c>
      <c r="DB136" s="30">
        <v>-6033.36</v>
      </c>
      <c r="DC136" s="30">
        <v>0.46</v>
      </c>
      <c r="DD136" s="30">
        <v>-1422.78</v>
      </c>
      <c r="DE136" s="30">
        <v>-1636.2</v>
      </c>
      <c r="DF136" s="27"/>
    </row>
    <row r="137" ht="13.5" customHeight="1">
      <c r="A137" s="27" t="s">
        <v>157</v>
      </c>
      <c r="B137" s="28">
        <v>43952.0</v>
      </c>
      <c r="C137" s="27" t="s">
        <v>109</v>
      </c>
      <c r="D137" s="27" t="s">
        <v>137</v>
      </c>
      <c r="E137" s="27" t="s">
        <v>138</v>
      </c>
      <c r="F137" s="27" t="s">
        <v>196</v>
      </c>
      <c r="G137" s="27" t="s">
        <v>140</v>
      </c>
      <c r="H137" s="27" t="s">
        <v>141</v>
      </c>
      <c r="I137" s="29">
        <v>43968.0</v>
      </c>
      <c r="J137" s="29">
        <v>43969.0</v>
      </c>
      <c r="K137" s="27">
        <f t="shared" si="1"/>
        <v>1</v>
      </c>
      <c r="L137" s="27">
        <v>1.0</v>
      </c>
      <c r="M137" s="27">
        <f t="shared" si="2"/>
        <v>0</v>
      </c>
      <c r="N137" s="29">
        <v>43982.0</v>
      </c>
      <c r="O137" s="29">
        <v>44012.0</v>
      </c>
      <c r="P137" s="27">
        <f t="shared" si="3"/>
        <v>30</v>
      </c>
      <c r="Q137" s="27">
        <v>90.0</v>
      </c>
      <c r="R137" s="27">
        <f t="shared" si="4"/>
        <v>-60</v>
      </c>
      <c r="S137" s="27" t="s">
        <v>466</v>
      </c>
      <c r="T137" s="27" t="s">
        <v>467</v>
      </c>
      <c r="U137" s="27" t="s">
        <v>117</v>
      </c>
      <c r="V137" s="27" t="s">
        <v>132</v>
      </c>
      <c r="W137" s="27" t="s">
        <v>119</v>
      </c>
      <c r="X137" s="27" t="s">
        <v>433</v>
      </c>
      <c r="Y137" s="27">
        <v>2024.0</v>
      </c>
      <c r="Z137" s="27" t="s">
        <v>135</v>
      </c>
      <c r="AA137" s="27">
        <v>2498.0</v>
      </c>
      <c r="AB137" s="27">
        <v>16.0</v>
      </c>
      <c r="AC137" s="27">
        <v>0.0</v>
      </c>
      <c r="AD137" s="30">
        <v>439391.0</v>
      </c>
      <c r="AE137" s="30">
        <v>54387.32</v>
      </c>
      <c r="AF137" s="31">
        <v>0.12</v>
      </c>
      <c r="AG137" s="30">
        <v>33069.61</v>
      </c>
      <c r="AH137" s="30">
        <v>2124.0</v>
      </c>
      <c r="AI137" s="27">
        <v>7.75</v>
      </c>
      <c r="AJ137" s="30">
        <v>158181.0</v>
      </c>
      <c r="AK137" s="27">
        <v>36.0</v>
      </c>
      <c r="AL137" s="29">
        <v>44012.0</v>
      </c>
      <c r="AM137" s="29">
        <v>45838.0</v>
      </c>
      <c r="AN137" s="27">
        <v>60.0</v>
      </c>
      <c r="AO137" s="27">
        <v>3000.0</v>
      </c>
      <c r="AP137" s="27">
        <v>180000.0</v>
      </c>
      <c r="AQ137" s="29">
        <v>46203.0</v>
      </c>
      <c r="AR137" s="27">
        <v>27625.0</v>
      </c>
      <c r="AS137" s="27">
        <v>31323.0</v>
      </c>
      <c r="AT137" s="27">
        <v>3698.0</v>
      </c>
      <c r="AU137" s="27">
        <v>30765.0</v>
      </c>
      <c r="AV137" s="27">
        <v>2797.0</v>
      </c>
      <c r="AW137" s="30">
        <v>7136.47</v>
      </c>
      <c r="AX137" s="30">
        <v>1380.0</v>
      </c>
      <c r="AY137" s="30">
        <v>125.0</v>
      </c>
      <c r="AZ137" s="30">
        <v>291.0</v>
      </c>
      <c r="BA137" s="30">
        <v>1553.61</v>
      </c>
      <c r="BB137" s="30">
        <v>10486.08</v>
      </c>
      <c r="BC137" s="30">
        <v>1572.91</v>
      </c>
      <c r="BD137" s="30">
        <v>12058.99</v>
      </c>
      <c r="BE137" s="29">
        <v>45748.0</v>
      </c>
      <c r="BF137" s="29">
        <v>45838.0</v>
      </c>
      <c r="BG137" s="27">
        <v>23090.0</v>
      </c>
      <c r="BH137" s="27">
        <v>31323.0</v>
      </c>
      <c r="BI137" s="27">
        <v>8233.0</v>
      </c>
      <c r="BJ137" s="27">
        <v>9000.0</v>
      </c>
      <c r="BK137" s="27">
        <v>-767.0</v>
      </c>
      <c r="BL137" s="30">
        <v>0.53</v>
      </c>
      <c r="BM137" s="30">
        <v>1.56</v>
      </c>
      <c r="BN137" s="30">
        <v>0.0</v>
      </c>
      <c r="BO137" s="30">
        <v>0.0</v>
      </c>
      <c r="BP137" s="30">
        <v>0.0</v>
      </c>
      <c r="BQ137" s="30">
        <v>-52.92</v>
      </c>
      <c r="BR137" s="30">
        <v>0.0</v>
      </c>
      <c r="BS137" s="30">
        <v>0.0</v>
      </c>
      <c r="BT137" s="30">
        <v>0.0</v>
      </c>
      <c r="BU137" s="30">
        <v>0.0</v>
      </c>
      <c r="BV137" s="30">
        <v>0.0</v>
      </c>
      <c r="BW137" s="30">
        <v>0.0</v>
      </c>
      <c r="BX137" s="30">
        <v>0.0</v>
      </c>
      <c r="BY137" s="30">
        <v>6701.3</v>
      </c>
      <c r="BZ137" s="27">
        <v>0.0</v>
      </c>
      <c r="CA137" s="30">
        <v>1468.53</v>
      </c>
      <c r="CB137" s="27">
        <v>0.0</v>
      </c>
      <c r="CC137" s="30">
        <v>0.0</v>
      </c>
      <c r="CD137" s="30">
        <v>0.0</v>
      </c>
      <c r="CE137" s="30">
        <v>0.0</v>
      </c>
      <c r="CF137" s="30">
        <v>0.0</v>
      </c>
      <c r="CG137" s="30">
        <v>0.0</v>
      </c>
      <c r="CH137" s="30">
        <v>11653.25</v>
      </c>
      <c r="CI137" s="30">
        <v>1519.99</v>
      </c>
      <c r="CJ137" s="30">
        <v>10133.26</v>
      </c>
      <c r="CK137" s="30">
        <v>2.74</v>
      </c>
      <c r="CL137" s="27">
        <v>0.0</v>
      </c>
      <c r="CM137" s="27">
        <v>0.0</v>
      </c>
      <c r="CN137" s="27">
        <v>0.0</v>
      </c>
      <c r="CO137" s="27">
        <v>100.0</v>
      </c>
      <c r="CP137" s="29"/>
      <c r="CQ137" s="27">
        <v>0.0</v>
      </c>
      <c r="CR137" s="27">
        <v>0.0</v>
      </c>
      <c r="CS137" s="27">
        <v>0.0</v>
      </c>
      <c r="CT137" s="27">
        <v>-3024.0</v>
      </c>
      <c r="CU137" s="29">
        <v>47330.0</v>
      </c>
      <c r="CV137" s="29">
        <v>47330.0</v>
      </c>
      <c r="CW137" s="27">
        <v>180558.0</v>
      </c>
      <c r="CX137" s="27" t="s">
        <v>122</v>
      </c>
      <c r="CY137" s="27" t="s">
        <v>123</v>
      </c>
      <c r="CZ137" s="30">
        <v>447.85</v>
      </c>
      <c r="DA137" s="30">
        <v>1318.2</v>
      </c>
      <c r="DB137" s="30">
        <v>-1778.63</v>
      </c>
      <c r="DC137" s="30">
        <v>0.46</v>
      </c>
      <c r="DD137" s="30">
        <v>-352.82</v>
      </c>
      <c r="DE137" s="30">
        <v>-405.74</v>
      </c>
      <c r="DF137" s="27"/>
    </row>
    <row r="138" ht="13.5" customHeight="1">
      <c r="A138" s="27" t="s">
        <v>157</v>
      </c>
      <c r="B138" s="28">
        <v>43952.0</v>
      </c>
      <c r="C138" s="27" t="s">
        <v>124</v>
      </c>
      <c r="D138" s="27" t="s">
        <v>110</v>
      </c>
      <c r="E138" s="27" t="s">
        <v>111</v>
      </c>
      <c r="F138" s="27" t="s">
        <v>196</v>
      </c>
      <c r="G138" s="27" t="s">
        <v>140</v>
      </c>
      <c r="H138" s="27" t="s">
        <v>114</v>
      </c>
      <c r="I138" s="29">
        <v>43969.0</v>
      </c>
      <c r="J138" s="29">
        <v>43970.0</v>
      </c>
      <c r="K138" s="27">
        <f t="shared" si="1"/>
        <v>1</v>
      </c>
      <c r="L138" s="27">
        <v>1.0</v>
      </c>
      <c r="M138" s="27">
        <f t="shared" si="2"/>
        <v>0</v>
      </c>
      <c r="N138" s="29">
        <v>43973.0</v>
      </c>
      <c r="O138" s="29">
        <v>44105.0</v>
      </c>
      <c r="P138" s="27">
        <f t="shared" si="3"/>
        <v>132</v>
      </c>
      <c r="Q138" s="27">
        <v>90.0</v>
      </c>
      <c r="R138" s="27">
        <f t="shared" si="4"/>
        <v>42</v>
      </c>
      <c r="S138" s="27" t="s">
        <v>468</v>
      </c>
      <c r="T138" s="27" t="s">
        <v>469</v>
      </c>
      <c r="U138" s="27" t="s">
        <v>117</v>
      </c>
      <c r="V138" s="27" t="s">
        <v>132</v>
      </c>
      <c r="W138" s="27" t="s">
        <v>119</v>
      </c>
      <c r="X138" s="27" t="s">
        <v>433</v>
      </c>
      <c r="Y138" s="27">
        <v>2024.0</v>
      </c>
      <c r="Z138" s="27" t="s">
        <v>135</v>
      </c>
      <c r="AA138" s="27">
        <v>2498.0</v>
      </c>
      <c r="AB138" s="27">
        <v>16.0</v>
      </c>
      <c r="AC138" s="27">
        <v>4.0</v>
      </c>
      <c r="AD138" s="30">
        <v>439391.0</v>
      </c>
      <c r="AE138" s="30">
        <v>54387.32</v>
      </c>
      <c r="AF138" s="31">
        <v>0.12</v>
      </c>
      <c r="AG138" s="30">
        <v>40544.35</v>
      </c>
      <c r="AH138" s="30">
        <v>2207.0</v>
      </c>
      <c r="AI138" s="27">
        <v>7.75</v>
      </c>
      <c r="AJ138" s="30">
        <v>158181.0</v>
      </c>
      <c r="AK138" s="27">
        <v>36.0</v>
      </c>
      <c r="AL138" s="29">
        <v>44105.0</v>
      </c>
      <c r="AM138" s="29">
        <v>45931.0</v>
      </c>
      <c r="AN138" s="27">
        <v>60.0</v>
      </c>
      <c r="AO138" s="27">
        <v>3500.0</v>
      </c>
      <c r="AP138" s="27">
        <v>210000.0</v>
      </c>
      <c r="AQ138" s="29">
        <v>46203.0</v>
      </c>
      <c r="AR138" s="27">
        <v>30689.0</v>
      </c>
      <c r="AS138" s="27">
        <v>34426.0</v>
      </c>
      <c r="AT138" s="27">
        <v>3737.0</v>
      </c>
      <c r="AU138" s="27">
        <v>34055.0</v>
      </c>
      <c r="AV138" s="27">
        <v>3406.0</v>
      </c>
      <c r="AW138" s="30">
        <v>7291.38</v>
      </c>
      <c r="AX138" s="30">
        <v>1540.0</v>
      </c>
      <c r="AY138" s="30">
        <v>125.0</v>
      </c>
      <c r="AZ138" s="30">
        <v>291.0</v>
      </c>
      <c r="BA138" s="30">
        <v>1553.61</v>
      </c>
      <c r="BB138" s="30">
        <v>10800.99</v>
      </c>
      <c r="BC138" s="30">
        <v>1620.15</v>
      </c>
      <c r="BD138" s="30">
        <v>12421.14</v>
      </c>
      <c r="BE138" s="29">
        <v>45748.0</v>
      </c>
      <c r="BF138" s="29">
        <v>45838.0</v>
      </c>
      <c r="BG138" s="27">
        <v>25001.0</v>
      </c>
      <c r="BH138" s="27">
        <v>34426.0</v>
      </c>
      <c r="BI138" s="27">
        <v>9425.0</v>
      </c>
      <c r="BJ138" s="27">
        <v>10500.0</v>
      </c>
      <c r="BK138" s="27">
        <v>-1075.0</v>
      </c>
      <c r="BL138" s="30">
        <v>0.51</v>
      </c>
      <c r="BM138" s="30">
        <v>1.34</v>
      </c>
      <c r="BN138" s="30">
        <v>0.0</v>
      </c>
      <c r="BO138" s="30">
        <v>0.0</v>
      </c>
      <c r="BP138" s="30">
        <v>0.0</v>
      </c>
      <c r="BQ138" s="30">
        <v>-70.95</v>
      </c>
      <c r="BR138" s="30">
        <v>0.0</v>
      </c>
      <c r="BS138" s="30">
        <v>0.0</v>
      </c>
      <c r="BT138" s="30">
        <v>0.0</v>
      </c>
      <c r="BU138" s="30">
        <v>0.0</v>
      </c>
      <c r="BV138" s="30">
        <v>0.0</v>
      </c>
      <c r="BW138" s="30">
        <v>0.0</v>
      </c>
      <c r="BX138" s="30">
        <v>0.0</v>
      </c>
      <c r="BY138" s="30">
        <v>9940.99</v>
      </c>
      <c r="BZ138" s="27">
        <v>0.0</v>
      </c>
      <c r="CA138" s="30">
        <v>0.0</v>
      </c>
      <c r="CB138" s="27">
        <v>0.0</v>
      </c>
      <c r="CC138" s="30">
        <v>0.0</v>
      </c>
      <c r="CD138" s="30">
        <v>0.0</v>
      </c>
      <c r="CE138" s="30">
        <v>0.0</v>
      </c>
      <c r="CF138" s="30">
        <v>0.0</v>
      </c>
      <c r="CG138" s="30">
        <v>0.0</v>
      </c>
      <c r="CH138" s="30">
        <v>11877.19</v>
      </c>
      <c r="CI138" s="30">
        <v>1549.2</v>
      </c>
      <c r="CJ138" s="30">
        <v>10327.99</v>
      </c>
      <c r="CK138" s="30">
        <v>2.76</v>
      </c>
      <c r="CL138" s="27">
        <v>0.0</v>
      </c>
      <c r="CM138" s="27">
        <v>0.0</v>
      </c>
      <c r="CN138" s="27">
        <v>0.0</v>
      </c>
      <c r="CO138" s="27">
        <v>100.0</v>
      </c>
      <c r="CP138" s="29"/>
      <c r="CQ138" s="27">
        <v>0.0</v>
      </c>
      <c r="CR138" s="27">
        <v>0.0</v>
      </c>
      <c r="CS138" s="27">
        <v>0.0</v>
      </c>
      <c r="CT138" s="27">
        <v>-3936.0</v>
      </c>
      <c r="CU138" s="29">
        <v>47361.0</v>
      </c>
      <c r="CV138" s="29">
        <v>47361.0</v>
      </c>
      <c r="CW138" s="27">
        <v>210371.0</v>
      </c>
      <c r="CX138" s="27" t="s">
        <v>122</v>
      </c>
      <c r="CY138" s="27" t="s">
        <v>123</v>
      </c>
      <c r="CZ138" s="30">
        <v>3059.35</v>
      </c>
      <c r="DA138" s="30">
        <v>3731.9</v>
      </c>
      <c r="DB138" s="30">
        <v>-4658.61</v>
      </c>
      <c r="DC138" s="30">
        <v>0.44</v>
      </c>
      <c r="DD138" s="30">
        <v>-473.0</v>
      </c>
      <c r="DE138" s="30">
        <v>-543.95</v>
      </c>
      <c r="DF138" s="27"/>
    </row>
    <row r="139" ht="13.5" customHeight="1">
      <c r="A139" s="27" t="s">
        <v>157</v>
      </c>
      <c r="B139" s="28">
        <v>43952.0</v>
      </c>
      <c r="C139" s="27" t="s">
        <v>136</v>
      </c>
      <c r="D139" s="27" t="s">
        <v>125</v>
      </c>
      <c r="E139" s="27" t="s">
        <v>126</v>
      </c>
      <c r="F139" s="27" t="s">
        <v>196</v>
      </c>
      <c r="G139" s="27" t="s">
        <v>140</v>
      </c>
      <c r="H139" s="27" t="s">
        <v>129</v>
      </c>
      <c r="I139" s="29">
        <v>43970.0</v>
      </c>
      <c r="J139" s="29">
        <v>43971.0</v>
      </c>
      <c r="K139" s="27">
        <f t="shared" si="1"/>
        <v>1</v>
      </c>
      <c r="L139" s="27">
        <v>1.0</v>
      </c>
      <c r="M139" s="27">
        <f t="shared" si="2"/>
        <v>0</v>
      </c>
      <c r="N139" s="29">
        <v>43974.0</v>
      </c>
      <c r="O139" s="29">
        <v>44014.0</v>
      </c>
      <c r="P139" s="27">
        <f t="shared" si="3"/>
        <v>40</v>
      </c>
      <c r="Q139" s="27">
        <v>90.0</v>
      </c>
      <c r="R139" s="27">
        <f t="shared" si="4"/>
        <v>-50</v>
      </c>
      <c r="S139" s="27" t="s">
        <v>470</v>
      </c>
      <c r="T139" s="27" t="s">
        <v>471</v>
      </c>
      <c r="U139" s="27" t="s">
        <v>117</v>
      </c>
      <c r="V139" s="27" t="s">
        <v>132</v>
      </c>
      <c r="W139" s="27" t="s">
        <v>119</v>
      </c>
      <c r="X139" s="27" t="s">
        <v>433</v>
      </c>
      <c r="Y139" s="27">
        <v>2024.0</v>
      </c>
      <c r="Z139" s="27" t="s">
        <v>135</v>
      </c>
      <c r="AA139" s="27">
        <v>2498.0</v>
      </c>
      <c r="AB139" s="27">
        <v>16.0</v>
      </c>
      <c r="AC139" s="27">
        <v>5.0</v>
      </c>
      <c r="AD139" s="30">
        <v>439391.0</v>
      </c>
      <c r="AE139" s="30">
        <v>54387.32</v>
      </c>
      <c r="AF139" s="31">
        <v>0.12</v>
      </c>
      <c r="AG139" s="30">
        <v>40471.72</v>
      </c>
      <c r="AH139" s="30">
        <v>2207.0</v>
      </c>
      <c r="AI139" s="27">
        <v>7.75</v>
      </c>
      <c r="AJ139" s="30">
        <v>158181.0</v>
      </c>
      <c r="AK139" s="27">
        <v>36.0</v>
      </c>
      <c r="AL139" s="29">
        <v>44014.0</v>
      </c>
      <c r="AM139" s="29">
        <v>45840.0</v>
      </c>
      <c r="AN139" s="27">
        <v>60.0</v>
      </c>
      <c r="AO139" s="27">
        <v>3500.0</v>
      </c>
      <c r="AP139" s="27">
        <v>210000.0</v>
      </c>
      <c r="AQ139" s="29">
        <v>46203.0</v>
      </c>
      <c r="AR139" s="27">
        <v>30981.0</v>
      </c>
      <c r="AS139" s="27">
        <v>32403.0</v>
      </c>
      <c r="AT139" s="27">
        <v>1422.0</v>
      </c>
      <c r="AU139" s="27">
        <v>32029.0</v>
      </c>
      <c r="AV139" s="27">
        <v>3203.0</v>
      </c>
      <c r="AW139" s="30">
        <v>7289.88</v>
      </c>
      <c r="AX139" s="30">
        <v>1540.0</v>
      </c>
      <c r="AY139" s="30">
        <v>125.0</v>
      </c>
      <c r="AZ139" s="30">
        <v>291.0</v>
      </c>
      <c r="BA139" s="30">
        <v>1553.61</v>
      </c>
      <c r="BB139" s="30">
        <v>10799.49</v>
      </c>
      <c r="BC139" s="30">
        <v>1619.92</v>
      </c>
      <c r="BD139" s="30">
        <v>12419.41</v>
      </c>
      <c r="BE139" s="29">
        <v>45748.0</v>
      </c>
      <c r="BF139" s="29">
        <v>45838.0</v>
      </c>
      <c r="BG139" s="27">
        <v>26071.0</v>
      </c>
      <c r="BH139" s="27">
        <v>32403.0</v>
      </c>
      <c r="BI139" s="27">
        <v>6332.0</v>
      </c>
      <c r="BJ139" s="27">
        <v>10500.0</v>
      </c>
      <c r="BK139" s="27">
        <v>-4168.0</v>
      </c>
      <c r="BL139" s="30">
        <v>0.51</v>
      </c>
      <c r="BM139" s="30">
        <v>1.34</v>
      </c>
      <c r="BN139" s="30">
        <v>0.0</v>
      </c>
      <c r="BO139" s="30">
        <v>0.0</v>
      </c>
      <c r="BP139" s="30">
        <v>0.0</v>
      </c>
      <c r="BQ139" s="30">
        <v>-275.09</v>
      </c>
      <c r="BR139" s="30">
        <v>0.0</v>
      </c>
      <c r="BS139" s="30">
        <v>0.0</v>
      </c>
      <c r="BT139" s="30">
        <v>0.0</v>
      </c>
      <c r="BU139" s="30">
        <v>0.0</v>
      </c>
      <c r="BV139" s="30">
        <v>0.0</v>
      </c>
      <c r="BW139" s="30">
        <v>0.0</v>
      </c>
      <c r="BX139" s="30">
        <v>0.0</v>
      </c>
      <c r="BY139" s="30">
        <v>3037.35</v>
      </c>
      <c r="BZ139" s="27">
        <v>0.0</v>
      </c>
      <c r="CA139" s="30">
        <v>0.0</v>
      </c>
      <c r="CB139" s="27">
        <v>0.0</v>
      </c>
      <c r="CC139" s="30">
        <v>0.0</v>
      </c>
      <c r="CD139" s="30">
        <v>0.0</v>
      </c>
      <c r="CE139" s="30">
        <v>0.0</v>
      </c>
      <c r="CF139" s="30">
        <v>0.0</v>
      </c>
      <c r="CG139" s="30">
        <v>0.0</v>
      </c>
      <c r="CH139" s="30">
        <v>10310.4</v>
      </c>
      <c r="CI139" s="30">
        <v>1344.83</v>
      </c>
      <c r="CJ139" s="30">
        <v>8965.57</v>
      </c>
      <c r="CK139" s="30">
        <v>6.3</v>
      </c>
      <c r="CL139" s="27">
        <v>0.0</v>
      </c>
      <c r="CM139" s="27">
        <v>0.0</v>
      </c>
      <c r="CN139" s="27">
        <v>0.0</v>
      </c>
      <c r="CO139" s="27">
        <v>100.0</v>
      </c>
      <c r="CP139" s="29"/>
      <c r="CQ139" s="27">
        <v>0.0</v>
      </c>
      <c r="CR139" s="27">
        <v>0.0</v>
      </c>
      <c r="CS139" s="27">
        <v>0.0</v>
      </c>
      <c r="CT139" s="27">
        <v>-5962.0</v>
      </c>
      <c r="CU139" s="29">
        <v>47361.0</v>
      </c>
      <c r="CV139" s="29">
        <v>47361.0</v>
      </c>
      <c r="CW139" s="27">
        <v>210374.0</v>
      </c>
      <c r="CX139" s="27" t="s">
        <v>122</v>
      </c>
      <c r="CY139" s="27" t="s">
        <v>123</v>
      </c>
      <c r="CZ139" s="30">
        <v>3635.2</v>
      </c>
      <c r="DA139" s="30">
        <v>8935.12</v>
      </c>
      <c r="DB139" s="30">
        <v>-6036.16</v>
      </c>
      <c r="DC139" s="30">
        <v>0.44</v>
      </c>
      <c r="DD139" s="30">
        <v>-1833.92</v>
      </c>
      <c r="DE139" s="30">
        <v>-2109.01</v>
      </c>
      <c r="DF139" s="27"/>
    </row>
    <row r="140" ht="13.5" customHeight="1">
      <c r="A140" s="27" t="s">
        <v>175</v>
      </c>
      <c r="B140" s="28">
        <v>43952.0</v>
      </c>
      <c r="C140" s="27" t="s">
        <v>109</v>
      </c>
      <c r="D140" s="27" t="s">
        <v>110</v>
      </c>
      <c r="E140" s="27" t="s">
        <v>111</v>
      </c>
      <c r="F140" s="27" t="s">
        <v>196</v>
      </c>
      <c r="G140" s="27" t="s">
        <v>140</v>
      </c>
      <c r="H140" s="27" t="s">
        <v>141</v>
      </c>
      <c r="I140" s="29">
        <v>43971.0</v>
      </c>
      <c r="J140" s="29">
        <v>43972.0</v>
      </c>
      <c r="K140" s="27">
        <f t="shared" si="1"/>
        <v>1</v>
      </c>
      <c r="L140" s="27">
        <v>1.0</v>
      </c>
      <c r="M140" s="27">
        <f t="shared" si="2"/>
        <v>0</v>
      </c>
      <c r="N140" s="29">
        <v>43975.0</v>
      </c>
      <c r="O140" s="29">
        <v>44015.0</v>
      </c>
      <c r="P140" s="27">
        <f t="shared" si="3"/>
        <v>40</v>
      </c>
      <c r="Q140" s="27">
        <v>90.0</v>
      </c>
      <c r="R140" s="27">
        <f t="shared" si="4"/>
        <v>-50</v>
      </c>
      <c r="S140" s="27" t="s">
        <v>472</v>
      </c>
      <c r="T140" s="27" t="s">
        <v>473</v>
      </c>
      <c r="U140" s="27" t="s">
        <v>117</v>
      </c>
      <c r="V140" s="27" t="s">
        <v>147</v>
      </c>
      <c r="W140" s="27" t="s">
        <v>182</v>
      </c>
      <c r="X140" s="27" t="s">
        <v>259</v>
      </c>
      <c r="Y140" s="27">
        <v>2024.0</v>
      </c>
      <c r="Z140" s="27" t="s">
        <v>135</v>
      </c>
      <c r="AA140" s="27">
        <v>1998.0</v>
      </c>
      <c r="AB140" s="27">
        <v>16.0</v>
      </c>
      <c r="AC140" s="27">
        <v>0.0</v>
      </c>
      <c r="AD140" s="30">
        <v>453264.78</v>
      </c>
      <c r="AE140" s="30">
        <v>19222.07</v>
      </c>
      <c r="AF140" s="31">
        <v>0.04</v>
      </c>
      <c r="AG140" s="30">
        <v>51869.59</v>
      </c>
      <c r="AH140" s="30">
        <v>2448.0</v>
      </c>
      <c r="AI140" s="27">
        <v>7.75</v>
      </c>
      <c r="AJ140" s="30">
        <v>234700.0</v>
      </c>
      <c r="AK140" s="27">
        <v>51.78</v>
      </c>
      <c r="AL140" s="29">
        <v>44015.0</v>
      </c>
      <c r="AM140" s="29">
        <v>45841.0</v>
      </c>
      <c r="AN140" s="27">
        <v>60.0</v>
      </c>
      <c r="AO140" s="27">
        <v>3500.0</v>
      </c>
      <c r="AP140" s="27">
        <v>210000.0</v>
      </c>
      <c r="AQ140" s="29">
        <v>46203.0</v>
      </c>
      <c r="AR140" s="27">
        <v>22356.0</v>
      </c>
      <c r="AS140" s="27">
        <v>24633.0</v>
      </c>
      <c r="AT140" s="27">
        <v>2277.0</v>
      </c>
      <c r="AU140" s="27">
        <v>24134.0</v>
      </c>
      <c r="AV140" s="27">
        <v>2413.0</v>
      </c>
      <c r="AW140" s="30">
        <v>7412.53</v>
      </c>
      <c r="AX140" s="30">
        <v>1995.0</v>
      </c>
      <c r="AY140" s="30">
        <v>125.0</v>
      </c>
      <c r="AZ140" s="30">
        <v>291.0</v>
      </c>
      <c r="BA140" s="30">
        <v>1522.99</v>
      </c>
      <c r="BB140" s="30">
        <v>11346.52</v>
      </c>
      <c r="BC140" s="30">
        <v>1701.98</v>
      </c>
      <c r="BD140" s="30">
        <v>13048.5</v>
      </c>
      <c r="BE140" s="29">
        <v>45748.0</v>
      </c>
      <c r="BF140" s="29">
        <v>45838.0</v>
      </c>
      <c r="BG140" s="27">
        <v>17307.0</v>
      </c>
      <c r="BH140" s="27">
        <v>24633.0</v>
      </c>
      <c r="BI140" s="27">
        <v>7326.0</v>
      </c>
      <c r="BJ140" s="27">
        <v>10500.0</v>
      </c>
      <c r="BK140" s="27">
        <v>-3174.0</v>
      </c>
      <c r="BL140" s="30">
        <v>0.66</v>
      </c>
      <c r="BM140" s="30">
        <v>1.04</v>
      </c>
      <c r="BN140" s="30">
        <v>0.0</v>
      </c>
      <c r="BO140" s="30">
        <v>0.0</v>
      </c>
      <c r="BP140" s="30">
        <v>0.0</v>
      </c>
      <c r="BQ140" s="30">
        <v>-271.38</v>
      </c>
      <c r="BR140" s="30">
        <v>0.0</v>
      </c>
      <c r="BS140" s="30">
        <v>0.0</v>
      </c>
      <c r="BT140" s="30">
        <v>0.0</v>
      </c>
      <c r="BU140" s="30">
        <v>0.0</v>
      </c>
      <c r="BV140" s="30">
        <v>0.0</v>
      </c>
      <c r="BW140" s="30">
        <v>0.0</v>
      </c>
      <c r="BX140" s="30">
        <v>0.0</v>
      </c>
      <c r="BY140" s="30">
        <v>4287.04</v>
      </c>
      <c r="BZ140" s="27">
        <v>0.0</v>
      </c>
      <c r="CA140" s="30">
        <v>0.0</v>
      </c>
      <c r="CB140" s="27">
        <v>0.0</v>
      </c>
      <c r="CC140" s="30">
        <v>0.0</v>
      </c>
      <c r="CD140" s="30">
        <v>0.0</v>
      </c>
      <c r="CE140" s="30">
        <v>0.0</v>
      </c>
      <c r="CF140" s="30">
        <v>0.0</v>
      </c>
      <c r="CG140" s="30">
        <v>0.0</v>
      </c>
      <c r="CH140" s="30">
        <v>10967.94</v>
      </c>
      <c r="CI140" s="30">
        <v>1430.6</v>
      </c>
      <c r="CJ140" s="30">
        <v>9537.34</v>
      </c>
      <c r="CK140" s="30">
        <v>4.19</v>
      </c>
      <c r="CL140" s="27">
        <v>0.0</v>
      </c>
      <c r="CM140" s="27">
        <v>0.0</v>
      </c>
      <c r="CN140" s="27">
        <v>0.0</v>
      </c>
      <c r="CO140" s="27">
        <v>100.0</v>
      </c>
      <c r="CP140" s="29"/>
      <c r="CQ140" s="27">
        <v>0.0</v>
      </c>
      <c r="CR140" s="27">
        <v>0.0</v>
      </c>
      <c r="CS140" s="27">
        <v>0.0</v>
      </c>
      <c r="CT140" s="27">
        <v>-11786.0</v>
      </c>
      <c r="CU140" s="29">
        <v>47361.0</v>
      </c>
      <c r="CV140" s="29">
        <v>47361.0</v>
      </c>
      <c r="CW140" s="27">
        <v>210499.0</v>
      </c>
      <c r="CX140" s="27" t="s">
        <v>122</v>
      </c>
      <c r="CY140" s="27" t="s">
        <v>123</v>
      </c>
      <c r="CZ140" s="30">
        <v>2081.07</v>
      </c>
      <c r="DA140" s="30">
        <v>0.0</v>
      </c>
      <c r="DB140" s="30">
        <v>-8734.68</v>
      </c>
      <c r="DC140" s="30">
        <v>0.57</v>
      </c>
      <c r="DD140" s="30">
        <v>-1809.18</v>
      </c>
      <c r="DE140" s="30">
        <v>-2080.56</v>
      </c>
      <c r="DF140" s="27"/>
    </row>
    <row r="141" ht="13.5" customHeight="1">
      <c r="A141" s="27" t="s">
        <v>175</v>
      </c>
      <c r="B141" s="28">
        <v>43952.0</v>
      </c>
      <c r="C141" s="27" t="s">
        <v>124</v>
      </c>
      <c r="D141" s="27" t="s">
        <v>125</v>
      </c>
      <c r="E141" s="27" t="s">
        <v>126</v>
      </c>
      <c r="F141" s="27" t="s">
        <v>196</v>
      </c>
      <c r="G141" s="27" t="s">
        <v>140</v>
      </c>
      <c r="H141" s="27" t="s">
        <v>114</v>
      </c>
      <c r="I141" s="29">
        <v>43972.0</v>
      </c>
      <c r="J141" s="29">
        <v>43973.0</v>
      </c>
      <c r="K141" s="27">
        <f t="shared" si="1"/>
        <v>1</v>
      </c>
      <c r="L141" s="27">
        <v>1.0</v>
      </c>
      <c r="M141" s="27">
        <f t="shared" si="2"/>
        <v>0</v>
      </c>
      <c r="N141" s="29">
        <v>43976.0</v>
      </c>
      <c r="O141" s="29">
        <v>44016.0</v>
      </c>
      <c r="P141" s="27">
        <f t="shared" si="3"/>
        <v>40</v>
      </c>
      <c r="Q141" s="27">
        <v>90.0</v>
      </c>
      <c r="R141" s="27">
        <f t="shared" si="4"/>
        <v>-50</v>
      </c>
      <c r="S141" s="27" t="s">
        <v>474</v>
      </c>
      <c r="T141" s="27" t="s">
        <v>475</v>
      </c>
      <c r="U141" s="27" t="s">
        <v>117</v>
      </c>
      <c r="V141" s="27" t="s">
        <v>147</v>
      </c>
      <c r="W141" s="27" t="s">
        <v>182</v>
      </c>
      <c r="X141" s="27" t="s">
        <v>259</v>
      </c>
      <c r="Y141" s="27">
        <v>2024.0</v>
      </c>
      <c r="Z141" s="27" t="s">
        <v>135</v>
      </c>
      <c r="AA141" s="27">
        <v>1998.0</v>
      </c>
      <c r="AB141" s="27">
        <v>16.0</v>
      </c>
      <c r="AC141" s="27">
        <v>0.0</v>
      </c>
      <c r="AD141" s="30">
        <v>453264.78</v>
      </c>
      <c r="AE141" s="30">
        <v>19222.07</v>
      </c>
      <c r="AF141" s="31">
        <v>0.04</v>
      </c>
      <c r="AG141" s="30">
        <v>50325.99</v>
      </c>
      <c r="AH141" s="30">
        <v>2831.0</v>
      </c>
      <c r="AI141" s="27">
        <v>7.75</v>
      </c>
      <c r="AJ141" s="30">
        <v>234700.0</v>
      </c>
      <c r="AK141" s="27">
        <v>51.78</v>
      </c>
      <c r="AL141" s="29">
        <v>44016.0</v>
      </c>
      <c r="AM141" s="29">
        <v>45842.0</v>
      </c>
      <c r="AN141" s="27">
        <v>60.0</v>
      </c>
      <c r="AO141" s="27">
        <v>3500.0</v>
      </c>
      <c r="AP141" s="27">
        <v>210000.0</v>
      </c>
      <c r="AQ141" s="29">
        <v>46203.0</v>
      </c>
      <c r="AR141" s="27">
        <v>14845.0</v>
      </c>
      <c r="AS141" s="27">
        <v>18346.0</v>
      </c>
      <c r="AT141" s="27">
        <v>3501.0</v>
      </c>
      <c r="AU141" s="27">
        <v>17951.0</v>
      </c>
      <c r="AV141" s="27">
        <v>1795.0</v>
      </c>
      <c r="AW141" s="30">
        <v>7389.26</v>
      </c>
      <c r="AX141" s="30">
        <v>1995.0</v>
      </c>
      <c r="AY141" s="30">
        <v>125.0</v>
      </c>
      <c r="AZ141" s="30">
        <v>291.0</v>
      </c>
      <c r="BA141" s="30">
        <v>1522.99</v>
      </c>
      <c r="BB141" s="30">
        <v>11323.25</v>
      </c>
      <c r="BC141" s="30">
        <v>1698.49</v>
      </c>
      <c r="BD141" s="30">
        <v>13021.74</v>
      </c>
      <c r="BE141" s="29">
        <v>45748.0</v>
      </c>
      <c r="BF141" s="29">
        <v>45838.0</v>
      </c>
      <c r="BG141" s="27">
        <v>10031.0</v>
      </c>
      <c r="BH141" s="27">
        <v>18346.0</v>
      </c>
      <c r="BI141" s="27">
        <v>8315.0</v>
      </c>
      <c r="BJ141" s="27">
        <v>10500.0</v>
      </c>
      <c r="BK141" s="27">
        <v>-2185.0</v>
      </c>
      <c r="BL141" s="30">
        <v>0.66</v>
      </c>
      <c r="BM141" s="30">
        <v>1.04</v>
      </c>
      <c r="BN141" s="30">
        <v>0.0</v>
      </c>
      <c r="BO141" s="30">
        <v>0.0</v>
      </c>
      <c r="BP141" s="30">
        <v>0.0</v>
      </c>
      <c r="BQ141" s="30">
        <v>-186.82</v>
      </c>
      <c r="BR141" s="30">
        <v>0.0</v>
      </c>
      <c r="BS141" s="30">
        <v>0.0</v>
      </c>
      <c r="BT141" s="30">
        <v>0.0</v>
      </c>
      <c r="BU141" s="30">
        <v>0.0</v>
      </c>
      <c r="BV141" s="30">
        <v>0.0</v>
      </c>
      <c r="BW141" s="30">
        <v>0.0</v>
      </c>
      <c r="BX141" s="30">
        <v>0.0</v>
      </c>
      <c r="BY141" s="30">
        <v>6406.62</v>
      </c>
      <c r="BZ141" s="27">
        <v>0.0</v>
      </c>
      <c r="CA141" s="30">
        <v>0.0</v>
      </c>
      <c r="CB141" s="27">
        <v>0.0</v>
      </c>
      <c r="CC141" s="30">
        <v>0.0</v>
      </c>
      <c r="CD141" s="30">
        <v>0.0</v>
      </c>
      <c r="CE141" s="30">
        <v>0.0</v>
      </c>
      <c r="CF141" s="30">
        <v>0.0</v>
      </c>
      <c r="CG141" s="30">
        <v>0.0</v>
      </c>
      <c r="CH141" s="30">
        <v>11589.47</v>
      </c>
      <c r="CI141" s="30">
        <v>1511.67</v>
      </c>
      <c r="CJ141" s="30">
        <v>10077.8</v>
      </c>
      <c r="CK141" s="30">
        <v>2.88</v>
      </c>
      <c r="CL141" s="27">
        <v>0.0</v>
      </c>
      <c r="CM141" s="27">
        <v>0.0</v>
      </c>
      <c r="CN141" s="27">
        <v>0.0</v>
      </c>
      <c r="CO141" s="27">
        <v>100.0</v>
      </c>
      <c r="CP141" s="29"/>
      <c r="CQ141" s="27">
        <v>0.0</v>
      </c>
      <c r="CR141" s="27">
        <v>0.0</v>
      </c>
      <c r="CS141" s="27">
        <v>0.0</v>
      </c>
      <c r="CT141" s="27">
        <v>-17969.0</v>
      </c>
      <c r="CU141" s="29">
        <v>47361.0</v>
      </c>
      <c r="CV141" s="29">
        <v>47361.0</v>
      </c>
      <c r="CW141" s="27">
        <v>210395.0</v>
      </c>
      <c r="CX141" s="27" t="s">
        <v>122</v>
      </c>
      <c r="CY141" s="27" t="s">
        <v>123</v>
      </c>
      <c r="CZ141" s="30">
        <v>3617.79</v>
      </c>
      <c r="DA141" s="30">
        <v>0.0</v>
      </c>
      <c r="DB141" s="30">
        <v>-13860.12</v>
      </c>
      <c r="DC141" s="30">
        <v>0.57</v>
      </c>
      <c r="DD141" s="30">
        <v>-1245.45</v>
      </c>
      <c r="DE141" s="30">
        <v>-1432.27</v>
      </c>
      <c r="DF141" s="27"/>
    </row>
    <row r="142" ht="13.5" customHeight="1">
      <c r="A142" s="27" t="s">
        <v>175</v>
      </c>
      <c r="B142" s="28">
        <v>43952.0</v>
      </c>
      <c r="C142" s="27" t="s">
        <v>136</v>
      </c>
      <c r="D142" s="27" t="s">
        <v>137</v>
      </c>
      <c r="E142" s="27" t="s">
        <v>138</v>
      </c>
      <c r="F142" s="27" t="s">
        <v>196</v>
      </c>
      <c r="G142" s="27" t="s">
        <v>140</v>
      </c>
      <c r="H142" s="27" t="s">
        <v>129</v>
      </c>
      <c r="I142" s="29">
        <v>43973.0</v>
      </c>
      <c r="J142" s="29">
        <v>43979.0</v>
      </c>
      <c r="K142" s="27">
        <f t="shared" si="1"/>
        <v>6</v>
      </c>
      <c r="L142" s="27">
        <v>1.0</v>
      </c>
      <c r="M142" s="27">
        <f t="shared" si="2"/>
        <v>5</v>
      </c>
      <c r="N142" s="29">
        <v>43977.0</v>
      </c>
      <c r="O142" s="29">
        <v>44017.0</v>
      </c>
      <c r="P142" s="27">
        <f t="shared" si="3"/>
        <v>40</v>
      </c>
      <c r="Q142" s="27">
        <v>90.0</v>
      </c>
      <c r="R142" s="27">
        <f t="shared" si="4"/>
        <v>-50</v>
      </c>
      <c r="S142" s="27" t="s">
        <v>476</v>
      </c>
      <c r="T142" s="27" t="s">
        <v>477</v>
      </c>
      <c r="U142" s="27" t="s">
        <v>117</v>
      </c>
      <c r="V142" s="27" t="s">
        <v>147</v>
      </c>
      <c r="W142" s="27" t="s">
        <v>182</v>
      </c>
      <c r="X142" s="27" t="s">
        <v>259</v>
      </c>
      <c r="Y142" s="27">
        <v>2024.0</v>
      </c>
      <c r="Z142" s="27" t="s">
        <v>135</v>
      </c>
      <c r="AA142" s="27">
        <v>1998.0</v>
      </c>
      <c r="AB142" s="27">
        <v>16.0</v>
      </c>
      <c r="AC142" s="27">
        <v>0.0</v>
      </c>
      <c r="AD142" s="30">
        <v>453264.78</v>
      </c>
      <c r="AE142" s="30">
        <v>19222.07</v>
      </c>
      <c r="AF142" s="31">
        <v>0.04</v>
      </c>
      <c r="AG142" s="30">
        <v>71719.38</v>
      </c>
      <c r="AH142" s="30">
        <v>2448.0</v>
      </c>
      <c r="AI142" s="27">
        <v>7.75</v>
      </c>
      <c r="AJ142" s="30">
        <v>234700.0</v>
      </c>
      <c r="AK142" s="27">
        <v>51.78</v>
      </c>
      <c r="AL142" s="29">
        <v>44017.0</v>
      </c>
      <c r="AM142" s="29">
        <v>45843.0</v>
      </c>
      <c r="AN142" s="27">
        <v>60.0</v>
      </c>
      <c r="AO142" s="27">
        <v>3500.0</v>
      </c>
      <c r="AP142" s="27">
        <v>210000.0</v>
      </c>
      <c r="AQ142" s="29">
        <v>46203.0</v>
      </c>
      <c r="AR142" s="27">
        <v>26052.0</v>
      </c>
      <c r="AS142" s="27">
        <v>29130.0</v>
      </c>
      <c r="AT142" s="27">
        <v>3078.0</v>
      </c>
      <c r="AU142" s="27">
        <v>28635.0</v>
      </c>
      <c r="AV142" s="27">
        <v>2864.0</v>
      </c>
      <c r="AW142" s="30">
        <v>7892.78</v>
      </c>
      <c r="AX142" s="30">
        <v>2170.0</v>
      </c>
      <c r="AY142" s="30">
        <v>125.0</v>
      </c>
      <c r="AZ142" s="30">
        <v>291.0</v>
      </c>
      <c r="BA142" s="30">
        <v>1522.99</v>
      </c>
      <c r="BB142" s="30">
        <v>12001.77</v>
      </c>
      <c r="BC142" s="30">
        <v>1800.27</v>
      </c>
      <c r="BD142" s="30">
        <v>13802.04</v>
      </c>
      <c r="BE142" s="29">
        <v>45748.0</v>
      </c>
      <c r="BF142" s="29">
        <v>45838.0</v>
      </c>
      <c r="BG142" s="27">
        <v>19303.0</v>
      </c>
      <c r="BH142" s="27">
        <v>29130.0</v>
      </c>
      <c r="BI142" s="27">
        <v>9827.0</v>
      </c>
      <c r="BJ142" s="27">
        <v>10500.0</v>
      </c>
      <c r="BK142" s="27">
        <v>-673.0</v>
      </c>
      <c r="BL142" s="30">
        <v>0.71</v>
      </c>
      <c r="BM142" s="30">
        <v>1.04</v>
      </c>
      <c r="BN142" s="30">
        <v>0.0</v>
      </c>
      <c r="BO142" s="30">
        <v>0.0</v>
      </c>
      <c r="BP142" s="30">
        <v>0.0</v>
      </c>
      <c r="BQ142" s="30">
        <v>-62.59</v>
      </c>
      <c r="BR142" s="30">
        <v>0.0</v>
      </c>
      <c r="BS142" s="30">
        <v>0.0</v>
      </c>
      <c r="BT142" s="30">
        <v>0.0</v>
      </c>
      <c r="BU142" s="30">
        <v>0.0</v>
      </c>
      <c r="BV142" s="30">
        <v>0.0</v>
      </c>
      <c r="BW142" s="30">
        <v>0.0</v>
      </c>
      <c r="BX142" s="30">
        <v>0.0</v>
      </c>
      <c r="BY142" s="30">
        <v>7916.26</v>
      </c>
      <c r="BZ142" s="27">
        <v>0.0</v>
      </c>
      <c r="CA142" s="30">
        <v>0.0</v>
      </c>
      <c r="CB142" s="27">
        <v>0.0</v>
      </c>
      <c r="CC142" s="30">
        <v>0.0</v>
      </c>
      <c r="CD142" s="30">
        <v>0.0</v>
      </c>
      <c r="CE142" s="30">
        <v>0.0</v>
      </c>
      <c r="CF142" s="30">
        <v>0.0</v>
      </c>
      <c r="CG142" s="30">
        <v>0.0</v>
      </c>
      <c r="CH142" s="30">
        <v>13322.19</v>
      </c>
      <c r="CI142" s="30">
        <v>1737.68</v>
      </c>
      <c r="CJ142" s="30">
        <v>11584.51</v>
      </c>
      <c r="CK142" s="30">
        <v>3.76</v>
      </c>
      <c r="CL142" s="27">
        <v>0.0</v>
      </c>
      <c r="CM142" s="27">
        <v>0.0</v>
      </c>
      <c r="CN142" s="27">
        <v>0.0</v>
      </c>
      <c r="CO142" s="27">
        <v>100.0</v>
      </c>
      <c r="CP142" s="29"/>
      <c r="CQ142" s="27">
        <v>0.0</v>
      </c>
      <c r="CR142" s="27">
        <v>0.0</v>
      </c>
      <c r="CS142" s="27">
        <v>0.0</v>
      </c>
      <c r="CT142" s="27">
        <v>-6940.0</v>
      </c>
      <c r="CU142" s="29">
        <v>47361.0</v>
      </c>
      <c r="CV142" s="29">
        <v>47361.0</v>
      </c>
      <c r="CW142" s="27">
        <v>210495.0</v>
      </c>
      <c r="CX142" s="27" t="s">
        <v>122</v>
      </c>
      <c r="CY142" s="27" t="s">
        <v>123</v>
      </c>
      <c r="CZ142" s="30">
        <v>977.12</v>
      </c>
      <c r="DA142" s="30">
        <v>0.0</v>
      </c>
      <c r="DB142" s="30">
        <v>-5279.92</v>
      </c>
      <c r="DC142" s="30">
        <v>0.62</v>
      </c>
      <c r="DD142" s="30">
        <v>-417.26</v>
      </c>
      <c r="DE142" s="30">
        <v>-479.85</v>
      </c>
      <c r="DF142" s="27"/>
    </row>
    <row r="143" ht="13.5" customHeight="1">
      <c r="A143" s="27" t="s">
        <v>175</v>
      </c>
      <c r="B143" s="28">
        <v>43952.0</v>
      </c>
      <c r="C143" s="27" t="s">
        <v>109</v>
      </c>
      <c r="D143" s="27" t="s">
        <v>110</v>
      </c>
      <c r="E143" s="27" t="s">
        <v>111</v>
      </c>
      <c r="F143" s="27" t="s">
        <v>196</v>
      </c>
      <c r="G143" s="27" t="s">
        <v>140</v>
      </c>
      <c r="H143" s="27" t="s">
        <v>141</v>
      </c>
      <c r="I143" s="29">
        <v>43974.0</v>
      </c>
      <c r="J143" s="29">
        <v>43981.0</v>
      </c>
      <c r="K143" s="27">
        <f t="shared" si="1"/>
        <v>7</v>
      </c>
      <c r="L143" s="27">
        <v>1.0</v>
      </c>
      <c r="M143" s="27">
        <f t="shared" si="2"/>
        <v>6</v>
      </c>
      <c r="N143" s="29">
        <v>43978.0</v>
      </c>
      <c r="O143" s="29">
        <v>44018.0</v>
      </c>
      <c r="P143" s="27">
        <f t="shared" si="3"/>
        <v>40</v>
      </c>
      <c r="Q143" s="27">
        <v>90.0</v>
      </c>
      <c r="R143" s="27">
        <f t="shared" si="4"/>
        <v>-50</v>
      </c>
      <c r="S143" s="27" t="s">
        <v>478</v>
      </c>
      <c r="T143" s="27" t="s">
        <v>479</v>
      </c>
      <c r="U143" s="27" t="s">
        <v>117</v>
      </c>
      <c r="V143" s="27" t="s">
        <v>147</v>
      </c>
      <c r="W143" s="27" t="s">
        <v>182</v>
      </c>
      <c r="X143" s="27" t="s">
        <v>259</v>
      </c>
      <c r="Y143" s="27">
        <v>2024.0</v>
      </c>
      <c r="Z143" s="27" t="s">
        <v>135</v>
      </c>
      <c r="AA143" s="27">
        <v>1998.0</v>
      </c>
      <c r="AB143" s="27">
        <v>16.0</v>
      </c>
      <c r="AC143" s="27">
        <v>0.0</v>
      </c>
      <c r="AD143" s="30">
        <v>453264.78</v>
      </c>
      <c r="AE143" s="30">
        <v>19222.07</v>
      </c>
      <c r="AF143" s="31">
        <v>0.04</v>
      </c>
      <c r="AG143" s="30">
        <v>72083.52</v>
      </c>
      <c r="AH143" s="30">
        <v>2531.0</v>
      </c>
      <c r="AI143" s="27">
        <v>7.75</v>
      </c>
      <c r="AJ143" s="30">
        <v>234700.0</v>
      </c>
      <c r="AK143" s="27">
        <v>51.78</v>
      </c>
      <c r="AL143" s="29">
        <v>44018.0</v>
      </c>
      <c r="AM143" s="29">
        <v>45844.0</v>
      </c>
      <c r="AN143" s="27">
        <v>60.0</v>
      </c>
      <c r="AO143" s="27">
        <v>3500.0</v>
      </c>
      <c r="AP143" s="27">
        <v>210000.0</v>
      </c>
      <c r="AQ143" s="29">
        <v>46203.0</v>
      </c>
      <c r="AR143" s="27">
        <v>29431.0</v>
      </c>
      <c r="AS143" s="27">
        <v>31112.0</v>
      </c>
      <c r="AT143" s="27">
        <v>1681.0</v>
      </c>
      <c r="AU143" s="27">
        <v>30696.0</v>
      </c>
      <c r="AV143" s="27">
        <v>3070.0</v>
      </c>
      <c r="AW143" s="30">
        <v>7901.81</v>
      </c>
      <c r="AX143" s="30">
        <v>1995.0</v>
      </c>
      <c r="AY143" s="30">
        <v>125.0</v>
      </c>
      <c r="AZ143" s="30">
        <v>291.0</v>
      </c>
      <c r="BA143" s="30">
        <v>1522.99</v>
      </c>
      <c r="BB143" s="30">
        <v>11835.8</v>
      </c>
      <c r="BC143" s="30">
        <v>1775.37</v>
      </c>
      <c r="BD143" s="30">
        <v>13611.17</v>
      </c>
      <c r="BE143" s="29">
        <v>45748.0</v>
      </c>
      <c r="BF143" s="29">
        <v>45838.0</v>
      </c>
      <c r="BG143" s="27">
        <v>21248.0</v>
      </c>
      <c r="BH143" s="27">
        <v>31112.0</v>
      </c>
      <c r="BI143" s="27">
        <v>9864.0</v>
      </c>
      <c r="BJ143" s="27">
        <v>10500.0</v>
      </c>
      <c r="BK143" s="27">
        <v>-636.0</v>
      </c>
      <c r="BL143" s="30">
        <v>0.66</v>
      </c>
      <c r="BM143" s="30">
        <v>1.04</v>
      </c>
      <c r="BN143" s="30">
        <v>0.0</v>
      </c>
      <c r="BO143" s="30">
        <v>0.0</v>
      </c>
      <c r="BP143" s="30">
        <v>0.0</v>
      </c>
      <c r="BQ143" s="30">
        <v>-54.38</v>
      </c>
      <c r="BR143" s="30">
        <v>0.0</v>
      </c>
      <c r="BS143" s="30">
        <v>0.0</v>
      </c>
      <c r="BT143" s="30">
        <v>0.0</v>
      </c>
      <c r="BU143" s="30">
        <v>0.0</v>
      </c>
      <c r="BV143" s="30">
        <v>0.0</v>
      </c>
      <c r="BW143" s="30">
        <v>0.0</v>
      </c>
      <c r="BX143" s="30">
        <v>0.0</v>
      </c>
      <c r="BY143" s="30">
        <v>1576.28</v>
      </c>
      <c r="BZ143" s="27">
        <v>0.0</v>
      </c>
      <c r="CA143" s="30">
        <v>2605.54</v>
      </c>
      <c r="CB143" s="27">
        <v>0.0</v>
      </c>
      <c r="CC143" s="30">
        <v>0.0</v>
      </c>
      <c r="CD143" s="30">
        <v>0.0</v>
      </c>
      <c r="CE143" s="30">
        <v>0.0</v>
      </c>
      <c r="CF143" s="30">
        <v>0.0</v>
      </c>
      <c r="CG143" s="30">
        <v>0.0</v>
      </c>
      <c r="CH143" s="30">
        <v>13194.27</v>
      </c>
      <c r="CI143" s="30">
        <v>1720.99</v>
      </c>
      <c r="CJ143" s="30">
        <v>11473.28</v>
      </c>
      <c r="CK143" s="30">
        <v>6.83</v>
      </c>
      <c r="CL143" s="27">
        <v>0.0</v>
      </c>
      <c r="CM143" s="27">
        <v>0.0</v>
      </c>
      <c r="CN143" s="27">
        <v>0.0</v>
      </c>
      <c r="CO143" s="27">
        <v>100.0</v>
      </c>
      <c r="CP143" s="29"/>
      <c r="CQ143" s="27">
        <v>0.0</v>
      </c>
      <c r="CR143" s="27">
        <v>0.0</v>
      </c>
      <c r="CS143" s="27">
        <v>0.0</v>
      </c>
      <c r="CT143" s="27">
        <v>-4419.0</v>
      </c>
      <c r="CU143" s="29">
        <v>47361.0</v>
      </c>
      <c r="CV143" s="29">
        <v>47361.0</v>
      </c>
      <c r="CW143" s="27">
        <v>210416.0</v>
      </c>
      <c r="CX143" s="27" t="s">
        <v>122</v>
      </c>
      <c r="CY143" s="27" t="s">
        <v>123</v>
      </c>
      <c r="CZ143" s="30">
        <v>0.0</v>
      </c>
      <c r="DA143" s="30">
        <v>0.0</v>
      </c>
      <c r="DB143" s="30">
        <v>-2518.83</v>
      </c>
      <c r="DC143" s="30">
        <v>0.57</v>
      </c>
      <c r="DD143" s="30">
        <v>-362.52</v>
      </c>
      <c r="DE143" s="30">
        <v>-416.9</v>
      </c>
      <c r="DF143" s="27"/>
    </row>
    <row r="144" ht="13.5" customHeight="1">
      <c r="A144" s="27" t="s">
        <v>175</v>
      </c>
      <c r="B144" s="28">
        <v>43952.0</v>
      </c>
      <c r="C144" s="27" t="s">
        <v>124</v>
      </c>
      <c r="D144" s="27" t="s">
        <v>125</v>
      </c>
      <c r="E144" s="27" t="s">
        <v>126</v>
      </c>
      <c r="F144" s="27" t="s">
        <v>196</v>
      </c>
      <c r="G144" s="27" t="s">
        <v>140</v>
      </c>
      <c r="H144" s="27" t="s">
        <v>114</v>
      </c>
      <c r="I144" s="29">
        <v>43975.0</v>
      </c>
      <c r="J144" s="29">
        <v>43976.0</v>
      </c>
      <c r="K144" s="27">
        <f t="shared" si="1"/>
        <v>1</v>
      </c>
      <c r="L144" s="27">
        <v>1.0</v>
      </c>
      <c r="M144" s="27">
        <f t="shared" si="2"/>
        <v>0</v>
      </c>
      <c r="N144" s="29">
        <v>43979.0</v>
      </c>
      <c r="O144" s="29">
        <v>44019.0</v>
      </c>
      <c r="P144" s="27">
        <f t="shared" si="3"/>
        <v>40</v>
      </c>
      <c r="Q144" s="27">
        <v>90.0</v>
      </c>
      <c r="R144" s="27">
        <f t="shared" si="4"/>
        <v>-50</v>
      </c>
      <c r="S144" s="27" t="s">
        <v>480</v>
      </c>
      <c r="T144" s="27" t="s">
        <v>481</v>
      </c>
      <c r="U144" s="27" t="s">
        <v>117</v>
      </c>
      <c r="V144" s="27" t="s">
        <v>147</v>
      </c>
      <c r="W144" s="27" t="s">
        <v>182</v>
      </c>
      <c r="X144" s="27" t="s">
        <v>259</v>
      </c>
      <c r="Y144" s="27">
        <v>2024.0</v>
      </c>
      <c r="Z144" s="27" t="s">
        <v>135</v>
      </c>
      <c r="AA144" s="27">
        <v>1998.0</v>
      </c>
      <c r="AB144" s="27">
        <v>16.0</v>
      </c>
      <c r="AC144" s="27">
        <v>0.0</v>
      </c>
      <c r="AD144" s="30">
        <v>453264.78</v>
      </c>
      <c r="AE144" s="30">
        <v>19222.07</v>
      </c>
      <c r="AF144" s="31">
        <v>0.04</v>
      </c>
      <c r="AG144" s="30">
        <v>72132.35</v>
      </c>
      <c r="AH144" s="30">
        <v>2531.0</v>
      </c>
      <c r="AI144" s="27">
        <v>7.75</v>
      </c>
      <c r="AJ144" s="30">
        <v>234700.0</v>
      </c>
      <c r="AK144" s="27">
        <v>51.78</v>
      </c>
      <c r="AL144" s="29">
        <v>44019.0</v>
      </c>
      <c r="AM144" s="29">
        <v>45845.0</v>
      </c>
      <c r="AN144" s="27">
        <v>60.0</v>
      </c>
      <c r="AO144" s="27">
        <v>3500.0</v>
      </c>
      <c r="AP144" s="27">
        <v>210000.0</v>
      </c>
      <c r="AQ144" s="29">
        <v>46203.0</v>
      </c>
      <c r="AR144" s="27">
        <v>28089.0</v>
      </c>
      <c r="AS144" s="27">
        <v>30832.0</v>
      </c>
      <c r="AT144" s="27">
        <v>2743.0</v>
      </c>
      <c r="AU144" s="27">
        <v>30429.0</v>
      </c>
      <c r="AV144" s="27">
        <v>3043.0</v>
      </c>
      <c r="AW144" s="30">
        <v>7909.85</v>
      </c>
      <c r="AX144" s="30">
        <v>1995.0</v>
      </c>
      <c r="AY144" s="30">
        <v>125.0</v>
      </c>
      <c r="AZ144" s="30">
        <v>291.0</v>
      </c>
      <c r="BA144" s="30">
        <v>1522.99</v>
      </c>
      <c r="BB144" s="30">
        <v>11843.84</v>
      </c>
      <c r="BC144" s="30">
        <v>1776.58</v>
      </c>
      <c r="BD144" s="30">
        <v>13620.42</v>
      </c>
      <c r="BE144" s="29">
        <v>45748.0</v>
      </c>
      <c r="BF144" s="29">
        <v>45838.0</v>
      </c>
      <c r="BG144" s="27">
        <v>20378.0</v>
      </c>
      <c r="BH144" s="27">
        <v>30832.0</v>
      </c>
      <c r="BI144" s="27">
        <v>10454.0</v>
      </c>
      <c r="BJ144" s="27">
        <v>10500.0</v>
      </c>
      <c r="BK144" s="27">
        <v>-46.0</v>
      </c>
      <c r="BL144" s="30">
        <v>0.66</v>
      </c>
      <c r="BM144" s="30">
        <v>1.04</v>
      </c>
      <c r="BN144" s="30">
        <v>0.0</v>
      </c>
      <c r="BO144" s="30">
        <v>0.0</v>
      </c>
      <c r="BP144" s="30">
        <v>0.0</v>
      </c>
      <c r="BQ144" s="30">
        <v>0.0</v>
      </c>
      <c r="BR144" s="30">
        <v>0.0</v>
      </c>
      <c r="BS144" s="30">
        <v>0.0</v>
      </c>
      <c r="BT144" s="30">
        <v>0.0</v>
      </c>
      <c r="BU144" s="30">
        <v>0.0</v>
      </c>
      <c r="BV144" s="30">
        <v>0.0</v>
      </c>
      <c r="BW144" s="30">
        <v>0.0</v>
      </c>
      <c r="BX144" s="30">
        <v>0.0</v>
      </c>
      <c r="BY144" s="30">
        <v>6699.02</v>
      </c>
      <c r="BZ144" s="27">
        <v>0.0</v>
      </c>
      <c r="CA144" s="30">
        <v>0.0</v>
      </c>
      <c r="CB144" s="27">
        <v>0.0</v>
      </c>
      <c r="CC144" s="30">
        <v>0.0</v>
      </c>
      <c r="CD144" s="30">
        <v>0.0</v>
      </c>
      <c r="CE144" s="30">
        <v>0.0</v>
      </c>
      <c r="CF144" s="30">
        <v>0.0</v>
      </c>
      <c r="CG144" s="30">
        <v>0.0</v>
      </c>
      <c r="CH144" s="30">
        <v>13620.42</v>
      </c>
      <c r="CI144" s="30">
        <v>1776.58</v>
      </c>
      <c r="CJ144" s="30">
        <v>11843.84</v>
      </c>
      <c r="CK144" s="30">
        <v>4.32</v>
      </c>
      <c r="CL144" s="27">
        <v>0.0</v>
      </c>
      <c r="CM144" s="27">
        <v>0.0</v>
      </c>
      <c r="CN144" s="27">
        <v>0.0</v>
      </c>
      <c r="CO144" s="27">
        <v>100.0</v>
      </c>
      <c r="CP144" s="29"/>
      <c r="CQ144" s="27">
        <v>0.0</v>
      </c>
      <c r="CR144" s="27">
        <v>0.0</v>
      </c>
      <c r="CS144" s="27">
        <v>0.0</v>
      </c>
      <c r="CT144" s="27">
        <v>-4686.0</v>
      </c>
      <c r="CU144" s="29">
        <v>47361.0</v>
      </c>
      <c r="CV144" s="29">
        <v>47361.0</v>
      </c>
      <c r="CW144" s="27">
        <v>210403.0</v>
      </c>
      <c r="CX144" s="27" t="s">
        <v>122</v>
      </c>
      <c r="CY144" s="27" t="s">
        <v>123</v>
      </c>
      <c r="CZ144" s="30">
        <v>656.64</v>
      </c>
      <c r="DA144" s="30">
        <v>0.0</v>
      </c>
      <c r="DB144" s="30">
        <v>-3298.02</v>
      </c>
      <c r="DC144" s="30">
        <v>0.57</v>
      </c>
      <c r="DD144" s="30">
        <v>0.0</v>
      </c>
      <c r="DE144" s="30">
        <v>0.0</v>
      </c>
      <c r="DF144" s="27"/>
    </row>
    <row r="145" ht="13.5" customHeight="1">
      <c r="A145" s="27" t="s">
        <v>175</v>
      </c>
      <c r="B145" s="28">
        <v>43952.0</v>
      </c>
      <c r="C145" s="27" t="s">
        <v>136</v>
      </c>
      <c r="D145" s="27" t="s">
        <v>137</v>
      </c>
      <c r="E145" s="27" t="s">
        <v>138</v>
      </c>
      <c r="F145" s="27" t="s">
        <v>196</v>
      </c>
      <c r="G145" s="27" t="s">
        <v>140</v>
      </c>
      <c r="H145" s="27" t="s">
        <v>129</v>
      </c>
      <c r="I145" s="29">
        <v>43976.0</v>
      </c>
      <c r="J145" s="29">
        <v>43977.0</v>
      </c>
      <c r="K145" s="27">
        <f t="shared" si="1"/>
        <v>1</v>
      </c>
      <c r="L145" s="27">
        <v>1.0</v>
      </c>
      <c r="M145" s="27">
        <f t="shared" si="2"/>
        <v>0</v>
      </c>
      <c r="N145" s="29">
        <v>43980.0</v>
      </c>
      <c r="O145" s="29">
        <v>44020.0</v>
      </c>
      <c r="P145" s="27">
        <f t="shared" si="3"/>
        <v>40</v>
      </c>
      <c r="Q145" s="27">
        <v>90.0</v>
      </c>
      <c r="R145" s="27">
        <f t="shared" si="4"/>
        <v>-50</v>
      </c>
      <c r="S145" s="27" t="s">
        <v>482</v>
      </c>
      <c r="T145" s="27" t="s">
        <v>483</v>
      </c>
      <c r="U145" s="27" t="s">
        <v>117</v>
      </c>
      <c r="V145" s="27" t="s">
        <v>147</v>
      </c>
      <c r="W145" s="27" t="s">
        <v>182</v>
      </c>
      <c r="X145" s="27" t="s">
        <v>259</v>
      </c>
      <c r="Y145" s="27">
        <v>2024.0</v>
      </c>
      <c r="Z145" s="27" t="s">
        <v>135</v>
      </c>
      <c r="AA145" s="27">
        <v>1998.0</v>
      </c>
      <c r="AB145" s="27">
        <v>16.0</v>
      </c>
      <c r="AC145" s="27">
        <v>1.0</v>
      </c>
      <c r="AD145" s="30">
        <v>453264.78</v>
      </c>
      <c r="AE145" s="30">
        <v>19222.07</v>
      </c>
      <c r="AF145" s="31">
        <v>0.04</v>
      </c>
      <c r="AG145" s="30">
        <v>71699.0</v>
      </c>
      <c r="AH145" s="30">
        <v>2448.0</v>
      </c>
      <c r="AI145" s="27">
        <v>7.75</v>
      </c>
      <c r="AJ145" s="30">
        <v>234700.0</v>
      </c>
      <c r="AK145" s="27">
        <v>51.78</v>
      </c>
      <c r="AL145" s="29">
        <v>44020.0</v>
      </c>
      <c r="AM145" s="29">
        <v>45846.0</v>
      </c>
      <c r="AN145" s="27">
        <v>60.0</v>
      </c>
      <c r="AO145" s="27">
        <v>3500.0</v>
      </c>
      <c r="AP145" s="27">
        <v>210000.0</v>
      </c>
      <c r="AQ145" s="29">
        <v>46203.0</v>
      </c>
      <c r="AR145" s="27">
        <v>30376.0</v>
      </c>
      <c r="AS145" s="27">
        <v>33193.0</v>
      </c>
      <c r="AT145" s="27">
        <v>2817.0</v>
      </c>
      <c r="AU145" s="27">
        <v>32695.0</v>
      </c>
      <c r="AV145" s="27">
        <v>3270.0</v>
      </c>
      <c r="AW145" s="30">
        <v>7892.36</v>
      </c>
      <c r="AX145" s="30">
        <v>2170.0</v>
      </c>
      <c r="AY145" s="30">
        <v>125.0</v>
      </c>
      <c r="AZ145" s="30">
        <v>291.0</v>
      </c>
      <c r="BA145" s="30">
        <v>1522.99</v>
      </c>
      <c r="BB145" s="30">
        <v>12001.35</v>
      </c>
      <c r="BC145" s="30">
        <v>1800.2</v>
      </c>
      <c r="BD145" s="30">
        <v>13801.55</v>
      </c>
      <c r="BE145" s="29">
        <v>45748.0</v>
      </c>
      <c r="BF145" s="29">
        <v>45838.0</v>
      </c>
      <c r="BG145" s="27">
        <v>23785.0</v>
      </c>
      <c r="BH145" s="27">
        <v>33193.0</v>
      </c>
      <c r="BI145" s="27">
        <v>9408.0</v>
      </c>
      <c r="BJ145" s="27">
        <v>10500.0</v>
      </c>
      <c r="BK145" s="27">
        <v>-1092.0</v>
      </c>
      <c r="BL145" s="30">
        <v>0.71</v>
      </c>
      <c r="BM145" s="30">
        <v>1.04</v>
      </c>
      <c r="BN145" s="30">
        <v>0.0</v>
      </c>
      <c r="BO145" s="30">
        <v>0.0</v>
      </c>
      <c r="BP145" s="30">
        <v>0.0</v>
      </c>
      <c r="BQ145" s="30">
        <v>-101.56</v>
      </c>
      <c r="BR145" s="30">
        <v>0.0</v>
      </c>
      <c r="BS145" s="30">
        <v>0.0</v>
      </c>
      <c r="BT145" s="30">
        <v>0.0</v>
      </c>
      <c r="BU145" s="30">
        <v>0.0</v>
      </c>
      <c r="BV145" s="30">
        <v>0.0</v>
      </c>
      <c r="BW145" s="30">
        <v>0.0</v>
      </c>
      <c r="BX145" s="30">
        <v>0.0</v>
      </c>
      <c r="BY145" s="30">
        <v>9043.49</v>
      </c>
      <c r="BZ145" s="27">
        <v>0.0</v>
      </c>
      <c r="CA145" s="30">
        <v>0.0</v>
      </c>
      <c r="CB145" s="27">
        <v>0.0</v>
      </c>
      <c r="CC145" s="30">
        <v>0.0</v>
      </c>
      <c r="CD145" s="30">
        <v>0.0</v>
      </c>
      <c r="CE145" s="30">
        <v>0.0</v>
      </c>
      <c r="CF145" s="30">
        <v>0.0</v>
      </c>
      <c r="CG145" s="30">
        <v>0.0</v>
      </c>
      <c r="CH145" s="30">
        <v>13022.95</v>
      </c>
      <c r="CI145" s="30">
        <v>1698.64</v>
      </c>
      <c r="CJ145" s="30">
        <v>11324.31</v>
      </c>
      <c r="CK145" s="30">
        <v>4.02</v>
      </c>
      <c r="CL145" s="27">
        <v>0.0</v>
      </c>
      <c r="CM145" s="27">
        <v>0.0</v>
      </c>
      <c r="CN145" s="27">
        <v>0.0</v>
      </c>
      <c r="CO145" s="27">
        <v>100.0</v>
      </c>
      <c r="CP145" s="29"/>
      <c r="CQ145" s="27">
        <v>0.0</v>
      </c>
      <c r="CR145" s="27">
        <v>0.0</v>
      </c>
      <c r="CS145" s="27">
        <v>0.0</v>
      </c>
      <c r="CT145" s="27">
        <v>-2880.0</v>
      </c>
      <c r="CU145" s="29">
        <v>47361.0</v>
      </c>
      <c r="CV145" s="29">
        <v>47361.0</v>
      </c>
      <c r="CW145" s="27">
        <v>210498.0</v>
      </c>
      <c r="CX145" s="27" t="s">
        <v>122</v>
      </c>
      <c r="CY145" s="27" t="s">
        <v>123</v>
      </c>
      <c r="CZ145" s="30">
        <v>526.82</v>
      </c>
      <c r="DA145" s="30">
        <v>771.68</v>
      </c>
      <c r="DB145" s="30">
        <v>-2307.46</v>
      </c>
      <c r="DC145" s="30">
        <v>0.62</v>
      </c>
      <c r="DD145" s="30">
        <v>-677.04</v>
      </c>
      <c r="DE145" s="30">
        <v>-778.6</v>
      </c>
      <c r="DF145" s="27"/>
    </row>
    <row r="146" ht="13.5" customHeight="1">
      <c r="A146" s="27" t="s">
        <v>175</v>
      </c>
      <c r="B146" s="28">
        <v>43952.0</v>
      </c>
      <c r="C146" s="27" t="s">
        <v>109</v>
      </c>
      <c r="D146" s="27" t="s">
        <v>110</v>
      </c>
      <c r="E146" s="27" t="s">
        <v>111</v>
      </c>
      <c r="F146" s="27" t="s">
        <v>196</v>
      </c>
      <c r="G146" s="27" t="s">
        <v>140</v>
      </c>
      <c r="H146" s="27" t="s">
        <v>141</v>
      </c>
      <c r="I146" s="29">
        <v>43977.0</v>
      </c>
      <c r="J146" s="29">
        <v>43978.0</v>
      </c>
      <c r="K146" s="27">
        <f t="shared" si="1"/>
        <v>1</v>
      </c>
      <c r="L146" s="27">
        <v>1.0</v>
      </c>
      <c r="M146" s="27">
        <f t="shared" si="2"/>
        <v>0</v>
      </c>
      <c r="N146" s="29">
        <v>43981.0</v>
      </c>
      <c r="O146" s="29">
        <v>44021.0</v>
      </c>
      <c r="P146" s="27">
        <f t="shared" si="3"/>
        <v>40</v>
      </c>
      <c r="Q146" s="27">
        <v>90.0</v>
      </c>
      <c r="R146" s="27">
        <f t="shared" si="4"/>
        <v>-50</v>
      </c>
      <c r="S146" s="27" t="s">
        <v>484</v>
      </c>
      <c r="T146" s="27" t="s">
        <v>485</v>
      </c>
      <c r="U146" s="27" t="s">
        <v>117</v>
      </c>
      <c r="V146" s="27" t="s">
        <v>132</v>
      </c>
      <c r="W146" s="27" t="s">
        <v>119</v>
      </c>
      <c r="X146" s="27" t="s">
        <v>433</v>
      </c>
      <c r="Y146" s="27">
        <v>2024.0</v>
      </c>
      <c r="Z146" s="27" t="s">
        <v>135</v>
      </c>
      <c r="AA146" s="27">
        <v>2498.0</v>
      </c>
      <c r="AB146" s="27">
        <v>16.0</v>
      </c>
      <c r="AC146" s="27">
        <v>0.0</v>
      </c>
      <c r="AD146" s="30">
        <v>439391.0</v>
      </c>
      <c r="AE146" s="30">
        <v>54387.32</v>
      </c>
      <c r="AF146" s="31">
        <v>0.12</v>
      </c>
      <c r="AG146" s="30">
        <v>32821.15</v>
      </c>
      <c r="AH146" s="30">
        <v>2124.0</v>
      </c>
      <c r="AI146" s="27">
        <v>7.75</v>
      </c>
      <c r="AJ146" s="30">
        <v>158181.0</v>
      </c>
      <c r="AK146" s="27">
        <v>36.0</v>
      </c>
      <c r="AL146" s="29">
        <v>44021.0</v>
      </c>
      <c r="AM146" s="29">
        <v>45847.0</v>
      </c>
      <c r="AN146" s="27">
        <v>60.0</v>
      </c>
      <c r="AO146" s="27">
        <v>3000.0</v>
      </c>
      <c r="AP146" s="27">
        <v>180000.0</v>
      </c>
      <c r="AQ146" s="29">
        <v>46203.0</v>
      </c>
      <c r="AR146" s="27">
        <v>25940.0</v>
      </c>
      <c r="AS146" s="27">
        <v>28314.0</v>
      </c>
      <c r="AT146" s="27">
        <v>2374.0</v>
      </c>
      <c r="AU146" s="27">
        <v>27845.0</v>
      </c>
      <c r="AV146" s="27">
        <v>2785.0</v>
      </c>
      <c r="AW146" s="30">
        <v>7130.01</v>
      </c>
      <c r="AX146" s="30">
        <v>1380.0</v>
      </c>
      <c r="AY146" s="30">
        <v>125.0</v>
      </c>
      <c r="AZ146" s="30">
        <v>291.0</v>
      </c>
      <c r="BA146" s="30">
        <v>1553.61</v>
      </c>
      <c r="BB146" s="30">
        <v>10479.62</v>
      </c>
      <c r="BC146" s="30">
        <v>1571.94</v>
      </c>
      <c r="BD146" s="30">
        <v>12051.56</v>
      </c>
      <c r="BE146" s="29">
        <v>45748.0</v>
      </c>
      <c r="BF146" s="29">
        <v>45838.0</v>
      </c>
      <c r="BG146" s="27">
        <v>19425.0</v>
      </c>
      <c r="BH146" s="27">
        <v>28314.0</v>
      </c>
      <c r="BI146" s="27">
        <v>8889.0</v>
      </c>
      <c r="BJ146" s="27">
        <v>9000.0</v>
      </c>
      <c r="BK146" s="27">
        <v>-111.0</v>
      </c>
      <c r="BL146" s="30">
        <v>0.53</v>
      </c>
      <c r="BM146" s="30">
        <v>1.56</v>
      </c>
      <c r="BN146" s="30">
        <v>0.0</v>
      </c>
      <c r="BO146" s="30">
        <v>0.0</v>
      </c>
      <c r="BP146" s="30">
        <v>0.0</v>
      </c>
      <c r="BQ146" s="30">
        <v>0.0</v>
      </c>
      <c r="BR146" s="30">
        <v>0.0</v>
      </c>
      <c r="BS146" s="30">
        <v>0.0</v>
      </c>
      <c r="BT146" s="30">
        <v>0.0</v>
      </c>
      <c r="BU146" s="30">
        <v>0.0</v>
      </c>
      <c r="BV146" s="30">
        <v>0.0</v>
      </c>
      <c r="BW146" s="30">
        <v>0.0</v>
      </c>
      <c r="BX146" s="30">
        <v>0.0</v>
      </c>
      <c r="BY146" s="30">
        <v>2695.21</v>
      </c>
      <c r="BZ146" s="27">
        <v>0.0</v>
      </c>
      <c r="CA146" s="30">
        <v>2742.59</v>
      </c>
      <c r="CB146" s="27">
        <v>0.0</v>
      </c>
      <c r="CC146" s="30">
        <v>0.0</v>
      </c>
      <c r="CD146" s="30">
        <v>0.0</v>
      </c>
      <c r="CE146" s="30">
        <v>0.0</v>
      </c>
      <c r="CF146" s="30">
        <v>0.0</v>
      </c>
      <c r="CG146" s="30">
        <v>0.0</v>
      </c>
      <c r="CH146" s="30">
        <v>12051.56</v>
      </c>
      <c r="CI146" s="30">
        <v>1571.94</v>
      </c>
      <c r="CJ146" s="30">
        <v>10479.62</v>
      </c>
      <c r="CK146" s="30">
        <v>4.41</v>
      </c>
      <c r="CL146" s="27">
        <v>0.0</v>
      </c>
      <c r="CM146" s="27">
        <v>0.0</v>
      </c>
      <c r="CN146" s="27">
        <v>0.0</v>
      </c>
      <c r="CO146" s="27">
        <v>100.0</v>
      </c>
      <c r="CP146" s="29"/>
      <c r="CQ146" s="27">
        <v>0.0</v>
      </c>
      <c r="CR146" s="27">
        <v>0.0</v>
      </c>
      <c r="CS146" s="27">
        <v>0.0</v>
      </c>
      <c r="CT146" s="27">
        <v>-4719.0</v>
      </c>
      <c r="CU146" s="29">
        <v>47361.0</v>
      </c>
      <c r="CV146" s="29">
        <v>47361.0</v>
      </c>
      <c r="CW146" s="27">
        <v>180469.0</v>
      </c>
      <c r="CX146" s="27" t="s">
        <v>122</v>
      </c>
      <c r="CY146" s="27" t="s">
        <v>123</v>
      </c>
      <c r="CZ146" s="30">
        <v>669.3</v>
      </c>
      <c r="DA146" s="30">
        <v>0.0</v>
      </c>
      <c r="DB146" s="30">
        <v>-2788.98</v>
      </c>
      <c r="DC146" s="30">
        <v>0.46</v>
      </c>
      <c r="DD146" s="30">
        <v>0.0</v>
      </c>
      <c r="DE146" s="30">
        <v>0.0</v>
      </c>
      <c r="DF146" s="27"/>
    </row>
    <row r="147" ht="13.5" customHeight="1">
      <c r="A147" s="27" t="s">
        <v>175</v>
      </c>
      <c r="B147" s="28">
        <v>43952.0</v>
      </c>
      <c r="C147" s="27" t="s">
        <v>124</v>
      </c>
      <c r="D147" s="27" t="s">
        <v>125</v>
      </c>
      <c r="E147" s="27" t="s">
        <v>126</v>
      </c>
      <c r="F147" s="27" t="s">
        <v>196</v>
      </c>
      <c r="G147" s="27" t="s">
        <v>140</v>
      </c>
      <c r="H147" s="27" t="s">
        <v>114</v>
      </c>
      <c r="I147" s="29">
        <v>43978.0</v>
      </c>
      <c r="J147" s="29">
        <v>43979.0</v>
      </c>
      <c r="K147" s="27">
        <f t="shared" si="1"/>
        <v>1</v>
      </c>
      <c r="L147" s="27">
        <v>1.0</v>
      </c>
      <c r="M147" s="27">
        <f t="shared" si="2"/>
        <v>0</v>
      </c>
      <c r="N147" s="29">
        <v>43982.0</v>
      </c>
      <c r="O147" s="29">
        <v>44022.0</v>
      </c>
      <c r="P147" s="27">
        <f t="shared" si="3"/>
        <v>40</v>
      </c>
      <c r="Q147" s="27">
        <v>90.0</v>
      </c>
      <c r="R147" s="27">
        <f t="shared" si="4"/>
        <v>-50</v>
      </c>
      <c r="S147" s="27" t="s">
        <v>486</v>
      </c>
      <c r="T147" s="27" t="s">
        <v>487</v>
      </c>
      <c r="U147" s="27" t="s">
        <v>117</v>
      </c>
      <c r="V147" s="27" t="s">
        <v>147</v>
      </c>
      <c r="W147" s="27" t="s">
        <v>182</v>
      </c>
      <c r="X147" s="27" t="s">
        <v>259</v>
      </c>
      <c r="Y147" s="27">
        <v>2024.0</v>
      </c>
      <c r="Z147" s="27" t="s">
        <v>135</v>
      </c>
      <c r="AA147" s="27">
        <v>1998.0</v>
      </c>
      <c r="AB147" s="27">
        <v>16.0</v>
      </c>
      <c r="AC147" s="27">
        <v>0.0</v>
      </c>
      <c r="AD147" s="30">
        <v>453264.78</v>
      </c>
      <c r="AE147" s="30">
        <v>19222.07</v>
      </c>
      <c r="AF147" s="31">
        <v>0.04</v>
      </c>
      <c r="AG147" s="30">
        <v>71015.57</v>
      </c>
      <c r="AH147" s="30">
        <v>2448.0</v>
      </c>
      <c r="AI147" s="27">
        <v>7.75</v>
      </c>
      <c r="AJ147" s="30">
        <v>234700.0</v>
      </c>
      <c r="AK147" s="27">
        <v>51.78</v>
      </c>
      <c r="AL147" s="29">
        <v>44022.0</v>
      </c>
      <c r="AM147" s="29">
        <v>45848.0</v>
      </c>
      <c r="AN147" s="27">
        <v>60.0</v>
      </c>
      <c r="AO147" s="27">
        <v>3500.0</v>
      </c>
      <c r="AP147" s="27">
        <v>210000.0</v>
      </c>
      <c r="AQ147" s="29">
        <v>46203.0</v>
      </c>
      <c r="AR147" s="27">
        <v>27081.0</v>
      </c>
      <c r="AS147" s="27">
        <v>29785.0</v>
      </c>
      <c r="AT147" s="27">
        <v>2704.0</v>
      </c>
      <c r="AU147" s="27">
        <v>29290.0</v>
      </c>
      <c r="AV147" s="27">
        <v>2929.0</v>
      </c>
      <c r="AW147" s="30">
        <v>7878.55</v>
      </c>
      <c r="AX147" s="30">
        <v>1995.0</v>
      </c>
      <c r="AY147" s="30">
        <v>125.0</v>
      </c>
      <c r="AZ147" s="30">
        <v>291.0</v>
      </c>
      <c r="BA147" s="30">
        <v>1522.99</v>
      </c>
      <c r="BB147" s="30">
        <v>11812.54</v>
      </c>
      <c r="BC147" s="30">
        <v>1771.88</v>
      </c>
      <c r="BD147" s="30">
        <v>13584.42</v>
      </c>
      <c r="BE147" s="29">
        <v>45748.0</v>
      </c>
      <c r="BF147" s="29">
        <v>45838.0</v>
      </c>
      <c r="BG147" s="27">
        <v>19295.0</v>
      </c>
      <c r="BH147" s="27">
        <v>29785.0</v>
      </c>
      <c r="BI147" s="27">
        <v>10490.0</v>
      </c>
      <c r="BJ147" s="27">
        <v>10500.0</v>
      </c>
      <c r="BK147" s="27">
        <v>-10.0</v>
      </c>
      <c r="BL147" s="30">
        <v>0.66</v>
      </c>
      <c r="BM147" s="30">
        <v>1.04</v>
      </c>
      <c r="BN147" s="30">
        <v>0.0</v>
      </c>
      <c r="BO147" s="30">
        <v>0.0</v>
      </c>
      <c r="BP147" s="30">
        <v>0.0</v>
      </c>
      <c r="BQ147" s="30">
        <v>0.0</v>
      </c>
      <c r="BR147" s="30">
        <v>0.0</v>
      </c>
      <c r="BS147" s="30">
        <v>0.0</v>
      </c>
      <c r="BT147" s="30">
        <v>0.0</v>
      </c>
      <c r="BU147" s="30">
        <v>0.0</v>
      </c>
      <c r="BV147" s="30">
        <v>0.0</v>
      </c>
      <c r="BW147" s="30">
        <v>0.0</v>
      </c>
      <c r="BX147" s="30">
        <v>0.0</v>
      </c>
      <c r="BY147" s="30">
        <v>6320.74</v>
      </c>
      <c r="BZ147" s="27">
        <v>0.0</v>
      </c>
      <c r="CA147" s="30">
        <v>0.0</v>
      </c>
      <c r="CB147" s="27">
        <v>0.0</v>
      </c>
      <c r="CC147" s="30">
        <v>0.0</v>
      </c>
      <c r="CD147" s="30">
        <v>0.0</v>
      </c>
      <c r="CE147" s="30">
        <v>0.0</v>
      </c>
      <c r="CF147" s="30">
        <v>0.0</v>
      </c>
      <c r="CG147" s="30">
        <v>0.0</v>
      </c>
      <c r="CH147" s="30">
        <v>13584.42</v>
      </c>
      <c r="CI147" s="30">
        <v>1771.88</v>
      </c>
      <c r="CJ147" s="30">
        <v>11812.54</v>
      </c>
      <c r="CK147" s="30">
        <v>4.37</v>
      </c>
      <c r="CL147" s="27">
        <v>0.0</v>
      </c>
      <c r="CM147" s="27">
        <v>0.0</v>
      </c>
      <c r="CN147" s="27">
        <v>0.0</v>
      </c>
      <c r="CO147" s="27">
        <v>100.0</v>
      </c>
      <c r="CP147" s="29"/>
      <c r="CQ147" s="27">
        <v>0.0</v>
      </c>
      <c r="CR147" s="27">
        <v>0.0</v>
      </c>
      <c r="CS147" s="27">
        <v>0.0</v>
      </c>
      <c r="CT147" s="27">
        <v>-5825.0</v>
      </c>
      <c r="CU147" s="29">
        <v>47361.0</v>
      </c>
      <c r="CV147" s="29">
        <v>47361.0</v>
      </c>
      <c r="CW147" s="27">
        <v>210495.0</v>
      </c>
      <c r="CX147" s="27" t="s">
        <v>122</v>
      </c>
      <c r="CY147" s="27" t="s">
        <v>123</v>
      </c>
      <c r="CZ147" s="30">
        <v>1732.8</v>
      </c>
      <c r="DA147" s="30">
        <v>0.0</v>
      </c>
      <c r="DB147" s="30">
        <v>-5043.93</v>
      </c>
      <c r="DC147" s="30">
        <v>0.57</v>
      </c>
      <c r="DD147" s="30">
        <v>0.0</v>
      </c>
      <c r="DE147" s="30">
        <v>0.0</v>
      </c>
      <c r="DF147" s="27"/>
    </row>
    <row r="148" ht="13.5" customHeight="1">
      <c r="A148" s="27" t="s">
        <v>203</v>
      </c>
      <c r="B148" s="28">
        <v>43952.0</v>
      </c>
      <c r="C148" s="27" t="s">
        <v>136</v>
      </c>
      <c r="D148" s="27" t="s">
        <v>137</v>
      </c>
      <c r="E148" s="27" t="s">
        <v>138</v>
      </c>
      <c r="F148" s="27" t="s">
        <v>196</v>
      </c>
      <c r="G148" s="27" t="s">
        <v>140</v>
      </c>
      <c r="H148" s="27" t="s">
        <v>129</v>
      </c>
      <c r="I148" s="29">
        <v>43979.0</v>
      </c>
      <c r="J148" s="29">
        <v>43982.0</v>
      </c>
      <c r="K148" s="27">
        <f t="shared" si="1"/>
        <v>3</v>
      </c>
      <c r="L148" s="27">
        <v>1.0</v>
      </c>
      <c r="M148" s="27">
        <f t="shared" si="2"/>
        <v>2</v>
      </c>
      <c r="N148" s="29">
        <v>43973.0</v>
      </c>
      <c r="O148" s="29">
        <v>44023.0</v>
      </c>
      <c r="P148" s="27">
        <f t="shared" si="3"/>
        <v>50</v>
      </c>
      <c r="Q148" s="27">
        <v>90.0</v>
      </c>
      <c r="R148" s="27">
        <f t="shared" si="4"/>
        <v>-40</v>
      </c>
      <c r="S148" s="27" t="s">
        <v>488</v>
      </c>
      <c r="T148" s="27" t="s">
        <v>489</v>
      </c>
      <c r="U148" s="27" t="s">
        <v>117</v>
      </c>
      <c r="V148" s="27" t="s">
        <v>147</v>
      </c>
      <c r="W148" s="27" t="s">
        <v>182</v>
      </c>
      <c r="X148" s="27" t="s">
        <v>259</v>
      </c>
      <c r="Y148" s="27">
        <v>2024.0</v>
      </c>
      <c r="Z148" s="27" t="s">
        <v>135</v>
      </c>
      <c r="AA148" s="27">
        <v>1998.0</v>
      </c>
      <c r="AB148" s="27">
        <v>16.0</v>
      </c>
      <c r="AC148" s="27">
        <v>0.0</v>
      </c>
      <c r="AD148" s="30">
        <v>453264.78</v>
      </c>
      <c r="AE148" s="30">
        <v>19222.07</v>
      </c>
      <c r="AF148" s="31">
        <v>0.04</v>
      </c>
      <c r="AG148" s="30">
        <v>71863.64</v>
      </c>
      <c r="AH148" s="30">
        <v>2531.0</v>
      </c>
      <c r="AI148" s="27">
        <v>7.75</v>
      </c>
      <c r="AJ148" s="30">
        <v>234700.0</v>
      </c>
      <c r="AK148" s="27">
        <v>51.78</v>
      </c>
      <c r="AL148" s="29">
        <v>44023.0</v>
      </c>
      <c r="AM148" s="29">
        <v>45849.0</v>
      </c>
      <c r="AN148" s="27">
        <v>60.0</v>
      </c>
      <c r="AO148" s="27">
        <v>3500.0</v>
      </c>
      <c r="AP148" s="27">
        <v>210000.0</v>
      </c>
      <c r="AQ148" s="29">
        <v>46203.0</v>
      </c>
      <c r="AR148" s="27">
        <v>33332.0</v>
      </c>
      <c r="AS148" s="27">
        <v>34744.0</v>
      </c>
      <c r="AT148" s="27">
        <v>1412.0</v>
      </c>
      <c r="AU148" s="27">
        <v>34289.0</v>
      </c>
      <c r="AV148" s="27">
        <v>3429.0</v>
      </c>
      <c r="AW148" s="30">
        <v>7897.37</v>
      </c>
      <c r="AX148" s="30">
        <v>2170.0</v>
      </c>
      <c r="AY148" s="30">
        <v>125.0</v>
      </c>
      <c r="AZ148" s="30">
        <v>291.0</v>
      </c>
      <c r="BA148" s="30">
        <v>1522.99</v>
      </c>
      <c r="BB148" s="30">
        <v>12006.36</v>
      </c>
      <c r="BC148" s="30">
        <v>1800.95</v>
      </c>
      <c r="BD148" s="30">
        <v>13807.31</v>
      </c>
      <c r="BE148" s="29">
        <v>45748.0</v>
      </c>
      <c r="BF148" s="29">
        <v>45838.0</v>
      </c>
      <c r="BG148" s="27">
        <v>24476.0</v>
      </c>
      <c r="BH148" s="27">
        <v>34744.0</v>
      </c>
      <c r="BI148" s="27">
        <v>10268.0</v>
      </c>
      <c r="BJ148" s="27">
        <v>10500.0</v>
      </c>
      <c r="BK148" s="27">
        <v>-232.0</v>
      </c>
      <c r="BL148" s="30">
        <v>0.71</v>
      </c>
      <c r="BM148" s="30">
        <v>1.04</v>
      </c>
      <c r="BN148" s="30">
        <v>0.0</v>
      </c>
      <c r="BO148" s="30">
        <v>0.0</v>
      </c>
      <c r="BP148" s="30">
        <v>0.0</v>
      </c>
      <c r="BQ148" s="30">
        <v>0.0</v>
      </c>
      <c r="BR148" s="30">
        <v>0.0</v>
      </c>
      <c r="BS148" s="30">
        <v>0.0</v>
      </c>
      <c r="BT148" s="30">
        <v>0.0</v>
      </c>
      <c r="BU148" s="30">
        <v>0.0</v>
      </c>
      <c r="BV148" s="30">
        <v>0.0</v>
      </c>
      <c r="BW148" s="30">
        <v>0.0</v>
      </c>
      <c r="BX148" s="30">
        <v>0.0</v>
      </c>
      <c r="BY148" s="30">
        <v>2736.98</v>
      </c>
      <c r="BZ148" s="27">
        <v>0.0</v>
      </c>
      <c r="CA148" s="30">
        <v>0.0</v>
      </c>
      <c r="CB148" s="27">
        <v>0.0</v>
      </c>
      <c r="CC148" s="30">
        <v>0.0</v>
      </c>
      <c r="CD148" s="30">
        <v>0.0</v>
      </c>
      <c r="CE148" s="30">
        <v>0.0</v>
      </c>
      <c r="CF148" s="30">
        <v>0.0</v>
      </c>
      <c r="CG148" s="30">
        <v>0.0</v>
      </c>
      <c r="CH148" s="30">
        <v>13807.31</v>
      </c>
      <c r="CI148" s="30">
        <v>1800.95</v>
      </c>
      <c r="CJ148" s="30">
        <v>12006.36</v>
      </c>
      <c r="CK148" s="30">
        <v>8.5</v>
      </c>
      <c r="CL148" s="27">
        <v>0.0</v>
      </c>
      <c r="CM148" s="27">
        <v>0.0</v>
      </c>
      <c r="CN148" s="27">
        <v>0.0</v>
      </c>
      <c r="CO148" s="27">
        <v>100.0</v>
      </c>
      <c r="CP148" s="29"/>
      <c r="CQ148" s="27">
        <v>0.0</v>
      </c>
      <c r="CR148" s="27">
        <v>0.0</v>
      </c>
      <c r="CS148" s="27">
        <v>0.0</v>
      </c>
      <c r="CT148" s="27">
        <v>-1286.0</v>
      </c>
      <c r="CU148" s="29">
        <v>47361.0</v>
      </c>
      <c r="CV148" s="29">
        <v>47361.0</v>
      </c>
      <c r="CW148" s="27">
        <v>210455.0</v>
      </c>
      <c r="CX148" s="27" t="s">
        <v>122</v>
      </c>
      <c r="CY148" s="27" t="s">
        <v>123</v>
      </c>
      <c r="CZ148" s="30">
        <v>781.0</v>
      </c>
      <c r="DA148" s="30">
        <v>1144.0</v>
      </c>
      <c r="DB148" s="30">
        <v>-1376.0</v>
      </c>
      <c r="DC148" s="30">
        <v>0.62</v>
      </c>
      <c r="DD148" s="30">
        <v>0.0</v>
      </c>
      <c r="DE148" s="30">
        <v>0.0</v>
      </c>
      <c r="DF148" s="27"/>
    </row>
    <row r="149" ht="13.5" customHeight="1">
      <c r="A149" s="27" t="s">
        <v>203</v>
      </c>
      <c r="B149" s="28">
        <v>43952.0</v>
      </c>
      <c r="C149" s="27" t="s">
        <v>109</v>
      </c>
      <c r="D149" s="27" t="s">
        <v>110</v>
      </c>
      <c r="E149" s="27" t="s">
        <v>111</v>
      </c>
      <c r="F149" s="27" t="s">
        <v>176</v>
      </c>
      <c r="G149" s="27" t="s">
        <v>140</v>
      </c>
      <c r="H149" s="27" t="s">
        <v>141</v>
      </c>
      <c r="I149" s="29">
        <v>43980.0</v>
      </c>
      <c r="J149" s="29">
        <v>43981.0</v>
      </c>
      <c r="K149" s="27">
        <f t="shared" si="1"/>
        <v>1</v>
      </c>
      <c r="L149" s="27">
        <v>1.0</v>
      </c>
      <c r="M149" s="27">
        <f t="shared" si="2"/>
        <v>0</v>
      </c>
      <c r="N149" s="29">
        <v>43974.0</v>
      </c>
      <c r="O149" s="29">
        <v>44147.0</v>
      </c>
      <c r="P149" s="27">
        <f t="shared" si="3"/>
        <v>173</v>
      </c>
      <c r="Q149" s="27">
        <v>90.0</v>
      </c>
      <c r="R149" s="27">
        <f t="shared" si="4"/>
        <v>83</v>
      </c>
      <c r="S149" s="27" t="s">
        <v>490</v>
      </c>
      <c r="T149" s="27" t="s">
        <v>491</v>
      </c>
      <c r="U149" s="27" t="s">
        <v>117</v>
      </c>
      <c r="V149" s="27" t="s">
        <v>147</v>
      </c>
      <c r="W149" s="27" t="s">
        <v>182</v>
      </c>
      <c r="X149" s="27" t="s">
        <v>183</v>
      </c>
      <c r="Y149" s="27">
        <v>2024.0</v>
      </c>
      <c r="Z149" s="27" t="s">
        <v>135</v>
      </c>
      <c r="AA149" s="27">
        <v>1998.0</v>
      </c>
      <c r="AB149" s="27">
        <v>16.0</v>
      </c>
      <c r="AC149" s="27">
        <v>0.0</v>
      </c>
      <c r="AD149" s="30">
        <v>491833.91</v>
      </c>
      <c r="AE149" s="30">
        <v>35437.99</v>
      </c>
      <c r="AF149" s="31">
        <v>0.07</v>
      </c>
      <c r="AG149" s="30">
        <v>108014.87</v>
      </c>
      <c r="AH149" s="30">
        <v>2322.0</v>
      </c>
      <c r="AI149" s="27">
        <v>7.75</v>
      </c>
      <c r="AJ149" s="30">
        <v>229355.5</v>
      </c>
      <c r="AK149" s="27">
        <v>54.22</v>
      </c>
      <c r="AL149" s="29">
        <v>44147.0</v>
      </c>
      <c r="AM149" s="29">
        <v>45973.0</v>
      </c>
      <c r="AN149" s="27">
        <v>60.0</v>
      </c>
      <c r="AO149" s="27">
        <v>4000.0</v>
      </c>
      <c r="AP149" s="27">
        <v>217302.0</v>
      </c>
      <c r="AQ149" s="29">
        <v>46203.0</v>
      </c>
      <c r="AR149" s="27">
        <v>29347.0</v>
      </c>
      <c r="AS149" s="27">
        <v>32543.0</v>
      </c>
      <c r="AT149" s="27">
        <v>3196.0</v>
      </c>
      <c r="AU149" s="27">
        <v>32498.0</v>
      </c>
      <c r="AV149" s="27">
        <v>3611.0</v>
      </c>
      <c r="AW149" s="30">
        <v>9955.37</v>
      </c>
      <c r="AX149" s="30">
        <v>2440.0</v>
      </c>
      <c r="AY149" s="30">
        <v>125.0</v>
      </c>
      <c r="AZ149" s="30">
        <v>290.98</v>
      </c>
      <c r="BA149" s="30">
        <v>1538.21</v>
      </c>
      <c r="BB149" s="30">
        <v>14349.56</v>
      </c>
      <c r="BC149" s="30">
        <v>2152.43</v>
      </c>
      <c r="BD149" s="30">
        <v>16501.99</v>
      </c>
      <c r="BE149" s="29">
        <v>45748.0</v>
      </c>
      <c r="BF149" s="29">
        <v>45838.0</v>
      </c>
      <c r="BG149" s="27">
        <v>20461.0</v>
      </c>
      <c r="BH149" s="27">
        <v>32543.0</v>
      </c>
      <c r="BI149" s="27">
        <v>12082.0</v>
      </c>
      <c r="BJ149" s="27">
        <v>15000.0</v>
      </c>
      <c r="BK149" s="27">
        <v>-2918.0</v>
      </c>
      <c r="BL149" s="30">
        <v>0.7</v>
      </c>
      <c r="BM149" s="30">
        <v>1.02</v>
      </c>
      <c r="BN149" s="30">
        <v>0.0</v>
      </c>
      <c r="BO149" s="30">
        <v>0.0</v>
      </c>
      <c r="BP149" s="30">
        <v>0.0</v>
      </c>
      <c r="BQ149" s="30">
        <v>-328.28</v>
      </c>
      <c r="BR149" s="30">
        <v>0.0</v>
      </c>
      <c r="BS149" s="30">
        <v>0.0</v>
      </c>
      <c r="BT149" s="30">
        <v>0.0</v>
      </c>
      <c r="BU149" s="30">
        <v>0.0</v>
      </c>
      <c r="BV149" s="30">
        <v>0.0</v>
      </c>
      <c r="BW149" s="30">
        <v>0.0</v>
      </c>
      <c r="BX149" s="30">
        <v>0.0</v>
      </c>
      <c r="BY149" s="30">
        <v>12651.75</v>
      </c>
      <c r="BZ149" s="27">
        <v>0.0</v>
      </c>
      <c r="CA149" s="30">
        <v>0.0</v>
      </c>
      <c r="CB149" s="27">
        <v>0.0</v>
      </c>
      <c r="CC149" s="30">
        <v>0.0</v>
      </c>
      <c r="CD149" s="30">
        <v>0.0</v>
      </c>
      <c r="CE149" s="30">
        <v>0.0</v>
      </c>
      <c r="CF149" s="30">
        <v>0.0</v>
      </c>
      <c r="CG149" s="30">
        <v>0.0</v>
      </c>
      <c r="CH149" s="30">
        <v>13985.21</v>
      </c>
      <c r="CI149" s="30">
        <v>1824.15</v>
      </c>
      <c r="CJ149" s="30">
        <v>12161.06</v>
      </c>
      <c r="CK149" s="30">
        <v>3.81</v>
      </c>
      <c r="CL149" s="27">
        <v>0.0</v>
      </c>
      <c r="CM149" s="27">
        <v>0.0</v>
      </c>
      <c r="CN149" s="27">
        <v>0.0</v>
      </c>
      <c r="CO149" s="27">
        <v>100.0</v>
      </c>
      <c r="CP149" s="29"/>
      <c r="CQ149" s="27">
        <v>0.0</v>
      </c>
      <c r="CR149" s="27">
        <v>0.0</v>
      </c>
      <c r="CS149" s="27">
        <v>0.0</v>
      </c>
      <c r="CT149" s="27">
        <v>-19480.0</v>
      </c>
      <c r="CU149" s="29">
        <v>47238.0</v>
      </c>
      <c r="CV149" s="29">
        <v>47238.0</v>
      </c>
      <c r="CW149" s="27">
        <v>217347.0</v>
      </c>
      <c r="CX149" s="27" t="s">
        <v>122</v>
      </c>
      <c r="CY149" s="27" t="s">
        <v>123</v>
      </c>
      <c r="CZ149" s="30">
        <v>0.0</v>
      </c>
      <c r="DA149" s="30">
        <v>0.0</v>
      </c>
      <c r="DB149" s="30">
        <v>-12291.32</v>
      </c>
      <c r="DC149" s="30">
        <v>0.75</v>
      </c>
      <c r="DD149" s="30">
        <v>-2188.5</v>
      </c>
      <c r="DE149" s="30">
        <v>-2516.78</v>
      </c>
      <c r="DF149" s="27"/>
    </row>
    <row r="150" ht="13.5" customHeight="1">
      <c r="A150" s="27" t="s">
        <v>203</v>
      </c>
      <c r="B150" s="28">
        <v>43952.0</v>
      </c>
      <c r="C150" s="27" t="s">
        <v>124</v>
      </c>
      <c r="D150" s="27" t="s">
        <v>125</v>
      </c>
      <c r="E150" s="27" t="s">
        <v>126</v>
      </c>
      <c r="F150" s="27" t="s">
        <v>176</v>
      </c>
      <c r="G150" s="27" t="s">
        <v>140</v>
      </c>
      <c r="H150" s="27" t="s">
        <v>114</v>
      </c>
      <c r="I150" s="29">
        <v>43981.0</v>
      </c>
      <c r="J150" s="29">
        <v>43982.0</v>
      </c>
      <c r="K150" s="27">
        <f t="shared" si="1"/>
        <v>1</v>
      </c>
      <c r="L150" s="27">
        <v>1.0</v>
      </c>
      <c r="M150" s="27">
        <f t="shared" si="2"/>
        <v>0</v>
      </c>
      <c r="N150" s="29">
        <v>43975.0</v>
      </c>
      <c r="O150" s="29">
        <v>44025.0</v>
      </c>
      <c r="P150" s="27">
        <f t="shared" si="3"/>
        <v>50</v>
      </c>
      <c r="Q150" s="27">
        <v>90.0</v>
      </c>
      <c r="R150" s="27">
        <f t="shared" si="4"/>
        <v>-40</v>
      </c>
      <c r="S150" s="27" t="s">
        <v>492</v>
      </c>
      <c r="T150" s="27" t="s">
        <v>493</v>
      </c>
      <c r="U150" s="27" t="s">
        <v>117</v>
      </c>
      <c r="V150" s="27" t="s">
        <v>147</v>
      </c>
      <c r="W150" s="27" t="s">
        <v>182</v>
      </c>
      <c r="X150" s="27" t="s">
        <v>259</v>
      </c>
      <c r="Y150" s="27">
        <v>2024.0</v>
      </c>
      <c r="Z150" s="27" t="s">
        <v>135</v>
      </c>
      <c r="AA150" s="27">
        <v>1998.0</v>
      </c>
      <c r="AB150" s="27">
        <v>16.0</v>
      </c>
      <c r="AC150" s="27">
        <v>4.0</v>
      </c>
      <c r="AD150" s="30">
        <v>453264.78</v>
      </c>
      <c r="AE150" s="30">
        <v>19222.07</v>
      </c>
      <c r="AF150" s="31">
        <v>0.04</v>
      </c>
      <c r="AG150" s="30">
        <v>37259.81</v>
      </c>
      <c r="AH150" s="30">
        <v>2633.0</v>
      </c>
      <c r="AI150" s="27">
        <v>7.75</v>
      </c>
      <c r="AJ150" s="30">
        <v>234700.0</v>
      </c>
      <c r="AK150" s="27">
        <v>51.78</v>
      </c>
      <c r="AL150" s="29">
        <v>44025.0</v>
      </c>
      <c r="AM150" s="29">
        <v>45851.0</v>
      </c>
      <c r="AN150" s="27">
        <v>60.0</v>
      </c>
      <c r="AO150" s="27">
        <v>3000.0</v>
      </c>
      <c r="AP150" s="27">
        <v>180000.0</v>
      </c>
      <c r="AQ150" s="29">
        <v>46203.0</v>
      </c>
      <c r="AR150" s="27">
        <v>21579.0</v>
      </c>
      <c r="AS150" s="27">
        <v>24675.0</v>
      </c>
      <c r="AT150" s="27">
        <v>3096.0</v>
      </c>
      <c r="AU150" s="27">
        <v>24069.0</v>
      </c>
      <c r="AV150" s="27">
        <v>2407.0</v>
      </c>
      <c r="AW150" s="30">
        <v>7200.85</v>
      </c>
      <c r="AX150" s="30">
        <v>2010.0</v>
      </c>
      <c r="AY150" s="30">
        <v>125.0</v>
      </c>
      <c r="AZ150" s="30">
        <v>290.99</v>
      </c>
      <c r="BA150" s="30">
        <v>1522.99</v>
      </c>
      <c r="BB150" s="30">
        <v>11149.83</v>
      </c>
      <c r="BC150" s="30">
        <v>1672.47</v>
      </c>
      <c r="BD150" s="30">
        <v>12822.3</v>
      </c>
      <c r="BE150" s="29">
        <v>45748.0</v>
      </c>
      <c r="BF150" s="29">
        <v>45838.0</v>
      </c>
      <c r="BG150" s="27">
        <v>17730.0</v>
      </c>
      <c r="BH150" s="27">
        <v>24675.0</v>
      </c>
      <c r="BI150" s="27">
        <v>6945.0</v>
      </c>
      <c r="BJ150" s="27">
        <v>9000.0</v>
      </c>
      <c r="BK150" s="27">
        <v>-2055.0</v>
      </c>
      <c r="BL150" s="30">
        <v>0.77</v>
      </c>
      <c r="BM150" s="30">
        <v>1.21</v>
      </c>
      <c r="BN150" s="30">
        <v>0.0</v>
      </c>
      <c r="BO150" s="30">
        <v>0.0</v>
      </c>
      <c r="BP150" s="30">
        <v>0.0</v>
      </c>
      <c r="BQ150" s="30">
        <v>-206.53</v>
      </c>
      <c r="BR150" s="30">
        <v>0.0</v>
      </c>
      <c r="BS150" s="30">
        <v>0.0</v>
      </c>
      <c r="BT150" s="30">
        <v>0.0</v>
      </c>
      <c r="BU150" s="30">
        <v>0.0</v>
      </c>
      <c r="BV150" s="30">
        <v>0.0</v>
      </c>
      <c r="BW150" s="30">
        <v>0.0</v>
      </c>
      <c r="BX150" s="30">
        <v>0.0</v>
      </c>
      <c r="BY150" s="30">
        <v>7026.6</v>
      </c>
      <c r="BZ150" s="27">
        <v>0.0</v>
      </c>
      <c r="CA150" s="30">
        <v>0.0</v>
      </c>
      <c r="CB150" s="27">
        <v>0.0</v>
      </c>
      <c r="CC150" s="30">
        <v>0.0</v>
      </c>
      <c r="CD150" s="30">
        <v>0.0</v>
      </c>
      <c r="CE150" s="30">
        <v>0.0</v>
      </c>
      <c r="CF150" s="30">
        <v>0.0</v>
      </c>
      <c r="CG150" s="30">
        <v>0.0</v>
      </c>
      <c r="CH150" s="30">
        <v>11238.92</v>
      </c>
      <c r="CI150" s="30">
        <v>1465.94</v>
      </c>
      <c r="CJ150" s="30">
        <v>9772.98</v>
      </c>
      <c r="CK150" s="30">
        <v>3.16</v>
      </c>
      <c r="CL150" s="27">
        <v>0.0</v>
      </c>
      <c r="CM150" s="27">
        <v>0.0</v>
      </c>
      <c r="CN150" s="27">
        <v>0.0</v>
      </c>
      <c r="CO150" s="27">
        <v>100.0</v>
      </c>
      <c r="CP150" s="29"/>
      <c r="CQ150" s="27">
        <v>0.0</v>
      </c>
      <c r="CR150" s="27">
        <v>0.0</v>
      </c>
      <c r="CS150" s="27">
        <v>0.0</v>
      </c>
      <c r="CT150" s="27">
        <v>-7903.0</v>
      </c>
      <c r="CU150" s="29">
        <v>47361.0</v>
      </c>
      <c r="CV150" s="29">
        <v>47361.0</v>
      </c>
      <c r="CW150" s="27">
        <v>180606.0</v>
      </c>
      <c r="CX150" s="27" t="s">
        <v>122</v>
      </c>
      <c r="CY150" s="27" t="s">
        <v>123</v>
      </c>
      <c r="CZ150" s="30">
        <v>0.0</v>
      </c>
      <c r="DA150" s="30">
        <v>0.0</v>
      </c>
      <c r="DB150" s="30">
        <v>-5360.0</v>
      </c>
      <c r="DC150" s="30">
        <v>0.67</v>
      </c>
      <c r="DD150" s="30">
        <v>-1376.85</v>
      </c>
      <c r="DE150" s="30">
        <v>-1583.38</v>
      </c>
      <c r="DF150" s="27"/>
    </row>
    <row r="151" ht="13.5" customHeight="1">
      <c r="A151" s="27" t="s">
        <v>203</v>
      </c>
      <c r="B151" s="28">
        <v>43952.0</v>
      </c>
      <c r="C151" s="27" t="s">
        <v>136</v>
      </c>
      <c r="D151" s="27" t="s">
        <v>137</v>
      </c>
      <c r="E151" s="27" t="s">
        <v>138</v>
      </c>
      <c r="F151" s="27" t="s">
        <v>176</v>
      </c>
      <c r="G151" s="27" t="s">
        <v>140</v>
      </c>
      <c r="H151" s="27" t="s">
        <v>129</v>
      </c>
      <c r="I151" s="29">
        <v>43982.0</v>
      </c>
      <c r="J151" s="29">
        <v>43983.0</v>
      </c>
      <c r="K151" s="27">
        <f t="shared" si="1"/>
        <v>1</v>
      </c>
      <c r="L151" s="27">
        <v>1.0</v>
      </c>
      <c r="M151" s="27">
        <f t="shared" si="2"/>
        <v>0</v>
      </c>
      <c r="N151" s="29">
        <v>43976.0</v>
      </c>
      <c r="O151" s="29">
        <v>44026.0</v>
      </c>
      <c r="P151" s="27">
        <f t="shared" si="3"/>
        <v>50</v>
      </c>
      <c r="Q151" s="27">
        <v>90.0</v>
      </c>
      <c r="R151" s="27">
        <f t="shared" si="4"/>
        <v>-40</v>
      </c>
      <c r="S151" s="27" t="s">
        <v>494</v>
      </c>
      <c r="T151" s="27" t="s">
        <v>495</v>
      </c>
      <c r="U151" s="27" t="s">
        <v>117</v>
      </c>
      <c r="V151" s="27" t="s">
        <v>147</v>
      </c>
      <c r="W151" s="27" t="s">
        <v>182</v>
      </c>
      <c r="X151" s="27" t="s">
        <v>183</v>
      </c>
      <c r="Y151" s="27">
        <v>2024.0</v>
      </c>
      <c r="Z151" s="27" t="s">
        <v>135</v>
      </c>
      <c r="AA151" s="27">
        <v>1998.0</v>
      </c>
      <c r="AB151" s="27">
        <v>16.0</v>
      </c>
      <c r="AC151" s="27">
        <v>0.0</v>
      </c>
      <c r="AD151" s="30">
        <v>491833.91</v>
      </c>
      <c r="AE151" s="30">
        <v>35437.99</v>
      </c>
      <c r="AF151" s="31">
        <v>0.07</v>
      </c>
      <c r="AG151" s="30">
        <v>108178.94</v>
      </c>
      <c r="AH151" s="30">
        <v>2322.0</v>
      </c>
      <c r="AI151" s="27">
        <v>7.75</v>
      </c>
      <c r="AJ151" s="30">
        <v>229355.5</v>
      </c>
      <c r="AK151" s="27">
        <v>54.22</v>
      </c>
      <c r="AL151" s="29">
        <v>44026.0</v>
      </c>
      <c r="AM151" s="29">
        <v>45852.0</v>
      </c>
      <c r="AN151" s="27">
        <v>60.0</v>
      </c>
      <c r="AO151" s="27">
        <v>4000.0</v>
      </c>
      <c r="AP151" s="27">
        <v>216569.0</v>
      </c>
      <c r="AQ151" s="29">
        <v>46203.0</v>
      </c>
      <c r="AR151" s="27">
        <v>29053.0</v>
      </c>
      <c r="AS151" s="27">
        <v>33497.0</v>
      </c>
      <c r="AT151" s="27">
        <v>4444.0</v>
      </c>
      <c r="AU151" s="27">
        <v>33013.0</v>
      </c>
      <c r="AV151" s="27">
        <v>3668.0</v>
      </c>
      <c r="AW151" s="30">
        <v>9958.72</v>
      </c>
      <c r="AX151" s="30">
        <v>2440.0</v>
      </c>
      <c r="AY151" s="30">
        <v>125.0</v>
      </c>
      <c r="AZ151" s="30">
        <v>290.98</v>
      </c>
      <c r="BA151" s="30">
        <v>1538.21</v>
      </c>
      <c r="BB151" s="30">
        <v>14352.91</v>
      </c>
      <c r="BC151" s="30">
        <v>2152.94</v>
      </c>
      <c r="BD151" s="30">
        <v>16505.85</v>
      </c>
      <c r="BE151" s="29">
        <v>45748.0</v>
      </c>
      <c r="BF151" s="29">
        <v>45838.0</v>
      </c>
      <c r="BG151" s="27">
        <v>20852.0</v>
      </c>
      <c r="BH151" s="27">
        <v>33497.0</v>
      </c>
      <c r="BI151" s="27">
        <v>12645.0</v>
      </c>
      <c r="BJ151" s="27">
        <v>15000.0</v>
      </c>
      <c r="BK151" s="27">
        <v>-2355.0</v>
      </c>
      <c r="BL151" s="30">
        <v>0.7</v>
      </c>
      <c r="BM151" s="30">
        <v>1.02</v>
      </c>
      <c r="BN151" s="30">
        <v>0.0</v>
      </c>
      <c r="BO151" s="30">
        <v>0.0</v>
      </c>
      <c r="BP151" s="30">
        <v>0.0</v>
      </c>
      <c r="BQ151" s="30">
        <v>-264.94</v>
      </c>
      <c r="BR151" s="30">
        <v>0.0</v>
      </c>
      <c r="BS151" s="30">
        <v>0.0</v>
      </c>
      <c r="BT151" s="30">
        <v>0.0</v>
      </c>
      <c r="BU151" s="30">
        <v>0.0</v>
      </c>
      <c r="BV151" s="30">
        <v>0.0</v>
      </c>
      <c r="BW151" s="30">
        <v>0.0</v>
      </c>
      <c r="BX151" s="30">
        <v>0.0</v>
      </c>
      <c r="BY151" s="30">
        <v>10212.42</v>
      </c>
      <c r="BZ151" s="27">
        <v>0.0</v>
      </c>
      <c r="CA151" s="30">
        <v>0.0</v>
      </c>
      <c r="CB151" s="27">
        <v>0.0</v>
      </c>
      <c r="CC151" s="30">
        <v>0.0</v>
      </c>
      <c r="CD151" s="30">
        <v>0.0</v>
      </c>
      <c r="CE151" s="30">
        <v>0.0</v>
      </c>
      <c r="CF151" s="30">
        <v>0.0</v>
      </c>
      <c r="CG151" s="30">
        <v>0.0</v>
      </c>
      <c r="CH151" s="30">
        <v>14474.66</v>
      </c>
      <c r="CI151" s="30">
        <v>1888.0</v>
      </c>
      <c r="CJ151" s="30">
        <v>12586.66</v>
      </c>
      <c r="CK151" s="30">
        <v>2.83</v>
      </c>
      <c r="CL151" s="27">
        <v>0.0</v>
      </c>
      <c r="CM151" s="27">
        <v>0.0</v>
      </c>
      <c r="CN151" s="27">
        <v>0.0</v>
      </c>
      <c r="CO151" s="27">
        <v>100.0</v>
      </c>
      <c r="CP151" s="29"/>
      <c r="CQ151" s="27">
        <v>0.0</v>
      </c>
      <c r="CR151" s="27">
        <v>0.0</v>
      </c>
      <c r="CS151" s="27">
        <v>0.0</v>
      </c>
      <c r="CT151" s="27">
        <v>-18965.0</v>
      </c>
      <c r="CU151" s="29">
        <v>47238.0</v>
      </c>
      <c r="CV151" s="29">
        <v>47238.0</v>
      </c>
      <c r="CW151" s="27">
        <v>217053.0</v>
      </c>
      <c r="CX151" s="27" t="s">
        <v>122</v>
      </c>
      <c r="CY151" s="27" t="s">
        <v>123</v>
      </c>
      <c r="CZ151" s="30">
        <v>0.0</v>
      </c>
      <c r="DA151" s="30">
        <v>0.0</v>
      </c>
      <c r="DB151" s="30">
        <v>-11898.35</v>
      </c>
      <c r="DC151" s="30">
        <v>0.75</v>
      </c>
      <c r="DD151" s="30">
        <v>-1766.25</v>
      </c>
      <c r="DE151" s="30">
        <v>-2031.19</v>
      </c>
      <c r="DF151" s="27"/>
    </row>
    <row r="152" ht="13.5" customHeight="1">
      <c r="A152" s="27" t="s">
        <v>203</v>
      </c>
      <c r="B152" s="28">
        <v>43952.0</v>
      </c>
      <c r="C152" s="27" t="s">
        <v>109</v>
      </c>
      <c r="D152" s="27" t="s">
        <v>110</v>
      </c>
      <c r="E152" s="27" t="s">
        <v>111</v>
      </c>
      <c r="F152" s="27" t="s">
        <v>176</v>
      </c>
      <c r="G152" s="27" t="s">
        <v>140</v>
      </c>
      <c r="H152" s="27" t="s">
        <v>141</v>
      </c>
      <c r="I152" s="29">
        <v>43972.0</v>
      </c>
      <c r="J152" s="29">
        <v>43984.0</v>
      </c>
      <c r="K152" s="27">
        <f t="shared" si="1"/>
        <v>12</v>
      </c>
      <c r="L152" s="27">
        <v>1.0</v>
      </c>
      <c r="M152" s="27">
        <f t="shared" si="2"/>
        <v>11</v>
      </c>
      <c r="N152" s="29">
        <v>43977.0</v>
      </c>
      <c r="O152" s="29">
        <v>44027.0</v>
      </c>
      <c r="P152" s="27">
        <f t="shared" si="3"/>
        <v>50</v>
      </c>
      <c r="Q152" s="27">
        <v>90.0</v>
      </c>
      <c r="R152" s="27">
        <f t="shared" si="4"/>
        <v>-40</v>
      </c>
      <c r="S152" s="27" t="s">
        <v>496</v>
      </c>
      <c r="T152" s="27" t="s">
        <v>497</v>
      </c>
      <c r="U152" s="27" t="s">
        <v>117</v>
      </c>
      <c r="V152" s="27" t="s">
        <v>147</v>
      </c>
      <c r="W152" s="27" t="s">
        <v>182</v>
      </c>
      <c r="X152" s="27" t="s">
        <v>183</v>
      </c>
      <c r="Y152" s="27">
        <v>2024.0</v>
      </c>
      <c r="Z152" s="27" t="s">
        <v>135</v>
      </c>
      <c r="AA152" s="27">
        <v>1998.0</v>
      </c>
      <c r="AB152" s="27">
        <v>16.0</v>
      </c>
      <c r="AC152" s="27">
        <v>0.0</v>
      </c>
      <c r="AD152" s="30">
        <v>491833.91</v>
      </c>
      <c r="AE152" s="30">
        <v>34535.03</v>
      </c>
      <c r="AF152" s="31">
        <v>0.07</v>
      </c>
      <c r="AG152" s="30">
        <v>108031.94</v>
      </c>
      <c r="AH152" s="30">
        <v>2322.0</v>
      </c>
      <c r="AI152" s="27">
        <v>7.75</v>
      </c>
      <c r="AJ152" s="30">
        <v>215864.0</v>
      </c>
      <c r="AK152" s="27">
        <v>50.94</v>
      </c>
      <c r="AL152" s="29">
        <v>44027.0</v>
      </c>
      <c r="AM152" s="29">
        <v>45853.0</v>
      </c>
      <c r="AN152" s="27">
        <v>60.0</v>
      </c>
      <c r="AO152" s="27">
        <v>2000.0</v>
      </c>
      <c r="AP152" s="27">
        <v>122561.0</v>
      </c>
      <c r="AQ152" s="29">
        <v>46203.0</v>
      </c>
      <c r="AR152" s="27">
        <v>18602.0</v>
      </c>
      <c r="AS152" s="27">
        <v>22872.0</v>
      </c>
      <c r="AT152" s="27">
        <v>4270.0</v>
      </c>
      <c r="AU152" s="27">
        <v>22831.0</v>
      </c>
      <c r="AV152" s="27">
        <v>2537.0</v>
      </c>
      <c r="AW152" s="30">
        <v>9613.23</v>
      </c>
      <c r="AX152" s="30">
        <v>1680.0</v>
      </c>
      <c r="AY152" s="30">
        <v>125.0</v>
      </c>
      <c r="AZ152" s="30">
        <v>290.98</v>
      </c>
      <c r="BA152" s="30">
        <v>1538.21</v>
      </c>
      <c r="BB152" s="30">
        <v>13247.42</v>
      </c>
      <c r="BC152" s="30">
        <v>1987.11</v>
      </c>
      <c r="BD152" s="30">
        <v>15234.53</v>
      </c>
      <c r="BE152" s="29">
        <v>45748.0</v>
      </c>
      <c r="BF152" s="29">
        <v>45838.0</v>
      </c>
      <c r="BG152" s="27">
        <v>13706.0</v>
      </c>
      <c r="BH152" s="27">
        <v>22872.0</v>
      </c>
      <c r="BI152" s="27">
        <v>9166.0</v>
      </c>
      <c r="BJ152" s="27">
        <v>13000.0</v>
      </c>
      <c r="BK152" s="27">
        <v>-3834.0</v>
      </c>
      <c r="BL152" s="30">
        <v>0.7</v>
      </c>
      <c r="BM152" s="30">
        <v>1.81</v>
      </c>
      <c r="BN152" s="30">
        <v>0.0</v>
      </c>
      <c r="BO152" s="30">
        <v>0.0</v>
      </c>
      <c r="BP152" s="30">
        <v>0.0</v>
      </c>
      <c r="BQ152" s="30">
        <v>-644.11</v>
      </c>
      <c r="BR152" s="30">
        <v>0.0</v>
      </c>
      <c r="BS152" s="30">
        <v>0.0</v>
      </c>
      <c r="BT152" s="30">
        <v>0.0</v>
      </c>
      <c r="BU152" s="30">
        <v>0.0</v>
      </c>
      <c r="BV152" s="30">
        <v>0.0</v>
      </c>
      <c r="BW152" s="30">
        <v>0.0</v>
      </c>
      <c r="BX152" s="30">
        <v>0.0</v>
      </c>
      <c r="BY152" s="30">
        <v>9794.35</v>
      </c>
      <c r="BZ152" s="27">
        <v>0.0</v>
      </c>
      <c r="CA152" s="30">
        <v>0.0</v>
      </c>
      <c r="CB152" s="27">
        <v>0.0</v>
      </c>
      <c r="CC152" s="30">
        <v>0.0</v>
      </c>
      <c r="CD152" s="30">
        <v>0.0</v>
      </c>
      <c r="CE152" s="30">
        <v>0.0</v>
      </c>
      <c r="CF152" s="30">
        <v>0.0</v>
      </c>
      <c r="CG152" s="30">
        <v>0.0</v>
      </c>
      <c r="CH152" s="30">
        <v>10296.34</v>
      </c>
      <c r="CI152" s="30">
        <v>1343.0</v>
      </c>
      <c r="CJ152" s="30">
        <v>8953.34</v>
      </c>
      <c r="CK152" s="30">
        <v>2.1</v>
      </c>
      <c r="CL152" s="27">
        <v>0.0</v>
      </c>
      <c r="CM152" s="27">
        <v>0.0</v>
      </c>
      <c r="CN152" s="27">
        <v>0.0</v>
      </c>
      <c r="CO152" s="27">
        <v>100.0</v>
      </c>
      <c r="CP152" s="29"/>
      <c r="CQ152" s="27">
        <v>0.0</v>
      </c>
      <c r="CR152" s="27">
        <v>0.0</v>
      </c>
      <c r="CS152" s="27">
        <v>0.0</v>
      </c>
      <c r="CT152" s="27">
        <v>-27689.0</v>
      </c>
      <c r="CU152" s="29">
        <v>47391.0</v>
      </c>
      <c r="CV152" s="29">
        <v>47391.0</v>
      </c>
      <c r="CW152" s="27">
        <v>122602.0</v>
      </c>
      <c r="CX152" s="27" t="s">
        <v>122</v>
      </c>
      <c r="CY152" s="27" t="s">
        <v>123</v>
      </c>
      <c r="CZ152" s="30">
        <v>0.0</v>
      </c>
      <c r="DA152" s="30">
        <v>0.0</v>
      </c>
      <c r="DB152" s="30">
        <v>-18845.63</v>
      </c>
      <c r="DC152" s="30">
        <v>1.12</v>
      </c>
      <c r="DD152" s="30">
        <v>-4294.08</v>
      </c>
      <c r="DE152" s="30">
        <v>-4938.19</v>
      </c>
      <c r="DF152" s="27"/>
    </row>
    <row r="153" ht="13.5" customHeight="1">
      <c r="A153" s="27" t="s">
        <v>203</v>
      </c>
      <c r="B153" s="28">
        <v>43952.0</v>
      </c>
      <c r="C153" s="27" t="s">
        <v>124</v>
      </c>
      <c r="D153" s="27" t="s">
        <v>125</v>
      </c>
      <c r="E153" s="27" t="s">
        <v>126</v>
      </c>
      <c r="F153" s="27" t="s">
        <v>176</v>
      </c>
      <c r="G153" s="27" t="s">
        <v>140</v>
      </c>
      <c r="H153" s="27" t="s">
        <v>114</v>
      </c>
      <c r="I153" s="29">
        <v>43973.0</v>
      </c>
      <c r="J153" s="29">
        <v>43988.0</v>
      </c>
      <c r="K153" s="27">
        <f t="shared" si="1"/>
        <v>15</v>
      </c>
      <c r="L153" s="27">
        <v>1.0</v>
      </c>
      <c r="M153" s="27">
        <f t="shared" si="2"/>
        <v>14</v>
      </c>
      <c r="N153" s="29">
        <v>43978.0</v>
      </c>
      <c r="O153" s="29">
        <v>44028.0</v>
      </c>
      <c r="P153" s="27">
        <f t="shared" si="3"/>
        <v>50</v>
      </c>
      <c r="Q153" s="27">
        <v>90.0</v>
      </c>
      <c r="R153" s="27">
        <f t="shared" si="4"/>
        <v>-40</v>
      </c>
      <c r="S153" s="27" t="s">
        <v>498</v>
      </c>
      <c r="T153" s="27" t="s">
        <v>499</v>
      </c>
      <c r="U153" s="27" t="s">
        <v>117</v>
      </c>
      <c r="V153" s="27" t="s">
        <v>147</v>
      </c>
      <c r="W153" s="27" t="s">
        <v>182</v>
      </c>
      <c r="X153" s="27" t="s">
        <v>183</v>
      </c>
      <c r="Y153" s="27">
        <v>2024.0</v>
      </c>
      <c r="Z153" s="27" t="s">
        <v>135</v>
      </c>
      <c r="AA153" s="27">
        <v>1998.0</v>
      </c>
      <c r="AB153" s="27">
        <v>16.0</v>
      </c>
      <c r="AC153" s="27">
        <v>0.0</v>
      </c>
      <c r="AD153" s="30">
        <v>491833.91</v>
      </c>
      <c r="AE153" s="30">
        <v>35437.99</v>
      </c>
      <c r="AF153" s="31">
        <v>0.07</v>
      </c>
      <c r="AG153" s="30">
        <v>108068.04</v>
      </c>
      <c r="AH153" s="30">
        <v>2322.0</v>
      </c>
      <c r="AI153" s="27">
        <v>7.75</v>
      </c>
      <c r="AJ153" s="30">
        <v>215864.0</v>
      </c>
      <c r="AK153" s="27">
        <v>51.03</v>
      </c>
      <c r="AL153" s="29">
        <v>44028.0</v>
      </c>
      <c r="AM153" s="29">
        <v>45854.0</v>
      </c>
      <c r="AN153" s="27">
        <v>60.0</v>
      </c>
      <c r="AO153" s="27">
        <v>2500.0</v>
      </c>
      <c r="AP153" s="27">
        <v>150170.0</v>
      </c>
      <c r="AQ153" s="29">
        <v>46203.0</v>
      </c>
      <c r="AR153" s="27">
        <v>20212.0</v>
      </c>
      <c r="AS153" s="27">
        <v>22651.0</v>
      </c>
      <c r="AT153" s="27">
        <v>2439.0</v>
      </c>
      <c r="AU153" s="27">
        <v>22609.0</v>
      </c>
      <c r="AV153" s="27">
        <v>2512.0</v>
      </c>
      <c r="AW153" s="30">
        <v>9597.07</v>
      </c>
      <c r="AX153" s="30">
        <v>1850.0</v>
      </c>
      <c r="AY153" s="30">
        <v>125.0</v>
      </c>
      <c r="AZ153" s="30">
        <v>290.98</v>
      </c>
      <c r="BA153" s="30">
        <v>1538.21</v>
      </c>
      <c r="BB153" s="30">
        <v>13401.26</v>
      </c>
      <c r="BC153" s="30">
        <v>2010.19</v>
      </c>
      <c r="BD153" s="30">
        <v>15411.45</v>
      </c>
      <c r="BE153" s="29">
        <v>45748.0</v>
      </c>
      <c r="BF153" s="29">
        <v>45838.0</v>
      </c>
      <c r="BG153" s="27">
        <v>16041.0</v>
      </c>
      <c r="BH153" s="27">
        <v>22651.0</v>
      </c>
      <c r="BI153" s="27">
        <v>6610.0</v>
      </c>
      <c r="BJ153" s="27">
        <v>13500.0</v>
      </c>
      <c r="BK153" s="27">
        <v>-6890.0</v>
      </c>
      <c r="BL153" s="30">
        <v>0.7</v>
      </c>
      <c r="BM153" s="30">
        <v>1.48</v>
      </c>
      <c r="BN153" s="30">
        <v>0.0</v>
      </c>
      <c r="BO153" s="30">
        <v>0.0</v>
      </c>
      <c r="BP153" s="30">
        <v>0.0</v>
      </c>
      <c r="BQ153" s="30">
        <v>-992.16</v>
      </c>
      <c r="BR153" s="30">
        <v>0.0</v>
      </c>
      <c r="BS153" s="30">
        <v>0.0</v>
      </c>
      <c r="BT153" s="30">
        <v>0.0</v>
      </c>
      <c r="BU153" s="30">
        <v>0.0</v>
      </c>
      <c r="BV153" s="30">
        <v>0.0</v>
      </c>
      <c r="BW153" s="30">
        <v>0.0</v>
      </c>
      <c r="BX153" s="30">
        <v>0.0</v>
      </c>
      <c r="BY153" s="30">
        <v>6307.03</v>
      </c>
      <c r="BZ153" s="27">
        <v>0.0</v>
      </c>
      <c r="CA153" s="30">
        <v>0.0</v>
      </c>
      <c r="CB153" s="27">
        <v>0.0</v>
      </c>
      <c r="CC153" s="30">
        <v>0.0</v>
      </c>
      <c r="CD153" s="30">
        <v>0.0</v>
      </c>
      <c r="CE153" s="30">
        <v>0.0</v>
      </c>
      <c r="CF153" s="30">
        <v>0.0</v>
      </c>
      <c r="CG153" s="30">
        <v>0.0</v>
      </c>
      <c r="CH153" s="30">
        <v>7804.89</v>
      </c>
      <c r="CI153" s="30">
        <v>1018.03</v>
      </c>
      <c r="CJ153" s="30">
        <v>6786.86</v>
      </c>
      <c r="CK153" s="30">
        <v>2.78</v>
      </c>
      <c r="CL153" s="27">
        <v>0.0</v>
      </c>
      <c r="CM153" s="27">
        <v>0.0</v>
      </c>
      <c r="CN153" s="27">
        <v>0.0</v>
      </c>
      <c r="CO153" s="27">
        <v>100.0</v>
      </c>
      <c r="CP153" s="29"/>
      <c r="CQ153" s="27">
        <v>0.0</v>
      </c>
      <c r="CR153" s="27">
        <v>0.0</v>
      </c>
      <c r="CS153" s="27">
        <v>0.0</v>
      </c>
      <c r="CT153" s="27">
        <v>-27869.0</v>
      </c>
      <c r="CU153" s="29">
        <v>47391.0</v>
      </c>
      <c r="CV153" s="29">
        <v>47391.0</v>
      </c>
      <c r="CW153" s="27">
        <v>150212.0</v>
      </c>
      <c r="CX153" s="27" t="s">
        <v>122</v>
      </c>
      <c r="CY153" s="27" t="s">
        <v>123</v>
      </c>
      <c r="CZ153" s="30">
        <v>0.0</v>
      </c>
      <c r="DA153" s="30">
        <v>0.0</v>
      </c>
      <c r="DB153" s="30">
        <v>-19411.59</v>
      </c>
      <c r="DC153" s="30">
        <v>0.96</v>
      </c>
      <c r="DD153" s="30">
        <v>-6614.4</v>
      </c>
      <c r="DE153" s="30">
        <v>-7606.56</v>
      </c>
      <c r="DF153" s="27"/>
    </row>
    <row r="154" ht="13.5" customHeight="1">
      <c r="A154" s="27" t="s">
        <v>203</v>
      </c>
      <c r="B154" s="28">
        <v>43952.0</v>
      </c>
      <c r="C154" s="27" t="s">
        <v>136</v>
      </c>
      <c r="D154" s="27" t="s">
        <v>137</v>
      </c>
      <c r="E154" s="27" t="s">
        <v>138</v>
      </c>
      <c r="F154" s="27" t="s">
        <v>176</v>
      </c>
      <c r="G154" s="27" t="s">
        <v>140</v>
      </c>
      <c r="H154" s="27" t="s">
        <v>129</v>
      </c>
      <c r="I154" s="29">
        <v>43974.0</v>
      </c>
      <c r="J154" s="29">
        <v>43986.0</v>
      </c>
      <c r="K154" s="27">
        <f t="shared" si="1"/>
        <v>12</v>
      </c>
      <c r="L154" s="27">
        <v>1.0</v>
      </c>
      <c r="M154" s="27">
        <f t="shared" si="2"/>
        <v>11</v>
      </c>
      <c r="N154" s="29">
        <v>43979.0</v>
      </c>
      <c r="O154" s="29">
        <v>44029.0</v>
      </c>
      <c r="P154" s="27">
        <f t="shared" si="3"/>
        <v>50</v>
      </c>
      <c r="Q154" s="27">
        <v>90.0</v>
      </c>
      <c r="R154" s="27">
        <f t="shared" si="4"/>
        <v>-40</v>
      </c>
      <c r="S154" s="27" t="s">
        <v>500</v>
      </c>
      <c r="T154" s="27" t="s">
        <v>501</v>
      </c>
      <c r="U154" s="27" t="s">
        <v>117</v>
      </c>
      <c r="V154" s="27" t="s">
        <v>147</v>
      </c>
      <c r="W154" s="27" t="s">
        <v>182</v>
      </c>
      <c r="X154" s="27" t="s">
        <v>183</v>
      </c>
      <c r="Y154" s="27">
        <v>2024.0</v>
      </c>
      <c r="Z154" s="27" t="s">
        <v>135</v>
      </c>
      <c r="AA154" s="27">
        <v>1998.0</v>
      </c>
      <c r="AB154" s="27">
        <v>16.0</v>
      </c>
      <c r="AC154" s="27">
        <v>0.0</v>
      </c>
      <c r="AD154" s="30">
        <v>491833.91</v>
      </c>
      <c r="AE154" s="30">
        <v>35437.99</v>
      </c>
      <c r="AF154" s="31">
        <v>0.07</v>
      </c>
      <c r="AG154" s="30">
        <v>76633.47</v>
      </c>
      <c r="AH154" s="30">
        <v>2633.0</v>
      </c>
      <c r="AI154" s="27">
        <v>7.75</v>
      </c>
      <c r="AJ154" s="30">
        <v>254362.0</v>
      </c>
      <c r="AK154" s="27">
        <v>51.72</v>
      </c>
      <c r="AL154" s="29">
        <v>44029.0</v>
      </c>
      <c r="AM154" s="29">
        <v>45855.0</v>
      </c>
      <c r="AN154" s="27">
        <v>60.0</v>
      </c>
      <c r="AO154" s="27">
        <v>3667.0</v>
      </c>
      <c r="AP154" s="27">
        <v>220020.0</v>
      </c>
      <c r="AQ154" s="29">
        <v>46203.0</v>
      </c>
      <c r="AR154" s="27">
        <v>22301.0</v>
      </c>
      <c r="AS154" s="27">
        <v>23711.0</v>
      </c>
      <c r="AT154" s="27">
        <v>1410.0</v>
      </c>
      <c r="AU154" s="27">
        <v>23093.0</v>
      </c>
      <c r="AV154" s="27">
        <v>2309.0</v>
      </c>
      <c r="AW154" s="30">
        <v>8234.88</v>
      </c>
      <c r="AX154" s="30">
        <v>2236.87</v>
      </c>
      <c r="AY154" s="30">
        <v>125.0</v>
      </c>
      <c r="AZ154" s="30">
        <v>291.0</v>
      </c>
      <c r="BA154" s="30">
        <v>1522.99</v>
      </c>
      <c r="BB154" s="30">
        <v>12410.74</v>
      </c>
      <c r="BC154" s="30">
        <v>1861.61</v>
      </c>
      <c r="BD154" s="30">
        <v>14272.35</v>
      </c>
      <c r="BE154" s="29">
        <v>45748.0</v>
      </c>
      <c r="BF154" s="29">
        <v>45838.0</v>
      </c>
      <c r="BG154" s="27">
        <v>15550.0</v>
      </c>
      <c r="BH154" s="27">
        <v>23711.0</v>
      </c>
      <c r="BI154" s="27">
        <v>8161.0</v>
      </c>
      <c r="BJ154" s="27">
        <v>11001.0</v>
      </c>
      <c r="BK154" s="27">
        <v>-2840.0</v>
      </c>
      <c r="BL154" s="30">
        <v>0.7</v>
      </c>
      <c r="BM154" s="30">
        <v>1.08</v>
      </c>
      <c r="BN154" s="30">
        <v>0.0</v>
      </c>
      <c r="BO154" s="30">
        <v>0.0</v>
      </c>
      <c r="BP154" s="30">
        <v>0.0</v>
      </c>
      <c r="BQ154" s="30">
        <v>-259.86</v>
      </c>
      <c r="BR154" s="30">
        <v>0.0</v>
      </c>
      <c r="BS154" s="30">
        <v>0.0</v>
      </c>
      <c r="BT154" s="30">
        <v>0.0</v>
      </c>
      <c r="BU154" s="30">
        <v>0.0</v>
      </c>
      <c r="BV154" s="30">
        <v>0.0</v>
      </c>
      <c r="BW154" s="30">
        <v>0.0</v>
      </c>
      <c r="BX154" s="30">
        <v>0.0</v>
      </c>
      <c r="BY154" s="30">
        <v>2876.86</v>
      </c>
      <c r="BZ154" s="27">
        <v>0.0</v>
      </c>
      <c r="CA154" s="30">
        <v>0.0</v>
      </c>
      <c r="CB154" s="27">
        <v>0.0</v>
      </c>
      <c r="CC154" s="30">
        <v>0.0</v>
      </c>
      <c r="CD154" s="30">
        <v>0.0</v>
      </c>
      <c r="CE154" s="30">
        <v>0.0</v>
      </c>
      <c r="CF154" s="30">
        <v>0.0</v>
      </c>
      <c r="CG154" s="30">
        <v>0.0</v>
      </c>
      <c r="CH154" s="30">
        <v>12280.09</v>
      </c>
      <c r="CI154" s="30">
        <v>1601.75</v>
      </c>
      <c r="CJ154" s="30">
        <v>10678.34</v>
      </c>
      <c r="CK154" s="30">
        <v>7.57</v>
      </c>
      <c r="CL154" s="27">
        <v>0.0</v>
      </c>
      <c r="CM154" s="27">
        <v>0.0</v>
      </c>
      <c r="CN154" s="27">
        <v>0.0</v>
      </c>
      <c r="CO154" s="27">
        <v>100.0</v>
      </c>
      <c r="CP154" s="29"/>
      <c r="CQ154" s="27">
        <v>0.0</v>
      </c>
      <c r="CR154" s="27">
        <v>0.0</v>
      </c>
      <c r="CS154" s="27">
        <v>0.0</v>
      </c>
      <c r="CT154" s="27">
        <v>-14300.0</v>
      </c>
      <c r="CU154" s="29">
        <v>47361.0</v>
      </c>
      <c r="CV154" s="29">
        <v>47361.0</v>
      </c>
      <c r="CW154" s="27">
        <v>220638.0</v>
      </c>
      <c r="CX154" s="27" t="s">
        <v>122</v>
      </c>
      <c r="CY154" s="27" t="s">
        <v>123</v>
      </c>
      <c r="CZ154" s="30">
        <v>0.0</v>
      </c>
      <c r="DA154" s="30">
        <v>0.0</v>
      </c>
      <c r="DB154" s="30">
        <v>-8723.0</v>
      </c>
      <c r="DC154" s="30">
        <v>0.61</v>
      </c>
      <c r="DD154" s="30">
        <v>-1732.4</v>
      </c>
      <c r="DE154" s="30">
        <v>-1992.26</v>
      </c>
      <c r="DF154" s="27"/>
    </row>
    <row r="155" ht="13.5" customHeight="1">
      <c r="A155" s="27" t="s">
        <v>228</v>
      </c>
      <c r="B155" s="28">
        <v>43952.0</v>
      </c>
      <c r="C155" s="27" t="s">
        <v>109</v>
      </c>
      <c r="D155" s="27" t="s">
        <v>110</v>
      </c>
      <c r="E155" s="27" t="s">
        <v>111</v>
      </c>
      <c r="F155" s="27" t="s">
        <v>176</v>
      </c>
      <c r="G155" s="27" t="s">
        <v>140</v>
      </c>
      <c r="H155" s="27" t="s">
        <v>141</v>
      </c>
      <c r="I155" s="29">
        <v>43975.0</v>
      </c>
      <c r="J155" s="29">
        <v>43987.0</v>
      </c>
      <c r="K155" s="27">
        <f t="shared" si="1"/>
        <v>12</v>
      </c>
      <c r="L155" s="27">
        <v>1.0</v>
      </c>
      <c r="M155" s="27">
        <f t="shared" si="2"/>
        <v>11</v>
      </c>
      <c r="N155" s="29">
        <v>43980.0</v>
      </c>
      <c r="O155" s="29">
        <v>44183.0</v>
      </c>
      <c r="P155" s="27">
        <f t="shared" si="3"/>
        <v>203</v>
      </c>
      <c r="Q155" s="27">
        <v>90.0</v>
      </c>
      <c r="R155" s="27">
        <f t="shared" si="4"/>
        <v>113</v>
      </c>
      <c r="S155" s="27" t="s">
        <v>502</v>
      </c>
      <c r="T155" s="27" t="s">
        <v>503</v>
      </c>
      <c r="U155" s="27" t="s">
        <v>117</v>
      </c>
      <c r="V155" s="27" t="s">
        <v>147</v>
      </c>
      <c r="W155" s="27" t="s">
        <v>182</v>
      </c>
      <c r="X155" s="27" t="s">
        <v>259</v>
      </c>
      <c r="Y155" s="27">
        <v>2024.0</v>
      </c>
      <c r="Z155" s="27" t="s">
        <v>135</v>
      </c>
      <c r="AA155" s="27">
        <v>1998.0</v>
      </c>
      <c r="AB155" s="27">
        <v>16.0</v>
      </c>
      <c r="AC155" s="27">
        <v>5.0</v>
      </c>
      <c r="AD155" s="30">
        <v>452047.39</v>
      </c>
      <c r="AE155" s="30">
        <v>35229.08</v>
      </c>
      <c r="AF155" s="31">
        <v>0.08</v>
      </c>
      <c r="AG155" s="30">
        <v>37577.86</v>
      </c>
      <c r="AH155" s="30">
        <v>2633.0</v>
      </c>
      <c r="AI155" s="27">
        <v>7.75</v>
      </c>
      <c r="AJ155" s="30">
        <v>234070.0</v>
      </c>
      <c r="AK155" s="27">
        <v>51.78</v>
      </c>
      <c r="AL155" s="29">
        <v>44183.0</v>
      </c>
      <c r="AM155" s="29">
        <v>46009.0</v>
      </c>
      <c r="AN155" s="27">
        <v>60.0</v>
      </c>
      <c r="AO155" s="27">
        <v>3000.0</v>
      </c>
      <c r="AP155" s="27">
        <v>180000.0</v>
      </c>
      <c r="AQ155" s="29">
        <v>46203.0</v>
      </c>
      <c r="AR155" s="27">
        <v>32334.0</v>
      </c>
      <c r="AS155" s="27">
        <v>37083.0</v>
      </c>
      <c r="AT155" s="27">
        <v>4749.0</v>
      </c>
      <c r="AU155" s="27">
        <v>36455.0</v>
      </c>
      <c r="AV155" s="27">
        <v>3646.0</v>
      </c>
      <c r="AW155" s="30">
        <v>6868.25</v>
      </c>
      <c r="AX155" s="30">
        <v>2010.0</v>
      </c>
      <c r="AY155" s="30">
        <v>125.0</v>
      </c>
      <c r="AZ155" s="30">
        <v>291.0</v>
      </c>
      <c r="BA155" s="30">
        <v>1522.99</v>
      </c>
      <c r="BB155" s="30">
        <v>10817.24</v>
      </c>
      <c r="BC155" s="30">
        <v>1622.59</v>
      </c>
      <c r="BD155" s="30">
        <v>12439.83</v>
      </c>
      <c r="BE155" s="29">
        <v>45748.0</v>
      </c>
      <c r="BF155" s="29">
        <v>45838.0</v>
      </c>
      <c r="BG155" s="27">
        <v>25652.0</v>
      </c>
      <c r="BH155" s="27">
        <v>37083.0</v>
      </c>
      <c r="BI155" s="27">
        <v>11431.0</v>
      </c>
      <c r="BJ155" s="27">
        <v>9000.0</v>
      </c>
      <c r="BK155" s="27">
        <v>2431.0</v>
      </c>
      <c r="BL155" s="30">
        <v>0.77</v>
      </c>
      <c r="BM155" s="30">
        <v>1.21</v>
      </c>
      <c r="BN155" s="30">
        <v>1871.87</v>
      </c>
      <c r="BO155" s="30">
        <v>2941.51</v>
      </c>
      <c r="BP155" s="30">
        <v>4813.38</v>
      </c>
      <c r="BQ155" s="30">
        <v>722.01</v>
      </c>
      <c r="BR155" s="30">
        <v>5535.39</v>
      </c>
      <c r="BS155" s="30">
        <v>0.0</v>
      </c>
      <c r="BT155" s="30">
        <v>0.0</v>
      </c>
      <c r="BU155" s="30">
        <v>0.0</v>
      </c>
      <c r="BV155" s="30">
        <v>0.0</v>
      </c>
      <c r="BW155" s="30">
        <v>0.0</v>
      </c>
      <c r="BX155" s="30">
        <v>0.0</v>
      </c>
      <c r="BY155" s="30">
        <v>6669.01</v>
      </c>
      <c r="BZ155" s="27">
        <v>0.0</v>
      </c>
      <c r="CA155" s="30">
        <v>0.0</v>
      </c>
      <c r="CB155" s="27">
        <v>0.0</v>
      </c>
      <c r="CC155" s="30">
        <v>0.0</v>
      </c>
      <c r="CD155" s="30">
        <v>0.0</v>
      </c>
      <c r="CE155" s="30">
        <v>0.0</v>
      </c>
      <c r="CF155" s="30">
        <v>0.0</v>
      </c>
      <c r="CG155" s="30">
        <v>0.0</v>
      </c>
      <c r="CH155" s="30">
        <v>17975.22</v>
      </c>
      <c r="CI155" s="30">
        <v>2344.6</v>
      </c>
      <c r="CJ155" s="30">
        <v>15630.62</v>
      </c>
      <c r="CK155" s="30">
        <v>3.29</v>
      </c>
      <c r="CL155" s="27">
        <v>0.0</v>
      </c>
      <c r="CM155" s="27">
        <v>0.0</v>
      </c>
      <c r="CN155" s="27">
        <v>0.0</v>
      </c>
      <c r="CO155" s="27">
        <v>100.0</v>
      </c>
      <c r="CP155" s="29"/>
      <c r="CQ155" s="27">
        <v>0.0</v>
      </c>
      <c r="CR155" s="27">
        <v>0.0</v>
      </c>
      <c r="CS155" s="27">
        <v>0.0</v>
      </c>
      <c r="CT155" s="27">
        <v>4483.0</v>
      </c>
      <c r="CU155" s="29">
        <v>47361.0</v>
      </c>
      <c r="CV155" s="29">
        <v>47361.0</v>
      </c>
      <c r="CW155" s="27">
        <v>180628.0</v>
      </c>
      <c r="CX155" s="27" t="s">
        <v>122</v>
      </c>
      <c r="CY155" s="27" t="s">
        <v>123</v>
      </c>
      <c r="CZ155" s="30">
        <v>3846.92</v>
      </c>
      <c r="DA155" s="30">
        <v>6045.16</v>
      </c>
      <c r="DB155" s="30">
        <v>-385.25</v>
      </c>
      <c r="DC155" s="30">
        <v>0.67</v>
      </c>
      <c r="DD155" s="30">
        <v>0.0</v>
      </c>
      <c r="DE155" s="30">
        <v>0.0</v>
      </c>
      <c r="DF155" s="27"/>
    </row>
    <row r="156" ht="13.5" customHeight="1">
      <c r="A156" s="27" t="s">
        <v>228</v>
      </c>
      <c r="B156" s="28">
        <v>43952.0</v>
      </c>
      <c r="C156" s="27" t="s">
        <v>124</v>
      </c>
      <c r="D156" s="27" t="s">
        <v>125</v>
      </c>
      <c r="E156" s="27" t="s">
        <v>126</v>
      </c>
      <c r="F156" s="27" t="s">
        <v>176</v>
      </c>
      <c r="G156" s="27" t="s">
        <v>140</v>
      </c>
      <c r="H156" s="27" t="s">
        <v>114</v>
      </c>
      <c r="I156" s="29">
        <v>43976.0</v>
      </c>
      <c r="J156" s="29">
        <v>43994.0</v>
      </c>
      <c r="K156" s="27">
        <f t="shared" si="1"/>
        <v>18</v>
      </c>
      <c r="L156" s="27">
        <v>1.0</v>
      </c>
      <c r="M156" s="27">
        <f t="shared" si="2"/>
        <v>17</v>
      </c>
      <c r="N156" s="29">
        <v>43981.0</v>
      </c>
      <c r="O156" s="29">
        <v>44031.0</v>
      </c>
      <c r="P156" s="27">
        <f t="shared" si="3"/>
        <v>50</v>
      </c>
      <c r="Q156" s="27">
        <v>90.0</v>
      </c>
      <c r="R156" s="27">
        <f t="shared" si="4"/>
        <v>-40</v>
      </c>
      <c r="S156" s="27" t="s">
        <v>504</v>
      </c>
      <c r="T156" s="27" t="s">
        <v>505</v>
      </c>
      <c r="U156" s="27" t="s">
        <v>117</v>
      </c>
      <c r="V156" s="27" t="s">
        <v>147</v>
      </c>
      <c r="W156" s="27" t="s">
        <v>182</v>
      </c>
      <c r="X156" s="27" t="s">
        <v>183</v>
      </c>
      <c r="Y156" s="27">
        <v>2024.0</v>
      </c>
      <c r="Z156" s="27" t="s">
        <v>135</v>
      </c>
      <c r="AA156" s="27">
        <v>1998.0</v>
      </c>
      <c r="AB156" s="27">
        <v>16.0</v>
      </c>
      <c r="AC156" s="27">
        <v>0.0</v>
      </c>
      <c r="AD156" s="30">
        <v>491833.91</v>
      </c>
      <c r="AE156" s="30">
        <v>34535.03</v>
      </c>
      <c r="AF156" s="31">
        <v>0.07</v>
      </c>
      <c r="AG156" s="30">
        <v>108003.93</v>
      </c>
      <c r="AH156" s="30">
        <v>2322.0</v>
      </c>
      <c r="AI156" s="27">
        <v>7.75</v>
      </c>
      <c r="AJ156" s="30">
        <v>215864.0</v>
      </c>
      <c r="AK156" s="27">
        <v>50.94</v>
      </c>
      <c r="AL156" s="29">
        <v>44031.0</v>
      </c>
      <c r="AM156" s="29">
        <v>45857.0</v>
      </c>
      <c r="AN156" s="27">
        <v>60.0</v>
      </c>
      <c r="AO156" s="27">
        <v>3000.0</v>
      </c>
      <c r="AP156" s="27">
        <v>177693.0</v>
      </c>
      <c r="AQ156" s="29">
        <v>46203.0</v>
      </c>
      <c r="AR156" s="27">
        <v>21735.0</v>
      </c>
      <c r="AS156" s="27">
        <v>25979.0</v>
      </c>
      <c r="AT156" s="27">
        <v>4244.0</v>
      </c>
      <c r="AU156" s="27">
        <v>25937.0</v>
      </c>
      <c r="AV156" s="27">
        <v>2882.0</v>
      </c>
      <c r="AW156" s="30">
        <v>9612.71</v>
      </c>
      <c r="AX156" s="30">
        <v>2040.0</v>
      </c>
      <c r="AY156" s="30">
        <v>125.0</v>
      </c>
      <c r="AZ156" s="30">
        <v>290.98</v>
      </c>
      <c r="BA156" s="30">
        <v>1538.21</v>
      </c>
      <c r="BB156" s="30">
        <v>13606.9</v>
      </c>
      <c r="BC156" s="30">
        <v>2041.04</v>
      </c>
      <c r="BD156" s="30">
        <v>15647.94</v>
      </c>
      <c r="BE156" s="29">
        <v>45748.0</v>
      </c>
      <c r="BF156" s="29">
        <v>45838.0</v>
      </c>
      <c r="BG156" s="27">
        <v>15101.0</v>
      </c>
      <c r="BH156" s="27">
        <v>25979.0</v>
      </c>
      <c r="BI156" s="27">
        <v>10878.0</v>
      </c>
      <c r="BJ156" s="27">
        <v>14000.0</v>
      </c>
      <c r="BK156" s="27">
        <v>-3122.0</v>
      </c>
      <c r="BL156" s="30">
        <v>0.7</v>
      </c>
      <c r="BM156" s="30">
        <v>1.25</v>
      </c>
      <c r="BN156" s="30">
        <v>0.0</v>
      </c>
      <c r="BO156" s="30">
        <v>0.0</v>
      </c>
      <c r="BP156" s="30">
        <v>0.0</v>
      </c>
      <c r="BQ156" s="30">
        <v>-402.74</v>
      </c>
      <c r="BR156" s="30">
        <v>0.0</v>
      </c>
      <c r="BS156" s="30">
        <v>0.0</v>
      </c>
      <c r="BT156" s="30">
        <v>0.0</v>
      </c>
      <c r="BU156" s="30">
        <v>0.0</v>
      </c>
      <c r="BV156" s="30">
        <v>0.0</v>
      </c>
      <c r="BW156" s="30">
        <v>0.0</v>
      </c>
      <c r="BX156" s="30">
        <v>0.0</v>
      </c>
      <c r="BY156" s="30">
        <v>9717.64</v>
      </c>
      <c r="BZ156" s="27">
        <v>0.0</v>
      </c>
      <c r="CA156" s="30">
        <v>0.0</v>
      </c>
      <c r="CB156" s="27">
        <v>0.0</v>
      </c>
      <c r="CC156" s="30">
        <v>0.0</v>
      </c>
      <c r="CD156" s="30">
        <v>0.0</v>
      </c>
      <c r="CE156" s="30">
        <v>0.0</v>
      </c>
      <c r="CF156" s="30">
        <v>0.0</v>
      </c>
      <c r="CG156" s="30">
        <v>0.0</v>
      </c>
      <c r="CH156" s="30">
        <v>12560.28</v>
      </c>
      <c r="CI156" s="30">
        <v>1638.3</v>
      </c>
      <c r="CJ156" s="30">
        <v>10921.98</v>
      </c>
      <c r="CK156" s="30">
        <v>2.57</v>
      </c>
      <c r="CL156" s="27">
        <v>0.0</v>
      </c>
      <c r="CM156" s="27">
        <v>0.0</v>
      </c>
      <c r="CN156" s="27">
        <v>0.0</v>
      </c>
      <c r="CO156" s="27">
        <v>100.0</v>
      </c>
      <c r="CP156" s="29"/>
      <c r="CQ156" s="27">
        <v>0.0</v>
      </c>
      <c r="CR156" s="27">
        <v>0.0</v>
      </c>
      <c r="CS156" s="27">
        <v>0.0</v>
      </c>
      <c r="CT156" s="27">
        <v>-25041.0</v>
      </c>
      <c r="CU156" s="29">
        <v>47391.0</v>
      </c>
      <c r="CV156" s="29">
        <v>47391.0</v>
      </c>
      <c r="CW156" s="27">
        <v>177735.0</v>
      </c>
      <c r="CX156" s="27" t="s">
        <v>122</v>
      </c>
      <c r="CY156" s="27" t="s">
        <v>123</v>
      </c>
      <c r="CZ156" s="30">
        <v>0.0</v>
      </c>
      <c r="DA156" s="30">
        <v>0.0</v>
      </c>
      <c r="DB156" s="30">
        <v>-16055.51</v>
      </c>
      <c r="DC156" s="30">
        <v>0.86</v>
      </c>
      <c r="DD156" s="30">
        <v>-2684.92</v>
      </c>
      <c r="DE156" s="30">
        <v>-3087.66</v>
      </c>
      <c r="DF156" s="27"/>
    </row>
    <row r="157" ht="13.5" customHeight="1">
      <c r="A157" s="32" t="s">
        <v>108</v>
      </c>
      <c r="B157" s="33">
        <v>43983.0</v>
      </c>
      <c r="C157" s="32" t="s">
        <v>109</v>
      </c>
      <c r="D157" s="32" t="s">
        <v>137</v>
      </c>
      <c r="E157" s="32" t="s">
        <v>138</v>
      </c>
      <c r="F157" s="32" t="s">
        <v>176</v>
      </c>
      <c r="G157" s="32" t="s">
        <v>140</v>
      </c>
      <c r="H157" s="32" t="s">
        <v>129</v>
      </c>
      <c r="I157" s="34">
        <v>43988.0</v>
      </c>
      <c r="J157" s="34">
        <v>43989.0</v>
      </c>
      <c r="K157" s="32">
        <f t="shared" si="1"/>
        <v>1</v>
      </c>
      <c r="L157" s="32">
        <v>1.0</v>
      </c>
      <c r="M157" s="32">
        <f t="shared" si="2"/>
        <v>0</v>
      </c>
      <c r="N157" s="34">
        <v>44003.0</v>
      </c>
      <c r="O157" s="34">
        <v>44124.0</v>
      </c>
      <c r="P157" s="32">
        <f t="shared" si="3"/>
        <v>121</v>
      </c>
      <c r="Q157" s="32">
        <v>90.0</v>
      </c>
      <c r="R157" s="32">
        <f t="shared" si="4"/>
        <v>31</v>
      </c>
      <c r="S157" s="32" t="s">
        <v>506</v>
      </c>
      <c r="T157" s="32" t="s">
        <v>507</v>
      </c>
      <c r="U157" s="32" t="s">
        <v>117</v>
      </c>
      <c r="V157" s="32" t="s">
        <v>147</v>
      </c>
      <c r="W157" s="32" t="s">
        <v>182</v>
      </c>
      <c r="X157" s="32" t="s">
        <v>183</v>
      </c>
      <c r="Y157" s="32">
        <v>2024.0</v>
      </c>
      <c r="Z157" s="32" t="s">
        <v>135</v>
      </c>
      <c r="AA157" s="32">
        <v>1998.0</v>
      </c>
      <c r="AB157" s="32">
        <v>16.0</v>
      </c>
      <c r="AC157" s="32">
        <v>2.0</v>
      </c>
      <c r="AD157" s="35">
        <v>491833.91</v>
      </c>
      <c r="AE157" s="35">
        <v>35437.99</v>
      </c>
      <c r="AF157" s="36">
        <v>0.07</v>
      </c>
      <c r="AG157" s="35">
        <v>108007.25</v>
      </c>
      <c r="AH157" s="35">
        <v>2322.0</v>
      </c>
      <c r="AI157" s="32">
        <v>7.75</v>
      </c>
      <c r="AJ157" s="35">
        <v>215864.0</v>
      </c>
      <c r="AK157" s="32">
        <v>51.03</v>
      </c>
      <c r="AL157" s="34">
        <v>44124.0</v>
      </c>
      <c r="AM157" s="34">
        <v>45950.0</v>
      </c>
      <c r="AN157" s="32">
        <v>60.0</v>
      </c>
      <c r="AO157" s="32">
        <v>3500.0</v>
      </c>
      <c r="AP157" s="32">
        <v>209480.0</v>
      </c>
      <c r="AQ157" s="34">
        <v>46203.0</v>
      </c>
      <c r="AR157" s="32">
        <v>27500.0</v>
      </c>
      <c r="AS157" s="32">
        <v>31127.0</v>
      </c>
      <c r="AT157" s="32">
        <v>3627.0</v>
      </c>
      <c r="AU157" s="32">
        <v>31107.0</v>
      </c>
      <c r="AV157" s="32">
        <v>3456.0</v>
      </c>
      <c r="AW157" s="35">
        <v>9595.94</v>
      </c>
      <c r="AX157" s="35">
        <v>2170.0</v>
      </c>
      <c r="AY157" s="35">
        <v>125.0</v>
      </c>
      <c r="AZ157" s="35">
        <v>290.98</v>
      </c>
      <c r="BA157" s="35">
        <v>1538.21</v>
      </c>
      <c r="BB157" s="35">
        <v>13720.13</v>
      </c>
      <c r="BC157" s="35">
        <v>2058.02</v>
      </c>
      <c r="BD157" s="35">
        <v>15778.15</v>
      </c>
      <c r="BE157" s="34">
        <v>45748.0</v>
      </c>
      <c r="BF157" s="34">
        <v>45838.0</v>
      </c>
      <c r="BG157" s="32">
        <v>21202.0</v>
      </c>
      <c r="BH157" s="32">
        <v>31127.0</v>
      </c>
      <c r="BI157" s="32">
        <v>9925.0</v>
      </c>
      <c r="BJ157" s="32">
        <v>14500.0</v>
      </c>
      <c r="BK157" s="32">
        <v>-4575.0</v>
      </c>
      <c r="BL157" s="35">
        <v>0.7</v>
      </c>
      <c r="BM157" s="35">
        <v>1.06</v>
      </c>
      <c r="BN157" s="35">
        <v>0.0</v>
      </c>
      <c r="BO157" s="35">
        <v>0.0</v>
      </c>
      <c r="BP157" s="35">
        <v>0.0</v>
      </c>
      <c r="BQ157" s="35">
        <v>-535.28</v>
      </c>
      <c r="BR157" s="35">
        <v>0.0</v>
      </c>
      <c r="BS157" s="35">
        <v>0.0</v>
      </c>
      <c r="BT157" s="35">
        <v>0.0</v>
      </c>
      <c r="BU157" s="35">
        <v>0.0</v>
      </c>
      <c r="BV157" s="35">
        <v>0.0</v>
      </c>
      <c r="BW157" s="35">
        <v>0.0</v>
      </c>
      <c r="BX157" s="35">
        <v>0.0</v>
      </c>
      <c r="BY157" s="35">
        <v>7550.5</v>
      </c>
      <c r="BZ157" s="32">
        <v>0.0</v>
      </c>
      <c r="CA157" s="35">
        <v>0.0</v>
      </c>
      <c r="CB157" s="32">
        <v>0.0</v>
      </c>
      <c r="CC157" s="35">
        <v>0.0</v>
      </c>
      <c r="CD157" s="35">
        <v>0.0</v>
      </c>
      <c r="CE157" s="35">
        <v>0.0</v>
      </c>
      <c r="CF157" s="35">
        <v>0.0</v>
      </c>
      <c r="CG157" s="35">
        <v>0.0</v>
      </c>
      <c r="CH157" s="35">
        <v>11674.37</v>
      </c>
      <c r="CI157" s="35">
        <v>1522.74</v>
      </c>
      <c r="CJ157" s="35">
        <v>10151.63</v>
      </c>
      <c r="CK157" s="35">
        <v>2.8</v>
      </c>
      <c r="CL157" s="32">
        <v>0.0</v>
      </c>
      <c r="CM157" s="32">
        <v>0.0</v>
      </c>
      <c r="CN157" s="32">
        <v>0.0</v>
      </c>
      <c r="CO157" s="32">
        <v>100.0</v>
      </c>
      <c r="CP157" s="34"/>
      <c r="CQ157" s="32">
        <v>0.0</v>
      </c>
      <c r="CR157" s="32">
        <v>0.0</v>
      </c>
      <c r="CS157" s="32">
        <v>0.0</v>
      </c>
      <c r="CT157" s="32">
        <v>-20190.0</v>
      </c>
      <c r="CU157" s="34">
        <v>47391.0</v>
      </c>
      <c r="CV157" s="34">
        <v>47391.0</v>
      </c>
      <c r="CW157" s="32">
        <v>209500.0</v>
      </c>
      <c r="CX157" s="32" t="s">
        <v>122</v>
      </c>
      <c r="CY157" s="32" t="s">
        <v>123</v>
      </c>
      <c r="CZ157" s="35">
        <v>0.0</v>
      </c>
      <c r="DA157" s="35">
        <v>0.0</v>
      </c>
      <c r="DB157" s="35">
        <v>-13093.65</v>
      </c>
      <c r="DC157" s="35">
        <v>0.78</v>
      </c>
      <c r="DD157" s="35">
        <v>-3568.5</v>
      </c>
      <c r="DE157" s="35">
        <v>-4103.78</v>
      </c>
      <c r="DF157" s="32"/>
    </row>
    <row r="158" ht="13.5" customHeight="1">
      <c r="A158" s="32" t="s">
        <v>108</v>
      </c>
      <c r="B158" s="33">
        <v>43983.0</v>
      </c>
      <c r="C158" s="32" t="s">
        <v>124</v>
      </c>
      <c r="D158" s="32" t="s">
        <v>110</v>
      </c>
      <c r="E158" s="32" t="s">
        <v>111</v>
      </c>
      <c r="F158" s="32" t="s">
        <v>176</v>
      </c>
      <c r="G158" s="32" t="s">
        <v>140</v>
      </c>
      <c r="H158" s="32" t="s">
        <v>141</v>
      </c>
      <c r="I158" s="34">
        <v>43989.0</v>
      </c>
      <c r="J158" s="34">
        <v>43990.0</v>
      </c>
      <c r="K158" s="32">
        <f t="shared" si="1"/>
        <v>1</v>
      </c>
      <c r="L158" s="32">
        <v>1.0</v>
      </c>
      <c r="M158" s="32">
        <f t="shared" si="2"/>
        <v>0</v>
      </c>
      <c r="N158" s="34">
        <v>44003.0</v>
      </c>
      <c r="O158" s="34">
        <v>44033.0</v>
      </c>
      <c r="P158" s="32">
        <f t="shared" si="3"/>
        <v>30</v>
      </c>
      <c r="Q158" s="32">
        <v>90.0</v>
      </c>
      <c r="R158" s="32">
        <f t="shared" si="4"/>
        <v>-60</v>
      </c>
      <c r="S158" s="32" t="s">
        <v>508</v>
      </c>
      <c r="T158" s="32" t="s">
        <v>509</v>
      </c>
      <c r="U158" s="32" t="s">
        <v>117</v>
      </c>
      <c r="V158" s="32" t="s">
        <v>147</v>
      </c>
      <c r="W158" s="32" t="s">
        <v>182</v>
      </c>
      <c r="X158" s="32" t="s">
        <v>183</v>
      </c>
      <c r="Y158" s="32">
        <v>2024.0</v>
      </c>
      <c r="Z158" s="32" t="s">
        <v>135</v>
      </c>
      <c r="AA158" s="32">
        <v>1998.0</v>
      </c>
      <c r="AB158" s="32">
        <v>16.0</v>
      </c>
      <c r="AC158" s="32">
        <v>0.0</v>
      </c>
      <c r="AD158" s="35">
        <v>491833.91</v>
      </c>
      <c r="AE158" s="35">
        <v>34535.03</v>
      </c>
      <c r="AF158" s="36">
        <v>0.07</v>
      </c>
      <c r="AG158" s="35">
        <v>108019.61</v>
      </c>
      <c r="AH158" s="35">
        <v>2322.0</v>
      </c>
      <c r="AI158" s="32">
        <v>7.75</v>
      </c>
      <c r="AJ158" s="35">
        <v>215864.0</v>
      </c>
      <c r="AK158" s="32">
        <v>50.94</v>
      </c>
      <c r="AL158" s="34">
        <v>44033.0</v>
      </c>
      <c r="AM158" s="34">
        <v>45859.0</v>
      </c>
      <c r="AN158" s="32">
        <v>60.0</v>
      </c>
      <c r="AO158" s="32">
        <v>3500.0</v>
      </c>
      <c r="AP158" s="32">
        <v>209697.0</v>
      </c>
      <c r="AQ158" s="34">
        <v>46203.0</v>
      </c>
      <c r="AR158" s="32">
        <v>27765.0</v>
      </c>
      <c r="AS158" s="32">
        <v>30676.0</v>
      </c>
      <c r="AT158" s="32">
        <v>2911.0</v>
      </c>
      <c r="AU158" s="32">
        <v>30608.0</v>
      </c>
      <c r="AV158" s="32">
        <v>3401.0</v>
      </c>
      <c r="AW158" s="35">
        <v>9613.0</v>
      </c>
      <c r="AX158" s="35">
        <v>2170.0</v>
      </c>
      <c r="AY158" s="35">
        <v>125.0</v>
      </c>
      <c r="AZ158" s="35">
        <v>290.98</v>
      </c>
      <c r="BA158" s="35">
        <v>1538.21</v>
      </c>
      <c r="BB158" s="35">
        <v>13737.19</v>
      </c>
      <c r="BC158" s="35">
        <v>2060.58</v>
      </c>
      <c r="BD158" s="35">
        <v>15797.77</v>
      </c>
      <c r="BE158" s="34">
        <v>45748.0</v>
      </c>
      <c r="BF158" s="34">
        <v>45838.0</v>
      </c>
      <c r="BG158" s="32">
        <v>19899.0</v>
      </c>
      <c r="BH158" s="32">
        <v>30676.0</v>
      </c>
      <c r="BI158" s="32">
        <v>10777.0</v>
      </c>
      <c r="BJ158" s="32">
        <v>14500.0</v>
      </c>
      <c r="BK158" s="32">
        <v>-3723.0</v>
      </c>
      <c r="BL158" s="35">
        <v>0.7</v>
      </c>
      <c r="BM158" s="35">
        <v>1.06</v>
      </c>
      <c r="BN158" s="35">
        <v>0.0</v>
      </c>
      <c r="BO158" s="35">
        <v>0.0</v>
      </c>
      <c r="BP158" s="35">
        <v>0.0</v>
      </c>
      <c r="BQ158" s="35">
        <v>-435.59</v>
      </c>
      <c r="BR158" s="35">
        <v>0.0</v>
      </c>
      <c r="BS158" s="35">
        <v>0.0</v>
      </c>
      <c r="BT158" s="35">
        <v>0.0</v>
      </c>
      <c r="BU158" s="35">
        <v>0.0</v>
      </c>
      <c r="BV158" s="35">
        <v>0.0</v>
      </c>
      <c r="BW158" s="35">
        <v>0.0</v>
      </c>
      <c r="BX158" s="35">
        <v>0.0</v>
      </c>
      <c r="BY158" s="35">
        <v>9885.44</v>
      </c>
      <c r="BZ158" s="32">
        <v>0.0</v>
      </c>
      <c r="CA158" s="35">
        <v>0.0</v>
      </c>
      <c r="CB158" s="32">
        <v>0.0</v>
      </c>
      <c r="CC158" s="35">
        <v>0.0</v>
      </c>
      <c r="CD158" s="35">
        <v>0.0</v>
      </c>
      <c r="CE158" s="35">
        <v>0.0</v>
      </c>
      <c r="CF158" s="35">
        <v>0.0</v>
      </c>
      <c r="CG158" s="35">
        <v>0.0</v>
      </c>
      <c r="CH158" s="35">
        <v>12458.24</v>
      </c>
      <c r="CI158" s="35">
        <v>1624.99</v>
      </c>
      <c r="CJ158" s="35">
        <v>10833.25</v>
      </c>
      <c r="CK158" s="35">
        <v>3.72</v>
      </c>
      <c r="CL158" s="32">
        <v>0.0</v>
      </c>
      <c r="CM158" s="32">
        <v>0.0</v>
      </c>
      <c r="CN158" s="32">
        <v>0.0</v>
      </c>
      <c r="CO158" s="32">
        <v>100.0</v>
      </c>
      <c r="CP158" s="34"/>
      <c r="CQ158" s="32">
        <v>0.0</v>
      </c>
      <c r="CR158" s="32">
        <v>0.0</v>
      </c>
      <c r="CS158" s="32">
        <v>0.0</v>
      </c>
      <c r="CT158" s="32">
        <v>-20870.0</v>
      </c>
      <c r="CU158" s="34">
        <v>47391.0</v>
      </c>
      <c r="CV158" s="34">
        <v>47391.0</v>
      </c>
      <c r="CW158" s="32">
        <v>209765.0</v>
      </c>
      <c r="CX158" s="32" t="s">
        <v>122</v>
      </c>
      <c r="CY158" s="32" t="s">
        <v>123</v>
      </c>
      <c r="CZ158" s="35">
        <v>0.0</v>
      </c>
      <c r="DA158" s="35">
        <v>0.0</v>
      </c>
      <c r="DB158" s="35">
        <v>-13363.61</v>
      </c>
      <c r="DC158" s="35">
        <v>0.78</v>
      </c>
      <c r="DD158" s="35">
        <v>-2903.94</v>
      </c>
      <c r="DE158" s="35">
        <v>-3339.53</v>
      </c>
      <c r="DF158" s="32"/>
    </row>
    <row r="159" ht="13.5" customHeight="1">
      <c r="A159" s="32" t="s">
        <v>108</v>
      </c>
      <c r="B159" s="33">
        <v>43983.0</v>
      </c>
      <c r="C159" s="32" t="s">
        <v>136</v>
      </c>
      <c r="D159" s="32" t="s">
        <v>125</v>
      </c>
      <c r="E159" s="32" t="s">
        <v>126</v>
      </c>
      <c r="F159" s="32" t="s">
        <v>176</v>
      </c>
      <c r="G159" s="32" t="s">
        <v>140</v>
      </c>
      <c r="H159" s="32" t="s">
        <v>114</v>
      </c>
      <c r="I159" s="34">
        <v>43990.0</v>
      </c>
      <c r="J159" s="34">
        <v>43991.0</v>
      </c>
      <c r="K159" s="32">
        <f t="shared" si="1"/>
        <v>1</v>
      </c>
      <c r="L159" s="32">
        <v>1.0</v>
      </c>
      <c r="M159" s="32">
        <f t="shared" si="2"/>
        <v>0</v>
      </c>
      <c r="N159" s="34">
        <v>44004.0</v>
      </c>
      <c r="O159" s="34">
        <v>44034.0</v>
      </c>
      <c r="P159" s="32">
        <f t="shared" si="3"/>
        <v>30</v>
      </c>
      <c r="Q159" s="32">
        <v>90.0</v>
      </c>
      <c r="R159" s="32">
        <f t="shared" si="4"/>
        <v>-60</v>
      </c>
      <c r="S159" s="32" t="s">
        <v>510</v>
      </c>
      <c r="T159" s="32" t="s">
        <v>511</v>
      </c>
      <c r="U159" s="32" t="s">
        <v>117</v>
      </c>
      <c r="V159" s="32" t="s">
        <v>147</v>
      </c>
      <c r="W159" s="32" t="s">
        <v>182</v>
      </c>
      <c r="X159" s="32" t="s">
        <v>259</v>
      </c>
      <c r="Y159" s="32">
        <v>2024.0</v>
      </c>
      <c r="Z159" s="32" t="s">
        <v>135</v>
      </c>
      <c r="AA159" s="32">
        <v>1998.0</v>
      </c>
      <c r="AB159" s="32">
        <v>16.0</v>
      </c>
      <c r="AC159" s="32">
        <v>1.0</v>
      </c>
      <c r="AD159" s="35">
        <v>453264.78</v>
      </c>
      <c r="AE159" s="35">
        <v>19222.07</v>
      </c>
      <c r="AF159" s="36">
        <v>0.04</v>
      </c>
      <c r="AG159" s="35">
        <v>44778.02</v>
      </c>
      <c r="AH159" s="35">
        <v>2633.0</v>
      </c>
      <c r="AI159" s="32">
        <v>7.75</v>
      </c>
      <c r="AJ159" s="35">
        <v>242487.0</v>
      </c>
      <c r="AK159" s="32">
        <v>53.5</v>
      </c>
      <c r="AL159" s="34">
        <v>44034.0</v>
      </c>
      <c r="AM159" s="34">
        <v>45860.0</v>
      </c>
      <c r="AN159" s="32">
        <v>60.0</v>
      </c>
      <c r="AO159" s="32">
        <v>5000.0</v>
      </c>
      <c r="AP159" s="32">
        <v>220000.0</v>
      </c>
      <c r="AQ159" s="34">
        <v>45838.0</v>
      </c>
      <c r="AR159" s="32">
        <v>28230.0</v>
      </c>
      <c r="AS159" s="32">
        <v>30876.0</v>
      </c>
      <c r="AT159" s="32">
        <v>2646.0</v>
      </c>
      <c r="AU159" s="32">
        <v>30259.0</v>
      </c>
      <c r="AV159" s="32">
        <v>3026.0</v>
      </c>
      <c r="AW159" s="35">
        <v>8694.07</v>
      </c>
      <c r="AX159" s="35">
        <v>2800.0</v>
      </c>
      <c r="AY159" s="35">
        <v>125.0</v>
      </c>
      <c r="AZ159" s="35">
        <v>291.0</v>
      </c>
      <c r="BA159" s="35">
        <v>1538.21</v>
      </c>
      <c r="BB159" s="35">
        <v>13448.28</v>
      </c>
      <c r="BC159" s="35">
        <v>2017.24</v>
      </c>
      <c r="BD159" s="35">
        <v>15465.52</v>
      </c>
      <c r="BE159" s="34">
        <v>45748.0</v>
      </c>
      <c r="BF159" s="34">
        <v>45838.0</v>
      </c>
      <c r="BG159" s="32">
        <v>20705.0</v>
      </c>
      <c r="BH159" s="32">
        <v>30876.0</v>
      </c>
      <c r="BI159" s="32">
        <v>10171.0</v>
      </c>
      <c r="BJ159" s="32">
        <v>15000.0</v>
      </c>
      <c r="BK159" s="32">
        <v>-4829.0</v>
      </c>
      <c r="BL159" s="35">
        <v>0.64</v>
      </c>
      <c r="BM159" s="35">
        <v>0.96</v>
      </c>
      <c r="BN159" s="35">
        <v>0.0</v>
      </c>
      <c r="BO159" s="35">
        <v>0.0</v>
      </c>
      <c r="BP159" s="35">
        <v>0.0</v>
      </c>
      <c r="BQ159" s="35">
        <v>-405.64</v>
      </c>
      <c r="BR159" s="35">
        <v>0.0</v>
      </c>
      <c r="BS159" s="35">
        <v>0.0</v>
      </c>
      <c r="BT159" s="35">
        <v>0.0</v>
      </c>
      <c r="BU159" s="35">
        <v>0.0</v>
      </c>
      <c r="BV159" s="35">
        <v>0.0</v>
      </c>
      <c r="BW159" s="35">
        <v>0.0</v>
      </c>
      <c r="BX159" s="35">
        <v>0.0</v>
      </c>
      <c r="BY159" s="35">
        <v>6330.59</v>
      </c>
      <c r="BZ159" s="32">
        <v>0.0</v>
      </c>
      <c r="CA159" s="35">
        <v>0.0</v>
      </c>
      <c r="CB159" s="32">
        <v>0.0</v>
      </c>
      <c r="CC159" s="35">
        <v>0.0</v>
      </c>
      <c r="CD159" s="35">
        <v>0.0</v>
      </c>
      <c r="CE159" s="35">
        <v>0.0</v>
      </c>
      <c r="CF159" s="35">
        <v>0.0</v>
      </c>
      <c r="CG159" s="35">
        <v>0.0</v>
      </c>
      <c r="CH159" s="35">
        <v>12355.64</v>
      </c>
      <c r="CI159" s="35">
        <v>1611.6</v>
      </c>
      <c r="CJ159" s="35">
        <v>10744.04</v>
      </c>
      <c r="CK159" s="35">
        <v>4.06</v>
      </c>
      <c r="CL159" s="32">
        <v>0.0</v>
      </c>
      <c r="CM159" s="32">
        <v>0.0</v>
      </c>
      <c r="CN159" s="32">
        <v>0.0</v>
      </c>
      <c r="CO159" s="32">
        <v>100.0</v>
      </c>
      <c r="CP159" s="34"/>
      <c r="CQ159" s="32">
        <v>0.0</v>
      </c>
      <c r="CR159" s="32">
        <v>0.0</v>
      </c>
      <c r="CS159" s="32">
        <v>0.0</v>
      </c>
      <c r="CT159" s="32">
        <v>-22699.0</v>
      </c>
      <c r="CU159" s="34">
        <v>46873.0</v>
      </c>
      <c r="CV159" s="34">
        <v>46873.0</v>
      </c>
      <c r="CW159" s="32">
        <v>220617.0</v>
      </c>
      <c r="CX159" s="32" t="s">
        <v>122</v>
      </c>
      <c r="CY159" s="32" t="s">
        <v>123</v>
      </c>
      <c r="CZ159" s="35">
        <v>3455.76</v>
      </c>
      <c r="DA159" s="35">
        <v>0.0</v>
      </c>
      <c r="DB159" s="35">
        <v>-16167.2</v>
      </c>
      <c r="DC159" s="35">
        <v>0.56</v>
      </c>
      <c r="DD159" s="35">
        <v>-2704.24</v>
      </c>
      <c r="DE159" s="35">
        <v>-3109.88</v>
      </c>
      <c r="DF159" s="32"/>
    </row>
    <row r="160" ht="13.5" customHeight="1">
      <c r="A160" s="32" t="s">
        <v>144</v>
      </c>
      <c r="B160" s="33">
        <v>43983.0</v>
      </c>
      <c r="C160" s="32" t="s">
        <v>109</v>
      </c>
      <c r="D160" s="32" t="s">
        <v>137</v>
      </c>
      <c r="E160" s="32" t="s">
        <v>138</v>
      </c>
      <c r="F160" s="32" t="s">
        <v>176</v>
      </c>
      <c r="G160" s="32" t="s">
        <v>140</v>
      </c>
      <c r="H160" s="32" t="s">
        <v>129</v>
      </c>
      <c r="I160" s="34">
        <v>43991.0</v>
      </c>
      <c r="J160" s="34">
        <v>43995.0</v>
      </c>
      <c r="K160" s="32">
        <f t="shared" si="1"/>
        <v>4</v>
      </c>
      <c r="L160" s="32">
        <v>1.0</v>
      </c>
      <c r="M160" s="32">
        <f t="shared" si="2"/>
        <v>3</v>
      </c>
      <c r="N160" s="34">
        <v>44005.0</v>
      </c>
      <c r="O160" s="34">
        <v>44035.0</v>
      </c>
      <c r="P160" s="32">
        <f t="shared" si="3"/>
        <v>30</v>
      </c>
      <c r="Q160" s="32">
        <v>90.0</v>
      </c>
      <c r="R160" s="32">
        <f t="shared" si="4"/>
        <v>-60</v>
      </c>
      <c r="S160" s="32" t="s">
        <v>512</v>
      </c>
      <c r="T160" s="32" t="s">
        <v>513</v>
      </c>
      <c r="U160" s="32" t="s">
        <v>117</v>
      </c>
      <c r="V160" s="32" t="s">
        <v>147</v>
      </c>
      <c r="W160" s="32" t="s">
        <v>182</v>
      </c>
      <c r="X160" s="32" t="s">
        <v>259</v>
      </c>
      <c r="Y160" s="32">
        <v>2024.0</v>
      </c>
      <c r="Z160" s="32" t="s">
        <v>135</v>
      </c>
      <c r="AA160" s="32">
        <v>1998.0</v>
      </c>
      <c r="AB160" s="32">
        <v>16.0</v>
      </c>
      <c r="AC160" s="32">
        <v>0.0</v>
      </c>
      <c r="AD160" s="35">
        <v>453264.78</v>
      </c>
      <c r="AE160" s="35">
        <v>19222.07</v>
      </c>
      <c r="AF160" s="36">
        <v>0.04</v>
      </c>
      <c r="AG160" s="35">
        <v>41472.25</v>
      </c>
      <c r="AH160" s="35">
        <v>2633.0</v>
      </c>
      <c r="AI160" s="32">
        <v>7.75</v>
      </c>
      <c r="AJ160" s="35">
        <v>234700.0</v>
      </c>
      <c r="AK160" s="32">
        <v>51.78</v>
      </c>
      <c r="AL160" s="34">
        <v>44035.0</v>
      </c>
      <c r="AM160" s="34">
        <v>45861.0</v>
      </c>
      <c r="AN160" s="32">
        <v>60.0</v>
      </c>
      <c r="AO160" s="32">
        <v>1500.0</v>
      </c>
      <c r="AP160" s="32">
        <v>90000.0</v>
      </c>
      <c r="AQ160" s="34">
        <v>46203.0</v>
      </c>
      <c r="AR160" s="32">
        <v>15098.0</v>
      </c>
      <c r="AS160" s="32">
        <v>17176.0</v>
      </c>
      <c r="AT160" s="32">
        <v>2078.0</v>
      </c>
      <c r="AU160" s="32">
        <v>16565.0</v>
      </c>
      <c r="AV160" s="32">
        <v>1657.0</v>
      </c>
      <c r="AW160" s="35">
        <v>7012.55</v>
      </c>
      <c r="AX160" s="35">
        <v>1440.0</v>
      </c>
      <c r="AY160" s="35">
        <v>125.0</v>
      </c>
      <c r="AZ160" s="35">
        <v>291.0</v>
      </c>
      <c r="BA160" s="35">
        <v>1522.99</v>
      </c>
      <c r="BB160" s="35">
        <v>10391.54</v>
      </c>
      <c r="BC160" s="35">
        <v>1558.73</v>
      </c>
      <c r="BD160" s="35">
        <v>11950.27</v>
      </c>
      <c r="BE160" s="34">
        <v>45748.0</v>
      </c>
      <c r="BF160" s="34">
        <v>45838.0</v>
      </c>
      <c r="BG160" s="32">
        <v>12152.0</v>
      </c>
      <c r="BH160" s="32">
        <v>17176.0</v>
      </c>
      <c r="BI160" s="32">
        <v>5024.0</v>
      </c>
      <c r="BJ160" s="32">
        <v>4500.0</v>
      </c>
      <c r="BK160" s="32">
        <v>524.0</v>
      </c>
      <c r="BL160" s="35">
        <v>1.1</v>
      </c>
      <c r="BM160" s="35">
        <v>2.43</v>
      </c>
      <c r="BN160" s="35">
        <v>576.4</v>
      </c>
      <c r="BO160" s="35">
        <v>1273.32</v>
      </c>
      <c r="BP160" s="35">
        <v>1849.72</v>
      </c>
      <c r="BQ160" s="35">
        <v>277.46</v>
      </c>
      <c r="BR160" s="35">
        <v>2127.18</v>
      </c>
      <c r="BS160" s="35">
        <v>0.0</v>
      </c>
      <c r="BT160" s="35">
        <v>0.0</v>
      </c>
      <c r="BU160" s="35">
        <v>0.0</v>
      </c>
      <c r="BV160" s="35">
        <v>0.0</v>
      </c>
      <c r="BW160" s="35">
        <v>0.0</v>
      </c>
      <c r="BX160" s="35">
        <v>0.0</v>
      </c>
      <c r="BY160" s="35">
        <v>3880.08</v>
      </c>
      <c r="BZ160" s="32">
        <v>0.0</v>
      </c>
      <c r="CA160" s="35">
        <v>0.0</v>
      </c>
      <c r="CB160" s="32">
        <v>0.0</v>
      </c>
      <c r="CC160" s="35">
        <v>0.0</v>
      </c>
      <c r="CD160" s="35">
        <v>0.0</v>
      </c>
      <c r="CE160" s="35">
        <v>0.0</v>
      </c>
      <c r="CF160" s="35">
        <v>0.0</v>
      </c>
      <c r="CG160" s="35">
        <v>0.0</v>
      </c>
      <c r="CH160" s="35">
        <v>14077.45</v>
      </c>
      <c r="CI160" s="35">
        <v>1836.19</v>
      </c>
      <c r="CJ160" s="35">
        <v>12241.26</v>
      </c>
      <c r="CK160" s="35">
        <v>5.89</v>
      </c>
      <c r="CL160" s="32">
        <v>0.0</v>
      </c>
      <c r="CM160" s="32">
        <v>0.0</v>
      </c>
      <c r="CN160" s="32">
        <v>0.0</v>
      </c>
      <c r="CO160" s="32">
        <v>100.0</v>
      </c>
      <c r="CP160" s="34"/>
      <c r="CQ160" s="32">
        <v>0.0</v>
      </c>
      <c r="CR160" s="32">
        <v>0.0</v>
      </c>
      <c r="CS160" s="32">
        <v>0.0</v>
      </c>
      <c r="CT160" s="32">
        <v>678.0</v>
      </c>
      <c r="CU160" s="34">
        <v>47361.0</v>
      </c>
      <c r="CV160" s="34">
        <v>47361.0</v>
      </c>
      <c r="CW160" s="32">
        <v>90611.0</v>
      </c>
      <c r="CX160" s="32" t="s">
        <v>122</v>
      </c>
      <c r="CY160" s="32" t="s">
        <v>123</v>
      </c>
      <c r="CZ160" s="35">
        <v>3313.2</v>
      </c>
      <c r="DA160" s="35">
        <v>7319.16</v>
      </c>
      <c r="DB160" s="35">
        <v>-2240.64</v>
      </c>
      <c r="DC160" s="35">
        <v>0.96</v>
      </c>
      <c r="DD160" s="35">
        <v>0.0</v>
      </c>
      <c r="DE160" s="35">
        <v>0.0</v>
      </c>
      <c r="DF160" s="32"/>
    </row>
    <row r="161" ht="13.5" customHeight="1">
      <c r="A161" s="32" t="s">
        <v>144</v>
      </c>
      <c r="B161" s="33">
        <v>43983.0</v>
      </c>
      <c r="C161" s="32" t="s">
        <v>124</v>
      </c>
      <c r="D161" s="32" t="s">
        <v>110</v>
      </c>
      <c r="E161" s="32" t="s">
        <v>111</v>
      </c>
      <c r="F161" s="32" t="s">
        <v>176</v>
      </c>
      <c r="G161" s="32" t="s">
        <v>140</v>
      </c>
      <c r="H161" s="32" t="s">
        <v>141</v>
      </c>
      <c r="I161" s="34">
        <v>43992.0</v>
      </c>
      <c r="J161" s="34">
        <v>43993.0</v>
      </c>
      <c r="K161" s="32">
        <f t="shared" si="1"/>
        <v>1</v>
      </c>
      <c r="L161" s="32">
        <v>1.0</v>
      </c>
      <c r="M161" s="32">
        <f t="shared" si="2"/>
        <v>0</v>
      </c>
      <c r="N161" s="34">
        <v>44006.0</v>
      </c>
      <c r="O161" s="34">
        <v>44036.0</v>
      </c>
      <c r="P161" s="32">
        <f t="shared" si="3"/>
        <v>30</v>
      </c>
      <c r="Q161" s="32">
        <v>90.0</v>
      </c>
      <c r="R161" s="32">
        <f t="shared" si="4"/>
        <v>-60</v>
      </c>
      <c r="S161" s="32" t="s">
        <v>514</v>
      </c>
      <c r="T161" s="32" t="s">
        <v>515</v>
      </c>
      <c r="U161" s="32" t="s">
        <v>117</v>
      </c>
      <c r="V161" s="32" t="s">
        <v>147</v>
      </c>
      <c r="W161" s="32" t="s">
        <v>182</v>
      </c>
      <c r="X161" s="32" t="s">
        <v>259</v>
      </c>
      <c r="Y161" s="32">
        <v>2024.0</v>
      </c>
      <c r="Z161" s="32" t="s">
        <v>135</v>
      </c>
      <c r="AA161" s="32">
        <v>1998.0</v>
      </c>
      <c r="AB161" s="32">
        <v>16.0</v>
      </c>
      <c r="AC161" s="32">
        <v>0.0</v>
      </c>
      <c r="AD161" s="35">
        <v>453264.78</v>
      </c>
      <c r="AE161" s="35">
        <v>19222.07</v>
      </c>
      <c r="AF161" s="36">
        <v>0.04</v>
      </c>
      <c r="AG161" s="35">
        <v>41570.73</v>
      </c>
      <c r="AH161" s="35">
        <v>2633.0</v>
      </c>
      <c r="AI161" s="32">
        <v>7.75</v>
      </c>
      <c r="AJ161" s="35">
        <v>202728.49</v>
      </c>
      <c r="AK161" s="32">
        <v>52.59</v>
      </c>
      <c r="AL161" s="34">
        <v>44036.0</v>
      </c>
      <c r="AM161" s="34">
        <v>45862.0</v>
      </c>
      <c r="AN161" s="32">
        <v>60.0</v>
      </c>
      <c r="AO161" s="32">
        <v>3500.0</v>
      </c>
      <c r="AP161" s="32">
        <v>217123.0</v>
      </c>
      <c r="AQ161" s="34">
        <v>46203.0</v>
      </c>
      <c r="AR161" s="32">
        <v>37895.0</v>
      </c>
      <c r="AS161" s="32">
        <v>42669.0</v>
      </c>
      <c r="AT161" s="32">
        <v>4774.0</v>
      </c>
      <c r="AU161" s="32">
        <v>42057.0</v>
      </c>
      <c r="AV161" s="32">
        <v>4206.0</v>
      </c>
      <c r="AW161" s="35">
        <v>7078.23</v>
      </c>
      <c r="AX161" s="35">
        <v>2940.0</v>
      </c>
      <c r="AY161" s="35">
        <v>125.0</v>
      </c>
      <c r="AZ161" s="35">
        <v>291.0</v>
      </c>
      <c r="BA161" s="35">
        <v>1522.99</v>
      </c>
      <c r="BB161" s="35">
        <v>11957.22</v>
      </c>
      <c r="BC161" s="35">
        <v>1793.58</v>
      </c>
      <c r="BD161" s="35">
        <v>13750.8</v>
      </c>
      <c r="BE161" s="34">
        <v>45748.0</v>
      </c>
      <c r="BF161" s="34">
        <v>45838.0</v>
      </c>
      <c r="BG161" s="32">
        <v>31061.0</v>
      </c>
      <c r="BH161" s="32">
        <v>42669.0</v>
      </c>
      <c r="BI161" s="32">
        <v>11608.0</v>
      </c>
      <c r="BJ161" s="32">
        <v>10500.0</v>
      </c>
      <c r="BK161" s="32">
        <v>1108.0</v>
      </c>
      <c r="BL161" s="35">
        <v>0.97</v>
      </c>
      <c r="BM161" s="35">
        <v>1.0</v>
      </c>
      <c r="BN161" s="35">
        <v>1074.76</v>
      </c>
      <c r="BO161" s="35">
        <v>1108.0</v>
      </c>
      <c r="BP161" s="35">
        <v>2182.76</v>
      </c>
      <c r="BQ161" s="35">
        <v>327.41</v>
      </c>
      <c r="BR161" s="35">
        <v>2510.17</v>
      </c>
      <c r="BS161" s="35">
        <v>0.0</v>
      </c>
      <c r="BT161" s="35">
        <v>0.0</v>
      </c>
      <c r="BU161" s="35">
        <v>0.0</v>
      </c>
      <c r="BV161" s="35">
        <v>0.0</v>
      </c>
      <c r="BW161" s="35">
        <v>0.0</v>
      </c>
      <c r="BX161" s="35">
        <v>0.0</v>
      </c>
      <c r="BY161" s="35">
        <v>8675.38</v>
      </c>
      <c r="BZ161" s="32">
        <v>0.0</v>
      </c>
      <c r="CA161" s="35">
        <v>0.0</v>
      </c>
      <c r="CB161" s="32">
        <v>0.0</v>
      </c>
      <c r="CC161" s="35">
        <v>0.0</v>
      </c>
      <c r="CD161" s="35">
        <v>0.0</v>
      </c>
      <c r="CE161" s="35">
        <v>0.0</v>
      </c>
      <c r="CF161" s="35">
        <v>0.0</v>
      </c>
      <c r="CG161" s="35">
        <v>0.0</v>
      </c>
      <c r="CH161" s="35">
        <v>16260.97</v>
      </c>
      <c r="CI161" s="35">
        <v>2120.99</v>
      </c>
      <c r="CJ161" s="35">
        <v>14139.98</v>
      </c>
      <c r="CK161" s="35">
        <v>2.96</v>
      </c>
      <c r="CL161" s="32">
        <v>0.0</v>
      </c>
      <c r="CM161" s="32">
        <v>0.0</v>
      </c>
      <c r="CN161" s="32">
        <v>0.0</v>
      </c>
      <c r="CO161" s="32">
        <v>100.0</v>
      </c>
      <c r="CP161" s="34"/>
      <c r="CQ161" s="32">
        <v>0.0</v>
      </c>
      <c r="CR161" s="32">
        <v>0.0</v>
      </c>
      <c r="CS161" s="32">
        <v>0.0</v>
      </c>
      <c r="CT161" s="32">
        <v>18170.0</v>
      </c>
      <c r="CU161" s="34">
        <v>47361.0</v>
      </c>
      <c r="CV161" s="34">
        <v>47361.0</v>
      </c>
      <c r="CW161" s="32">
        <v>217735.0</v>
      </c>
      <c r="CX161" s="32" t="s">
        <v>122</v>
      </c>
      <c r="CY161" s="32" t="s">
        <v>123</v>
      </c>
      <c r="CZ161" s="35">
        <v>17624.9</v>
      </c>
      <c r="DA161" s="35">
        <v>36984.51</v>
      </c>
      <c r="DB161" s="35">
        <v>0.0</v>
      </c>
      <c r="DC161" s="35">
        <v>0.84</v>
      </c>
      <c r="DD161" s="35">
        <v>0.0</v>
      </c>
      <c r="DE161" s="35">
        <v>0.0</v>
      </c>
      <c r="DF161" s="32"/>
    </row>
    <row r="162" ht="13.5" customHeight="1">
      <c r="A162" s="32" t="s">
        <v>144</v>
      </c>
      <c r="B162" s="33">
        <v>43983.0</v>
      </c>
      <c r="C162" s="32" t="s">
        <v>136</v>
      </c>
      <c r="D162" s="32" t="s">
        <v>125</v>
      </c>
      <c r="E162" s="32" t="s">
        <v>126</v>
      </c>
      <c r="F162" s="32" t="s">
        <v>176</v>
      </c>
      <c r="G162" s="32" t="s">
        <v>140</v>
      </c>
      <c r="H162" s="32" t="s">
        <v>114</v>
      </c>
      <c r="I162" s="34">
        <v>43993.0</v>
      </c>
      <c r="J162" s="34">
        <v>43994.0</v>
      </c>
      <c r="K162" s="32">
        <f t="shared" si="1"/>
        <v>1</v>
      </c>
      <c r="L162" s="32">
        <v>1.0</v>
      </c>
      <c r="M162" s="32">
        <f t="shared" si="2"/>
        <v>0</v>
      </c>
      <c r="N162" s="34">
        <v>44007.0</v>
      </c>
      <c r="O162" s="34">
        <v>44017.0</v>
      </c>
      <c r="P162" s="32">
        <f t="shared" si="3"/>
        <v>10</v>
      </c>
      <c r="Q162" s="32">
        <v>90.0</v>
      </c>
      <c r="R162" s="32">
        <f t="shared" si="4"/>
        <v>-80</v>
      </c>
      <c r="S162" s="32" t="s">
        <v>516</v>
      </c>
      <c r="T162" s="32" t="s">
        <v>517</v>
      </c>
      <c r="U162" s="32" t="s">
        <v>117</v>
      </c>
      <c r="V162" s="32" t="s">
        <v>147</v>
      </c>
      <c r="W162" s="32" t="s">
        <v>182</v>
      </c>
      <c r="X162" s="32" t="s">
        <v>259</v>
      </c>
      <c r="Y162" s="32">
        <v>2024.0</v>
      </c>
      <c r="Z162" s="32" t="s">
        <v>135</v>
      </c>
      <c r="AA162" s="32">
        <v>1998.0</v>
      </c>
      <c r="AB162" s="32">
        <v>16.0</v>
      </c>
      <c r="AC162" s="32">
        <v>0.0</v>
      </c>
      <c r="AD162" s="35">
        <v>453264.78</v>
      </c>
      <c r="AE162" s="35">
        <v>19222.07</v>
      </c>
      <c r="AF162" s="36">
        <v>0.04</v>
      </c>
      <c r="AG162" s="35">
        <v>41410.93</v>
      </c>
      <c r="AH162" s="35">
        <v>2633.0</v>
      </c>
      <c r="AI162" s="32">
        <v>7.75</v>
      </c>
      <c r="AJ162" s="35">
        <v>234700.0</v>
      </c>
      <c r="AK162" s="32">
        <v>51.78</v>
      </c>
      <c r="AL162" s="34">
        <v>44017.0</v>
      </c>
      <c r="AM162" s="34">
        <v>45843.0</v>
      </c>
      <c r="AN162" s="32">
        <v>60.0</v>
      </c>
      <c r="AO162" s="32">
        <v>3000.0</v>
      </c>
      <c r="AP162" s="32">
        <v>180000.0</v>
      </c>
      <c r="AQ162" s="34">
        <v>46203.0</v>
      </c>
      <c r="AR162" s="32">
        <v>28020.0</v>
      </c>
      <c r="AS162" s="32">
        <v>42669.0</v>
      </c>
      <c r="AT162" s="32">
        <v>14649.0</v>
      </c>
      <c r="AU162" s="32">
        <v>42055.0</v>
      </c>
      <c r="AV162" s="32">
        <v>4206.0</v>
      </c>
      <c r="AW162" s="35">
        <v>6987.88</v>
      </c>
      <c r="AX162" s="35">
        <v>1800.0</v>
      </c>
      <c r="AY162" s="35">
        <v>125.0</v>
      </c>
      <c r="AZ162" s="35">
        <v>291.0</v>
      </c>
      <c r="BA162" s="35">
        <v>1522.99</v>
      </c>
      <c r="BB162" s="35">
        <v>10726.87</v>
      </c>
      <c r="BC162" s="35">
        <v>1609.03</v>
      </c>
      <c r="BD162" s="35">
        <v>12335.9</v>
      </c>
      <c r="BE162" s="34">
        <v>45748.0</v>
      </c>
      <c r="BF162" s="34">
        <v>45838.0</v>
      </c>
      <c r="BG162" s="32">
        <v>21231.0</v>
      </c>
      <c r="BH162" s="32">
        <v>42669.0</v>
      </c>
      <c r="BI162" s="32">
        <v>21438.0</v>
      </c>
      <c r="BJ162" s="32">
        <v>9000.0</v>
      </c>
      <c r="BK162" s="32">
        <v>12438.0</v>
      </c>
      <c r="BL162" s="35">
        <v>0.69</v>
      </c>
      <c r="BM162" s="35">
        <v>1.21</v>
      </c>
      <c r="BN162" s="35">
        <v>8582.22</v>
      </c>
      <c r="BO162" s="35">
        <v>15049.98</v>
      </c>
      <c r="BP162" s="35">
        <v>23632.2</v>
      </c>
      <c r="BQ162" s="35">
        <v>3544.83</v>
      </c>
      <c r="BR162" s="35">
        <v>27177.03</v>
      </c>
      <c r="BS162" s="35">
        <v>0.0</v>
      </c>
      <c r="BT162" s="35">
        <v>0.0</v>
      </c>
      <c r="BU162" s="35">
        <v>0.0</v>
      </c>
      <c r="BV162" s="35">
        <v>0.0</v>
      </c>
      <c r="BW162" s="35">
        <v>0.0</v>
      </c>
      <c r="BX162" s="35">
        <v>0.0</v>
      </c>
      <c r="BY162" s="35">
        <v>7541.08</v>
      </c>
      <c r="BZ162" s="32">
        <v>0.0</v>
      </c>
      <c r="CA162" s="35">
        <v>0.0</v>
      </c>
      <c r="CB162" s="32">
        <v>0.0</v>
      </c>
      <c r="CC162" s="35">
        <v>0.0</v>
      </c>
      <c r="CD162" s="35">
        <v>0.0</v>
      </c>
      <c r="CE162" s="35">
        <v>0.0</v>
      </c>
      <c r="CF162" s="35">
        <v>0.0</v>
      </c>
      <c r="CG162" s="35">
        <v>0.0</v>
      </c>
      <c r="CH162" s="35">
        <v>39512.93</v>
      </c>
      <c r="CI162" s="35">
        <v>5153.86</v>
      </c>
      <c r="CJ162" s="35">
        <v>34359.07</v>
      </c>
      <c r="CK162" s="35">
        <v>2.35</v>
      </c>
      <c r="CL162" s="32">
        <v>0.0</v>
      </c>
      <c r="CM162" s="32">
        <v>0.0</v>
      </c>
      <c r="CN162" s="32">
        <v>0.0</v>
      </c>
      <c r="CO162" s="32">
        <v>100.0</v>
      </c>
      <c r="CP162" s="34"/>
      <c r="CQ162" s="32">
        <v>0.0</v>
      </c>
      <c r="CR162" s="32">
        <v>0.0</v>
      </c>
      <c r="CS162" s="32">
        <v>0.0</v>
      </c>
      <c r="CT162" s="32">
        <v>10280.0</v>
      </c>
      <c r="CU162" s="34">
        <v>47361.0</v>
      </c>
      <c r="CV162" s="34">
        <v>47361.0</v>
      </c>
      <c r="CW162" s="32">
        <v>180614.0</v>
      </c>
      <c r="CX162" s="32" t="s">
        <v>122</v>
      </c>
      <c r="CY162" s="32" t="s">
        <v>123</v>
      </c>
      <c r="CZ162" s="35">
        <v>8909.28</v>
      </c>
      <c r="DA162" s="35">
        <v>15623.52</v>
      </c>
      <c r="DB162" s="35">
        <v>-1579.2</v>
      </c>
      <c r="DC162" s="35">
        <v>0.6</v>
      </c>
      <c r="DD162" s="35">
        <v>0.0</v>
      </c>
      <c r="DE162" s="35">
        <v>0.0</v>
      </c>
      <c r="DF162" s="32"/>
    </row>
    <row r="163" ht="13.5" customHeight="1">
      <c r="A163" s="32" t="s">
        <v>144</v>
      </c>
      <c r="B163" s="33">
        <v>43983.0</v>
      </c>
      <c r="C163" s="32" t="s">
        <v>109</v>
      </c>
      <c r="D163" s="32" t="s">
        <v>137</v>
      </c>
      <c r="E163" s="32" t="s">
        <v>138</v>
      </c>
      <c r="F163" s="32" t="s">
        <v>172</v>
      </c>
      <c r="G163" s="32" t="s">
        <v>140</v>
      </c>
      <c r="H163" s="32" t="s">
        <v>129</v>
      </c>
      <c r="I163" s="34">
        <v>43994.0</v>
      </c>
      <c r="J163" s="34">
        <v>43995.0</v>
      </c>
      <c r="K163" s="32">
        <f t="shared" si="1"/>
        <v>1</v>
      </c>
      <c r="L163" s="32">
        <v>1.0</v>
      </c>
      <c r="M163" s="32">
        <f t="shared" si="2"/>
        <v>0</v>
      </c>
      <c r="N163" s="34">
        <v>44008.0</v>
      </c>
      <c r="O163" s="34">
        <v>44018.0</v>
      </c>
      <c r="P163" s="32">
        <f t="shared" si="3"/>
        <v>10</v>
      </c>
      <c r="Q163" s="32">
        <v>90.0</v>
      </c>
      <c r="R163" s="32">
        <f t="shared" si="4"/>
        <v>-80</v>
      </c>
      <c r="S163" s="32" t="s">
        <v>518</v>
      </c>
      <c r="T163" s="32" t="s">
        <v>519</v>
      </c>
      <c r="U163" s="32" t="s">
        <v>117</v>
      </c>
      <c r="V163" s="32" t="s">
        <v>147</v>
      </c>
      <c r="W163" s="32" t="s">
        <v>133</v>
      </c>
      <c r="X163" s="32" t="s">
        <v>168</v>
      </c>
      <c r="Y163" s="32">
        <v>2024.0</v>
      </c>
      <c r="Z163" s="32" t="s">
        <v>135</v>
      </c>
      <c r="AA163" s="32">
        <v>2498.0</v>
      </c>
      <c r="AB163" s="32">
        <v>16.0</v>
      </c>
      <c r="AC163" s="32">
        <v>1.0</v>
      </c>
      <c r="AD163" s="35">
        <v>460956.52</v>
      </c>
      <c r="AE163" s="35">
        <v>86959.0</v>
      </c>
      <c r="AF163" s="36">
        <v>0.19</v>
      </c>
      <c r="AG163" s="35">
        <v>17523.08</v>
      </c>
      <c r="AH163" s="35">
        <v>2136.0</v>
      </c>
      <c r="AI163" s="32">
        <v>7.75</v>
      </c>
      <c r="AJ163" s="35">
        <v>202821.0</v>
      </c>
      <c r="AK163" s="32">
        <v>44.0</v>
      </c>
      <c r="AL163" s="34">
        <v>44018.0</v>
      </c>
      <c r="AM163" s="34">
        <v>45844.0</v>
      </c>
      <c r="AN163" s="32">
        <v>60.0</v>
      </c>
      <c r="AO163" s="32">
        <v>4500.0</v>
      </c>
      <c r="AP163" s="32">
        <v>216000.0</v>
      </c>
      <c r="AQ163" s="34">
        <v>46203.0</v>
      </c>
      <c r="AR163" s="32">
        <v>30517.0</v>
      </c>
      <c r="AS163" s="32">
        <v>33332.0</v>
      </c>
      <c r="AT163" s="32">
        <v>2815.0</v>
      </c>
      <c r="AU163" s="32">
        <v>32732.0</v>
      </c>
      <c r="AV163" s="32">
        <v>3273.0</v>
      </c>
      <c r="AW163" s="35">
        <v>6775.39</v>
      </c>
      <c r="AX163" s="35">
        <v>1800.0</v>
      </c>
      <c r="AY163" s="35">
        <v>125.0</v>
      </c>
      <c r="AZ163" s="35">
        <v>290.99</v>
      </c>
      <c r="BA163" s="35">
        <v>1089.17</v>
      </c>
      <c r="BB163" s="35">
        <v>10080.55</v>
      </c>
      <c r="BC163" s="35">
        <v>1512.08</v>
      </c>
      <c r="BD163" s="35">
        <v>11592.63</v>
      </c>
      <c r="BE163" s="34">
        <v>45748.0</v>
      </c>
      <c r="BF163" s="34">
        <v>45838.0</v>
      </c>
      <c r="BG163" s="32">
        <v>23327.0</v>
      </c>
      <c r="BH163" s="32">
        <v>33332.0</v>
      </c>
      <c r="BI163" s="32">
        <v>10005.0</v>
      </c>
      <c r="BJ163" s="32">
        <v>13500.0</v>
      </c>
      <c r="BK163" s="32">
        <v>-3495.0</v>
      </c>
      <c r="BL163" s="35">
        <v>0.46</v>
      </c>
      <c r="BM163" s="35">
        <v>1.2</v>
      </c>
      <c r="BN163" s="35">
        <v>0.0</v>
      </c>
      <c r="BO163" s="35">
        <v>0.0</v>
      </c>
      <c r="BP163" s="35">
        <v>0.0</v>
      </c>
      <c r="BQ163" s="35">
        <v>-209.7</v>
      </c>
      <c r="BR163" s="35">
        <v>0.0</v>
      </c>
      <c r="BS163" s="35">
        <v>0.0</v>
      </c>
      <c r="BT163" s="35">
        <v>0.0</v>
      </c>
      <c r="BU163" s="35">
        <v>0.0</v>
      </c>
      <c r="BV163" s="35">
        <v>0.0</v>
      </c>
      <c r="BW163" s="35">
        <v>0.0</v>
      </c>
      <c r="BX163" s="35">
        <v>0.0</v>
      </c>
      <c r="BY163" s="35">
        <v>8459.61</v>
      </c>
      <c r="BZ163" s="32">
        <v>0.0</v>
      </c>
      <c r="CA163" s="35">
        <v>0.0</v>
      </c>
      <c r="CB163" s="32">
        <v>0.0</v>
      </c>
      <c r="CC163" s="35">
        <v>0.0</v>
      </c>
      <c r="CD163" s="35">
        <v>0.0</v>
      </c>
      <c r="CE163" s="35">
        <v>0.0</v>
      </c>
      <c r="CF163" s="35">
        <v>0.0</v>
      </c>
      <c r="CG163" s="35">
        <v>0.0</v>
      </c>
      <c r="CH163" s="35">
        <v>9984.93</v>
      </c>
      <c r="CI163" s="35">
        <v>1302.38</v>
      </c>
      <c r="CJ163" s="35">
        <v>8682.55</v>
      </c>
      <c r="CK163" s="35">
        <v>3.08</v>
      </c>
      <c r="CL163" s="32">
        <v>0.0</v>
      </c>
      <c r="CM163" s="32">
        <v>0.0</v>
      </c>
      <c r="CN163" s="32">
        <v>0.0</v>
      </c>
      <c r="CO163" s="32">
        <v>100.0</v>
      </c>
      <c r="CP163" s="34"/>
      <c r="CQ163" s="32">
        <v>0.0</v>
      </c>
      <c r="CR163" s="32">
        <v>0.0</v>
      </c>
      <c r="CS163" s="32">
        <v>0.0</v>
      </c>
      <c r="CT163" s="32">
        <v>-15818.0</v>
      </c>
      <c r="CU163" s="34">
        <v>46996.0</v>
      </c>
      <c r="CV163" s="34">
        <v>46996.0</v>
      </c>
      <c r="CW163" s="32">
        <v>216600.0</v>
      </c>
      <c r="CX163" s="32" t="s">
        <v>122</v>
      </c>
      <c r="CY163" s="32" t="s">
        <v>123</v>
      </c>
      <c r="CZ163" s="35">
        <v>1583.6</v>
      </c>
      <c r="DA163" s="35">
        <v>0.0</v>
      </c>
      <c r="DB163" s="35">
        <v>-7910.8</v>
      </c>
      <c r="DC163" s="35">
        <v>0.4</v>
      </c>
      <c r="DD163" s="35">
        <v>-1398.0</v>
      </c>
      <c r="DE163" s="35">
        <v>-1607.7</v>
      </c>
      <c r="DF163" s="32"/>
    </row>
    <row r="164" ht="13.5" customHeight="1">
      <c r="A164" s="32" t="s">
        <v>157</v>
      </c>
      <c r="B164" s="33">
        <v>43983.0</v>
      </c>
      <c r="C164" s="32" t="s">
        <v>124</v>
      </c>
      <c r="D164" s="32" t="s">
        <v>110</v>
      </c>
      <c r="E164" s="32" t="s">
        <v>111</v>
      </c>
      <c r="F164" s="32" t="s">
        <v>176</v>
      </c>
      <c r="G164" s="32" t="s">
        <v>140</v>
      </c>
      <c r="H164" s="32" t="s">
        <v>141</v>
      </c>
      <c r="I164" s="34">
        <v>43995.0</v>
      </c>
      <c r="J164" s="34">
        <v>43996.0</v>
      </c>
      <c r="K164" s="32">
        <f t="shared" si="1"/>
        <v>1</v>
      </c>
      <c r="L164" s="32">
        <v>1.0</v>
      </c>
      <c r="M164" s="32">
        <f t="shared" si="2"/>
        <v>0</v>
      </c>
      <c r="N164" s="34">
        <v>44009.0</v>
      </c>
      <c r="O164" s="34">
        <v>44019.0</v>
      </c>
      <c r="P164" s="32">
        <f t="shared" si="3"/>
        <v>10</v>
      </c>
      <c r="Q164" s="32">
        <v>90.0</v>
      </c>
      <c r="R164" s="32">
        <f t="shared" si="4"/>
        <v>-80</v>
      </c>
      <c r="S164" s="32" t="s">
        <v>520</v>
      </c>
      <c r="T164" s="32" t="s">
        <v>521</v>
      </c>
      <c r="U164" s="32" t="s">
        <v>117</v>
      </c>
      <c r="V164" s="32" t="s">
        <v>190</v>
      </c>
      <c r="W164" s="32" t="s">
        <v>194</v>
      </c>
      <c r="X164" s="32" t="s">
        <v>387</v>
      </c>
      <c r="Y164" s="32">
        <v>2024.0</v>
      </c>
      <c r="Z164" s="32" t="s">
        <v>121</v>
      </c>
      <c r="AA164" s="32">
        <v>1498.0</v>
      </c>
      <c r="AB164" s="32">
        <v>16.0</v>
      </c>
      <c r="AC164" s="32">
        <v>3.0</v>
      </c>
      <c r="AD164" s="35">
        <v>242521.74</v>
      </c>
      <c r="AE164" s="35">
        <v>13200.0</v>
      </c>
      <c r="AF164" s="36">
        <v>0.05</v>
      </c>
      <c r="AG164" s="35">
        <v>5072.37</v>
      </c>
      <c r="AH164" s="35">
        <v>2077.5</v>
      </c>
      <c r="AI164" s="32">
        <v>7.75</v>
      </c>
      <c r="AJ164" s="35">
        <v>104284.0</v>
      </c>
      <c r="AK164" s="32">
        <v>43.0</v>
      </c>
      <c r="AL164" s="34">
        <v>44019.0</v>
      </c>
      <c r="AM164" s="34">
        <v>45845.0</v>
      </c>
      <c r="AN164" s="32">
        <v>60.0</v>
      </c>
      <c r="AO164" s="32">
        <v>2000.0</v>
      </c>
      <c r="AP164" s="32">
        <v>120000.0</v>
      </c>
      <c r="AQ164" s="34">
        <v>46234.0</v>
      </c>
      <c r="AR164" s="32">
        <v>13991.0</v>
      </c>
      <c r="AS164" s="32">
        <v>16218.0</v>
      </c>
      <c r="AT164" s="32">
        <v>2227.0</v>
      </c>
      <c r="AU164" s="32">
        <v>15599.0</v>
      </c>
      <c r="AV164" s="32">
        <v>1560.0</v>
      </c>
      <c r="AW164" s="35">
        <v>4060.32</v>
      </c>
      <c r="AX164" s="35">
        <v>1120.0</v>
      </c>
      <c r="AY164" s="35">
        <v>125.0</v>
      </c>
      <c r="AZ164" s="35">
        <v>290.99</v>
      </c>
      <c r="BA164" s="35">
        <v>1083.24</v>
      </c>
      <c r="BB164" s="35">
        <v>6679.55</v>
      </c>
      <c r="BC164" s="35">
        <v>1001.93</v>
      </c>
      <c r="BD164" s="35">
        <v>7681.48</v>
      </c>
      <c r="BE164" s="34">
        <v>45748.0</v>
      </c>
      <c r="BF164" s="34">
        <v>45838.0</v>
      </c>
      <c r="BG164" s="32">
        <v>10431.0</v>
      </c>
      <c r="BH164" s="32">
        <v>16218.0</v>
      </c>
      <c r="BI164" s="32">
        <v>5787.0</v>
      </c>
      <c r="BJ164" s="32">
        <v>6000.0</v>
      </c>
      <c r="BK164" s="32">
        <v>-213.0</v>
      </c>
      <c r="BL164" s="35">
        <v>0.64</v>
      </c>
      <c r="BM164" s="35">
        <v>1.15</v>
      </c>
      <c r="BN164" s="35">
        <v>0.0</v>
      </c>
      <c r="BO164" s="35">
        <v>0.0</v>
      </c>
      <c r="BP164" s="35">
        <v>0.0</v>
      </c>
      <c r="BQ164" s="35">
        <v>0.0</v>
      </c>
      <c r="BR164" s="35">
        <v>0.0</v>
      </c>
      <c r="BS164" s="35">
        <v>0.0</v>
      </c>
      <c r="BT164" s="35">
        <v>1000.0</v>
      </c>
      <c r="BU164" s="35">
        <v>0.0</v>
      </c>
      <c r="BV164" s="35">
        <v>0.0</v>
      </c>
      <c r="BW164" s="35">
        <v>0.0</v>
      </c>
      <c r="BX164" s="35">
        <v>0.0</v>
      </c>
      <c r="BY164" s="35">
        <v>0.0</v>
      </c>
      <c r="BZ164" s="32">
        <v>0.0</v>
      </c>
      <c r="CA164" s="35">
        <v>0.0</v>
      </c>
      <c r="CB164" s="32">
        <v>0.0</v>
      </c>
      <c r="CC164" s="35">
        <v>0.0</v>
      </c>
      <c r="CD164" s="35">
        <v>0.0</v>
      </c>
      <c r="CE164" s="35">
        <v>1000.0</v>
      </c>
      <c r="CF164" s="35">
        <v>150.0</v>
      </c>
      <c r="CG164" s="35">
        <v>1150.0</v>
      </c>
      <c r="CH164" s="35">
        <v>8831.48</v>
      </c>
      <c r="CI164" s="35">
        <v>1151.93</v>
      </c>
      <c r="CJ164" s="35">
        <v>7679.55</v>
      </c>
      <c r="CK164" s="35">
        <v>3.45</v>
      </c>
      <c r="CL164" s="32">
        <v>0.0</v>
      </c>
      <c r="CM164" s="32">
        <v>4.0</v>
      </c>
      <c r="CN164" s="32">
        <v>0.0</v>
      </c>
      <c r="CO164" s="32">
        <v>100.0</v>
      </c>
      <c r="CP164" s="34"/>
      <c r="CQ164" s="32">
        <v>0.0</v>
      </c>
      <c r="CR164" s="32">
        <v>0.0</v>
      </c>
      <c r="CS164" s="32">
        <v>0.0</v>
      </c>
      <c r="CT164" s="32">
        <v>-5979.0</v>
      </c>
      <c r="CU164" s="34">
        <v>47361.0</v>
      </c>
      <c r="CV164" s="34">
        <v>47361.0</v>
      </c>
      <c r="CW164" s="32">
        <v>120619.0</v>
      </c>
      <c r="CX164" s="32" t="s">
        <v>122</v>
      </c>
      <c r="CY164" s="32" t="s">
        <v>123</v>
      </c>
      <c r="CZ164" s="35">
        <v>2240.0</v>
      </c>
      <c r="DA164" s="35">
        <v>0.0</v>
      </c>
      <c r="DB164" s="35">
        <v>-5468.96</v>
      </c>
      <c r="DC164" s="35">
        <v>0.56</v>
      </c>
      <c r="DD164" s="35">
        <v>0.0</v>
      </c>
      <c r="DE164" s="35">
        <v>0.0</v>
      </c>
      <c r="DF164" s="32"/>
    </row>
    <row r="165" ht="13.5" customHeight="1">
      <c r="A165" s="32" t="s">
        <v>157</v>
      </c>
      <c r="B165" s="33">
        <v>43983.0</v>
      </c>
      <c r="C165" s="32" t="s">
        <v>136</v>
      </c>
      <c r="D165" s="32" t="s">
        <v>125</v>
      </c>
      <c r="E165" s="32" t="s">
        <v>126</v>
      </c>
      <c r="F165" s="32" t="s">
        <v>176</v>
      </c>
      <c r="G165" s="32" t="s">
        <v>140</v>
      </c>
      <c r="H165" s="32" t="s">
        <v>114</v>
      </c>
      <c r="I165" s="34">
        <v>43996.0</v>
      </c>
      <c r="J165" s="34">
        <v>43997.0</v>
      </c>
      <c r="K165" s="32">
        <f t="shared" si="1"/>
        <v>1</v>
      </c>
      <c r="L165" s="32">
        <v>1.0</v>
      </c>
      <c r="M165" s="32">
        <f t="shared" si="2"/>
        <v>0</v>
      </c>
      <c r="N165" s="34">
        <v>44010.0</v>
      </c>
      <c r="O165" s="34">
        <v>44082.0</v>
      </c>
      <c r="P165" s="32">
        <f t="shared" si="3"/>
        <v>72</v>
      </c>
      <c r="Q165" s="32">
        <v>90.0</v>
      </c>
      <c r="R165" s="32">
        <f t="shared" si="4"/>
        <v>-18</v>
      </c>
      <c r="S165" s="32" t="s">
        <v>522</v>
      </c>
      <c r="T165" s="32" t="s">
        <v>523</v>
      </c>
      <c r="U165" s="32" t="s">
        <v>117</v>
      </c>
      <c r="V165" s="32" t="s">
        <v>147</v>
      </c>
      <c r="W165" s="32" t="s">
        <v>182</v>
      </c>
      <c r="X165" s="32" t="s">
        <v>183</v>
      </c>
      <c r="Y165" s="32">
        <v>2024.0</v>
      </c>
      <c r="Z165" s="32" t="s">
        <v>135</v>
      </c>
      <c r="AA165" s="32">
        <v>1998.0</v>
      </c>
      <c r="AB165" s="32">
        <v>16.0</v>
      </c>
      <c r="AC165" s="32">
        <v>0.0</v>
      </c>
      <c r="AD165" s="35">
        <v>491833.91</v>
      </c>
      <c r="AE165" s="35">
        <v>35437.99</v>
      </c>
      <c r="AF165" s="36">
        <v>0.07</v>
      </c>
      <c r="AG165" s="35">
        <v>75678.67</v>
      </c>
      <c r="AH165" s="35">
        <v>2727.5</v>
      </c>
      <c r="AI165" s="32">
        <v>7.75</v>
      </c>
      <c r="AJ165" s="35">
        <v>254362.0</v>
      </c>
      <c r="AK165" s="32">
        <v>51.72</v>
      </c>
      <c r="AL165" s="34">
        <v>44082.0</v>
      </c>
      <c r="AM165" s="34">
        <v>45908.0</v>
      </c>
      <c r="AN165" s="32">
        <v>60.0</v>
      </c>
      <c r="AO165" s="32">
        <v>3667.0</v>
      </c>
      <c r="AP165" s="32">
        <v>220020.0</v>
      </c>
      <c r="AQ165" s="34">
        <v>46234.0</v>
      </c>
      <c r="AR165" s="32">
        <v>18496.0</v>
      </c>
      <c r="AS165" s="32">
        <v>21909.0</v>
      </c>
      <c r="AT165" s="32">
        <v>3413.0</v>
      </c>
      <c r="AU165" s="32">
        <v>21294.0</v>
      </c>
      <c r="AV165" s="32">
        <v>2129.0</v>
      </c>
      <c r="AW165" s="35">
        <v>8217.09</v>
      </c>
      <c r="AX165" s="35">
        <v>2236.87</v>
      </c>
      <c r="AY165" s="35">
        <v>125.0</v>
      </c>
      <c r="AZ165" s="35">
        <v>291.0</v>
      </c>
      <c r="BA165" s="35">
        <v>1522.99</v>
      </c>
      <c r="BB165" s="35">
        <v>12392.95</v>
      </c>
      <c r="BC165" s="35">
        <v>1858.94</v>
      </c>
      <c r="BD165" s="35">
        <v>14251.89</v>
      </c>
      <c r="BE165" s="34">
        <v>45748.0</v>
      </c>
      <c r="BF165" s="34">
        <v>45838.0</v>
      </c>
      <c r="BG165" s="32">
        <v>12643.0</v>
      </c>
      <c r="BH165" s="32">
        <v>21909.0</v>
      </c>
      <c r="BI165" s="32">
        <v>9266.0</v>
      </c>
      <c r="BJ165" s="32">
        <v>11001.0</v>
      </c>
      <c r="BK165" s="32">
        <v>-1735.0</v>
      </c>
      <c r="BL165" s="35">
        <v>0.7</v>
      </c>
      <c r="BM165" s="35">
        <v>1.08</v>
      </c>
      <c r="BN165" s="35">
        <v>0.0</v>
      </c>
      <c r="BO165" s="35">
        <v>0.0</v>
      </c>
      <c r="BP165" s="35">
        <v>0.0</v>
      </c>
      <c r="BQ165" s="35">
        <v>-158.75</v>
      </c>
      <c r="BR165" s="35">
        <v>0.0</v>
      </c>
      <c r="BS165" s="35">
        <v>0.0</v>
      </c>
      <c r="BT165" s="35">
        <v>0.0</v>
      </c>
      <c r="BU165" s="35">
        <v>0.0</v>
      </c>
      <c r="BV165" s="35">
        <v>0.0</v>
      </c>
      <c r="BW165" s="35">
        <v>0.0</v>
      </c>
      <c r="BX165" s="35">
        <v>0.0</v>
      </c>
      <c r="BY165" s="35">
        <v>7556.92</v>
      </c>
      <c r="BZ165" s="32">
        <v>0.0</v>
      </c>
      <c r="CA165" s="35">
        <v>0.0</v>
      </c>
      <c r="CB165" s="32">
        <v>0.0</v>
      </c>
      <c r="CC165" s="35">
        <v>0.0</v>
      </c>
      <c r="CD165" s="35">
        <v>0.0</v>
      </c>
      <c r="CE165" s="35">
        <v>0.0</v>
      </c>
      <c r="CF165" s="35">
        <v>0.0</v>
      </c>
      <c r="CG165" s="35">
        <v>0.0</v>
      </c>
      <c r="CH165" s="35">
        <v>13034.79</v>
      </c>
      <c r="CI165" s="35">
        <v>1700.19</v>
      </c>
      <c r="CJ165" s="35">
        <v>11334.6</v>
      </c>
      <c r="CK165" s="35">
        <v>3.32</v>
      </c>
      <c r="CL165" s="32">
        <v>0.0</v>
      </c>
      <c r="CM165" s="32">
        <v>0.0</v>
      </c>
      <c r="CN165" s="32">
        <v>0.0</v>
      </c>
      <c r="CO165" s="32">
        <v>100.0</v>
      </c>
      <c r="CP165" s="34"/>
      <c r="CQ165" s="32">
        <v>0.0</v>
      </c>
      <c r="CR165" s="32">
        <v>0.0</v>
      </c>
      <c r="CS165" s="32">
        <v>0.0</v>
      </c>
      <c r="CT165" s="32">
        <v>-15978.0</v>
      </c>
      <c r="CU165" s="34">
        <v>47361.0</v>
      </c>
      <c r="CV165" s="34">
        <v>47361.0</v>
      </c>
      <c r="CW165" s="32">
        <v>220635.0</v>
      </c>
      <c r="CX165" s="32" t="s">
        <v>122</v>
      </c>
      <c r="CY165" s="32" t="s">
        <v>123</v>
      </c>
      <c r="CZ165" s="35">
        <v>0.0</v>
      </c>
      <c r="DA165" s="35">
        <v>0.0</v>
      </c>
      <c r="DB165" s="35">
        <v>-9746.58</v>
      </c>
      <c r="DC165" s="35">
        <v>0.61</v>
      </c>
      <c r="DD165" s="35">
        <v>-1058.35</v>
      </c>
      <c r="DE165" s="35">
        <v>-1217.1</v>
      </c>
      <c r="DF165" s="32"/>
    </row>
    <row r="166" ht="13.5" customHeight="1">
      <c r="A166" s="32" t="s">
        <v>157</v>
      </c>
      <c r="B166" s="33">
        <v>43983.0</v>
      </c>
      <c r="C166" s="32" t="s">
        <v>109</v>
      </c>
      <c r="D166" s="32" t="s">
        <v>137</v>
      </c>
      <c r="E166" s="32" t="s">
        <v>138</v>
      </c>
      <c r="F166" s="32" t="s">
        <v>172</v>
      </c>
      <c r="G166" s="32" t="s">
        <v>140</v>
      </c>
      <c r="H166" s="32" t="s">
        <v>129</v>
      </c>
      <c r="I166" s="34">
        <v>43997.0</v>
      </c>
      <c r="J166" s="34">
        <v>44008.0</v>
      </c>
      <c r="K166" s="32">
        <f t="shared" si="1"/>
        <v>11</v>
      </c>
      <c r="L166" s="32">
        <v>1.0</v>
      </c>
      <c r="M166" s="32">
        <f t="shared" si="2"/>
        <v>10</v>
      </c>
      <c r="N166" s="34">
        <v>44011.0</v>
      </c>
      <c r="O166" s="34">
        <v>44021.0</v>
      </c>
      <c r="P166" s="32">
        <f t="shared" si="3"/>
        <v>10</v>
      </c>
      <c r="Q166" s="32">
        <v>90.0</v>
      </c>
      <c r="R166" s="32">
        <f t="shared" si="4"/>
        <v>-80</v>
      </c>
      <c r="S166" s="32" t="s">
        <v>524</v>
      </c>
      <c r="T166" s="32" t="s">
        <v>525</v>
      </c>
      <c r="U166" s="32" t="s">
        <v>117</v>
      </c>
      <c r="V166" s="32" t="s">
        <v>147</v>
      </c>
      <c r="W166" s="32" t="s">
        <v>133</v>
      </c>
      <c r="X166" s="32" t="s">
        <v>168</v>
      </c>
      <c r="Y166" s="32">
        <v>2024.0</v>
      </c>
      <c r="Z166" s="32" t="s">
        <v>135</v>
      </c>
      <c r="AA166" s="32">
        <v>2498.0</v>
      </c>
      <c r="AB166" s="32">
        <v>16.0</v>
      </c>
      <c r="AC166" s="32">
        <v>2.0</v>
      </c>
      <c r="AD166" s="35">
        <v>460956.52</v>
      </c>
      <c r="AE166" s="35">
        <v>86959.0</v>
      </c>
      <c r="AF166" s="36">
        <v>0.19</v>
      </c>
      <c r="AG166" s="35">
        <v>32768.34</v>
      </c>
      <c r="AH166" s="35">
        <v>2424.0</v>
      </c>
      <c r="AI166" s="32">
        <v>7.75</v>
      </c>
      <c r="AJ166" s="35">
        <v>184383.0</v>
      </c>
      <c r="AK166" s="32">
        <v>40.0</v>
      </c>
      <c r="AL166" s="34">
        <v>44021.0</v>
      </c>
      <c r="AM166" s="34">
        <v>45847.0</v>
      </c>
      <c r="AN166" s="32">
        <v>60.0</v>
      </c>
      <c r="AO166" s="32">
        <v>14000.0</v>
      </c>
      <c r="AP166" s="32">
        <v>210000.0</v>
      </c>
      <c r="AQ166" s="34">
        <v>46234.0</v>
      </c>
      <c r="AR166" s="32">
        <v>127295.0</v>
      </c>
      <c r="AS166" s="32">
        <v>140284.0</v>
      </c>
      <c r="AT166" s="32">
        <v>12989.0</v>
      </c>
      <c r="AU166" s="32">
        <v>139683.0</v>
      </c>
      <c r="AV166" s="32">
        <v>13968.0</v>
      </c>
      <c r="AW166" s="35">
        <v>17923.09</v>
      </c>
      <c r="AX166" s="35">
        <v>5740.0</v>
      </c>
      <c r="AY166" s="35">
        <v>125.0</v>
      </c>
      <c r="AZ166" s="35">
        <v>290.99</v>
      </c>
      <c r="BA166" s="35">
        <v>1136.48</v>
      </c>
      <c r="BB166" s="35">
        <v>25215.56</v>
      </c>
      <c r="BC166" s="35">
        <v>3782.33</v>
      </c>
      <c r="BD166" s="35">
        <v>28997.89</v>
      </c>
      <c r="BE166" s="34">
        <v>45748.0</v>
      </c>
      <c r="BF166" s="34">
        <v>45838.0</v>
      </c>
      <c r="BG166" s="32">
        <v>99465.0</v>
      </c>
      <c r="BH166" s="32">
        <v>140284.0</v>
      </c>
      <c r="BI166" s="32">
        <v>40819.0</v>
      </c>
      <c r="BJ166" s="32">
        <v>42000.0</v>
      </c>
      <c r="BK166" s="32">
        <v>-1181.0</v>
      </c>
      <c r="BL166" s="35">
        <v>0.47</v>
      </c>
      <c r="BM166" s="35">
        <v>1.32</v>
      </c>
      <c r="BN166" s="35">
        <v>0.0</v>
      </c>
      <c r="BO166" s="35">
        <v>0.0</v>
      </c>
      <c r="BP166" s="35">
        <v>0.0</v>
      </c>
      <c r="BQ166" s="35">
        <v>0.0</v>
      </c>
      <c r="BR166" s="35">
        <v>0.0</v>
      </c>
      <c r="BS166" s="35">
        <v>0.0</v>
      </c>
      <c r="BT166" s="35">
        <v>0.0</v>
      </c>
      <c r="BU166" s="35">
        <v>0.0</v>
      </c>
      <c r="BV166" s="35">
        <v>0.0</v>
      </c>
      <c r="BW166" s="35">
        <v>0.0</v>
      </c>
      <c r="BX166" s="35">
        <v>0.0</v>
      </c>
      <c r="BY166" s="35">
        <v>28329.86</v>
      </c>
      <c r="BZ166" s="32">
        <v>0.0</v>
      </c>
      <c r="CA166" s="35">
        <v>0.0</v>
      </c>
      <c r="CB166" s="32">
        <v>0.0</v>
      </c>
      <c r="CC166" s="35">
        <v>0.0</v>
      </c>
      <c r="CD166" s="35">
        <v>0.0</v>
      </c>
      <c r="CE166" s="35">
        <v>0.0</v>
      </c>
      <c r="CF166" s="35">
        <v>0.0</v>
      </c>
      <c r="CG166" s="35">
        <v>0.0</v>
      </c>
      <c r="CH166" s="35">
        <v>28997.89</v>
      </c>
      <c r="CI166" s="35">
        <v>3782.33</v>
      </c>
      <c r="CJ166" s="35">
        <v>25215.56</v>
      </c>
      <c r="CK166" s="35">
        <v>1.94</v>
      </c>
      <c r="CL166" s="32">
        <v>0.0</v>
      </c>
      <c r="CM166" s="32">
        <v>0.0</v>
      </c>
      <c r="CN166" s="32">
        <v>0.0</v>
      </c>
      <c r="CO166" s="32">
        <v>100.0</v>
      </c>
      <c r="CP166" s="34"/>
      <c r="CQ166" s="32">
        <v>0.0</v>
      </c>
      <c r="CR166" s="32">
        <v>0.0</v>
      </c>
      <c r="CS166" s="32">
        <v>0.0</v>
      </c>
      <c r="CT166" s="32">
        <v>-9522.0</v>
      </c>
      <c r="CU166" s="34">
        <v>45991.0</v>
      </c>
      <c r="CV166" s="34">
        <v>45991.0</v>
      </c>
      <c r="CW166" s="32">
        <v>210601.0</v>
      </c>
      <c r="CX166" s="32" t="s">
        <v>122</v>
      </c>
      <c r="CY166" s="32" t="s">
        <v>123</v>
      </c>
      <c r="CZ166" s="35">
        <v>0.0</v>
      </c>
      <c r="DA166" s="35">
        <v>0.0</v>
      </c>
      <c r="DB166" s="35">
        <v>-3977.0</v>
      </c>
      <c r="DC166" s="35">
        <v>0.41</v>
      </c>
      <c r="DD166" s="35">
        <v>0.0</v>
      </c>
      <c r="DE166" s="35">
        <v>0.0</v>
      </c>
      <c r="DF166" s="32"/>
    </row>
    <row r="167" ht="13.5" customHeight="1">
      <c r="A167" s="32" t="s">
        <v>157</v>
      </c>
      <c r="B167" s="33">
        <v>43983.0</v>
      </c>
      <c r="C167" s="32" t="s">
        <v>124</v>
      </c>
      <c r="D167" s="32" t="s">
        <v>110</v>
      </c>
      <c r="E167" s="32" t="s">
        <v>111</v>
      </c>
      <c r="F167" s="32" t="s">
        <v>176</v>
      </c>
      <c r="G167" s="32" t="s">
        <v>140</v>
      </c>
      <c r="H167" s="32" t="s">
        <v>141</v>
      </c>
      <c r="I167" s="34">
        <v>43998.0</v>
      </c>
      <c r="J167" s="34">
        <v>43999.0</v>
      </c>
      <c r="K167" s="32">
        <f t="shared" si="1"/>
        <v>1</v>
      </c>
      <c r="L167" s="32">
        <v>1.0</v>
      </c>
      <c r="M167" s="32">
        <f t="shared" si="2"/>
        <v>0</v>
      </c>
      <c r="N167" s="34">
        <v>44012.0</v>
      </c>
      <c r="O167" s="34">
        <v>44022.0</v>
      </c>
      <c r="P167" s="32">
        <f t="shared" si="3"/>
        <v>10</v>
      </c>
      <c r="Q167" s="32">
        <v>90.0</v>
      </c>
      <c r="R167" s="32">
        <f t="shared" si="4"/>
        <v>-80</v>
      </c>
      <c r="S167" s="32" t="s">
        <v>526</v>
      </c>
      <c r="T167" s="32" t="s">
        <v>527</v>
      </c>
      <c r="U167" s="32" t="s">
        <v>117</v>
      </c>
      <c r="V167" s="32" t="s">
        <v>147</v>
      </c>
      <c r="W167" s="32" t="s">
        <v>182</v>
      </c>
      <c r="X167" s="32" t="s">
        <v>183</v>
      </c>
      <c r="Y167" s="32">
        <v>2024.0</v>
      </c>
      <c r="Z167" s="32" t="s">
        <v>135</v>
      </c>
      <c r="AA167" s="32">
        <v>1998.0</v>
      </c>
      <c r="AB167" s="32">
        <v>16.0</v>
      </c>
      <c r="AC167" s="32">
        <v>1.0</v>
      </c>
      <c r="AD167" s="35">
        <v>491833.91</v>
      </c>
      <c r="AE167" s="35">
        <v>35437.99</v>
      </c>
      <c r="AF167" s="36">
        <v>0.07</v>
      </c>
      <c r="AG167" s="35">
        <v>76573.1</v>
      </c>
      <c r="AH167" s="35">
        <v>2727.0</v>
      </c>
      <c r="AI167" s="32">
        <v>7.75</v>
      </c>
      <c r="AJ167" s="35">
        <v>254362.0</v>
      </c>
      <c r="AK167" s="32">
        <v>51.72</v>
      </c>
      <c r="AL167" s="34">
        <v>44022.0</v>
      </c>
      <c r="AM167" s="34">
        <v>45848.0</v>
      </c>
      <c r="AN167" s="32">
        <v>60.0</v>
      </c>
      <c r="AO167" s="32">
        <v>3667.0</v>
      </c>
      <c r="AP167" s="32">
        <v>220020.0</v>
      </c>
      <c r="AQ167" s="34">
        <v>46234.0</v>
      </c>
      <c r="AR167" s="32">
        <v>28395.0</v>
      </c>
      <c r="AS167" s="32">
        <v>30705.0</v>
      </c>
      <c r="AT167" s="32">
        <v>2310.0</v>
      </c>
      <c r="AU167" s="32">
        <v>30085.0</v>
      </c>
      <c r="AV167" s="32">
        <v>3009.0</v>
      </c>
      <c r="AW167" s="35">
        <v>8235.58</v>
      </c>
      <c r="AX167" s="35">
        <v>2236.87</v>
      </c>
      <c r="AY167" s="35">
        <v>125.0</v>
      </c>
      <c r="AZ167" s="35">
        <v>291.0</v>
      </c>
      <c r="BA167" s="35">
        <v>1522.99</v>
      </c>
      <c r="BB167" s="35">
        <v>12411.44</v>
      </c>
      <c r="BC167" s="35">
        <v>1861.72</v>
      </c>
      <c r="BD167" s="35">
        <v>14273.16</v>
      </c>
      <c r="BE167" s="34">
        <v>45748.0</v>
      </c>
      <c r="BF167" s="34">
        <v>45838.0</v>
      </c>
      <c r="BG167" s="32">
        <v>23679.0</v>
      </c>
      <c r="BH167" s="32">
        <v>30705.0</v>
      </c>
      <c r="BI167" s="32">
        <v>7026.0</v>
      </c>
      <c r="BJ167" s="32">
        <v>11001.0</v>
      </c>
      <c r="BK167" s="32">
        <v>-3975.0</v>
      </c>
      <c r="BL167" s="35">
        <v>0.7</v>
      </c>
      <c r="BM167" s="35">
        <v>1.08</v>
      </c>
      <c r="BN167" s="35">
        <v>0.0</v>
      </c>
      <c r="BO167" s="35">
        <v>0.0</v>
      </c>
      <c r="BP167" s="35">
        <v>0.0</v>
      </c>
      <c r="BQ167" s="35">
        <v>-363.71</v>
      </c>
      <c r="BR167" s="35">
        <v>0.0</v>
      </c>
      <c r="BS167" s="35">
        <v>6660.0</v>
      </c>
      <c r="BT167" s="35">
        <v>0.0</v>
      </c>
      <c r="BU167" s="35">
        <v>0.0</v>
      </c>
      <c r="BV167" s="35">
        <v>0.0</v>
      </c>
      <c r="BW167" s="35">
        <v>0.0</v>
      </c>
      <c r="BX167" s="35">
        <v>0.0</v>
      </c>
      <c r="BY167" s="35">
        <v>5784.39</v>
      </c>
      <c r="BZ167" s="32">
        <v>0.0</v>
      </c>
      <c r="CA167" s="35">
        <v>0.0</v>
      </c>
      <c r="CB167" s="32">
        <v>0.0</v>
      </c>
      <c r="CC167" s="35">
        <v>0.0</v>
      </c>
      <c r="CD167" s="35">
        <v>0.0</v>
      </c>
      <c r="CE167" s="35">
        <v>6660.0</v>
      </c>
      <c r="CF167" s="35">
        <v>999.0</v>
      </c>
      <c r="CG167" s="35">
        <v>7659.0</v>
      </c>
      <c r="CH167" s="35">
        <v>19143.7</v>
      </c>
      <c r="CI167" s="35">
        <v>2497.01</v>
      </c>
      <c r="CJ167" s="35">
        <v>16646.69</v>
      </c>
      <c r="CK167" s="35">
        <v>7.21</v>
      </c>
      <c r="CL167" s="32">
        <v>28.0</v>
      </c>
      <c r="CM167" s="32">
        <v>0.0</v>
      </c>
      <c r="CN167" s="32">
        <v>0.0</v>
      </c>
      <c r="CO167" s="32">
        <v>100.0</v>
      </c>
      <c r="CP167" s="34"/>
      <c r="CQ167" s="32">
        <v>0.0</v>
      </c>
      <c r="CR167" s="32">
        <v>0.0</v>
      </c>
      <c r="CS167" s="32">
        <v>0.0</v>
      </c>
      <c r="CT167" s="32">
        <v>-7187.0</v>
      </c>
      <c r="CU167" s="34">
        <v>47361.0</v>
      </c>
      <c r="CV167" s="34">
        <v>47361.0</v>
      </c>
      <c r="CW167" s="32">
        <v>220640.0</v>
      </c>
      <c r="CX167" s="32" t="s">
        <v>122</v>
      </c>
      <c r="CY167" s="32" t="s">
        <v>123</v>
      </c>
      <c r="CZ167" s="35">
        <v>1930.6</v>
      </c>
      <c r="DA167" s="35">
        <v>2978.64</v>
      </c>
      <c r="DB167" s="35">
        <v>-6066.45</v>
      </c>
      <c r="DC167" s="35">
        <v>0.61</v>
      </c>
      <c r="DD167" s="35">
        <v>-2424.75</v>
      </c>
      <c r="DE167" s="35">
        <v>-2788.46</v>
      </c>
      <c r="DF167" s="32"/>
    </row>
    <row r="168" ht="13.5" customHeight="1">
      <c r="A168" s="32" t="s">
        <v>157</v>
      </c>
      <c r="B168" s="33">
        <v>43983.0</v>
      </c>
      <c r="C168" s="32" t="s">
        <v>136</v>
      </c>
      <c r="D168" s="32" t="s">
        <v>125</v>
      </c>
      <c r="E168" s="32" t="s">
        <v>126</v>
      </c>
      <c r="F168" s="32" t="s">
        <v>172</v>
      </c>
      <c r="G168" s="32" t="s">
        <v>140</v>
      </c>
      <c r="H168" s="32" t="s">
        <v>114</v>
      </c>
      <c r="I168" s="34">
        <v>43999.0</v>
      </c>
      <c r="J168" s="34">
        <v>44000.0</v>
      </c>
      <c r="K168" s="32">
        <f t="shared" si="1"/>
        <v>1</v>
      </c>
      <c r="L168" s="32">
        <v>1.0</v>
      </c>
      <c r="M168" s="32">
        <f t="shared" si="2"/>
        <v>0</v>
      </c>
      <c r="N168" s="34">
        <v>44003.0</v>
      </c>
      <c r="O168" s="34">
        <v>44023.0</v>
      </c>
      <c r="P168" s="32">
        <f t="shared" si="3"/>
        <v>20</v>
      </c>
      <c r="Q168" s="32">
        <v>90.0</v>
      </c>
      <c r="R168" s="32">
        <f t="shared" si="4"/>
        <v>-70</v>
      </c>
      <c r="S168" s="32" t="s">
        <v>528</v>
      </c>
      <c r="T168" s="32" t="s">
        <v>529</v>
      </c>
      <c r="U168" s="32" t="s">
        <v>117</v>
      </c>
      <c r="V168" s="32" t="s">
        <v>147</v>
      </c>
      <c r="W168" s="32" t="s">
        <v>133</v>
      </c>
      <c r="X168" s="32" t="s">
        <v>168</v>
      </c>
      <c r="Y168" s="32">
        <v>2024.0</v>
      </c>
      <c r="Z168" s="32" t="s">
        <v>135</v>
      </c>
      <c r="AA168" s="32">
        <v>2498.0</v>
      </c>
      <c r="AB168" s="32">
        <v>16.0</v>
      </c>
      <c r="AC168" s="32">
        <v>4.0</v>
      </c>
      <c r="AD168" s="35">
        <v>460956.52</v>
      </c>
      <c r="AE168" s="35">
        <v>86959.0</v>
      </c>
      <c r="AF168" s="36">
        <v>0.19</v>
      </c>
      <c r="AG168" s="35">
        <v>32847.98</v>
      </c>
      <c r="AH168" s="35">
        <v>2765.0</v>
      </c>
      <c r="AI168" s="32">
        <v>7.75</v>
      </c>
      <c r="AJ168" s="35">
        <v>202821.0</v>
      </c>
      <c r="AK168" s="32">
        <v>68.61</v>
      </c>
      <c r="AL168" s="34">
        <v>44023.0</v>
      </c>
      <c r="AM168" s="34">
        <v>45849.0</v>
      </c>
      <c r="AN168" s="32">
        <v>60.0</v>
      </c>
      <c r="AO168" s="32">
        <v>15000.0</v>
      </c>
      <c r="AP168" s="32">
        <v>209164.0</v>
      </c>
      <c r="AQ168" s="34">
        <v>46234.0</v>
      </c>
      <c r="AR168" s="32">
        <v>104776.0</v>
      </c>
      <c r="AS168" s="32">
        <v>115403.0</v>
      </c>
      <c r="AT168" s="32">
        <v>10627.0</v>
      </c>
      <c r="AU168" s="32">
        <v>114791.0</v>
      </c>
      <c r="AV168" s="32">
        <v>11479.0</v>
      </c>
      <c r="AW168" s="35">
        <v>18656.75</v>
      </c>
      <c r="AX168" s="35">
        <v>6000.0</v>
      </c>
      <c r="AY168" s="35">
        <v>125.0</v>
      </c>
      <c r="AZ168" s="35">
        <v>290.99</v>
      </c>
      <c r="BA168" s="35">
        <v>1114.0</v>
      </c>
      <c r="BB168" s="35">
        <v>26186.74</v>
      </c>
      <c r="BC168" s="35">
        <v>3928.01</v>
      </c>
      <c r="BD168" s="35">
        <v>30114.75</v>
      </c>
      <c r="BE168" s="34">
        <v>45748.0</v>
      </c>
      <c r="BF168" s="34">
        <v>45838.0</v>
      </c>
      <c r="BG168" s="32">
        <v>79971.0</v>
      </c>
      <c r="BH168" s="32">
        <v>115403.0</v>
      </c>
      <c r="BI168" s="32">
        <v>35432.0</v>
      </c>
      <c r="BJ168" s="32">
        <v>38000.0</v>
      </c>
      <c r="BK168" s="32">
        <v>-2568.0</v>
      </c>
      <c r="BL168" s="35">
        <v>0.46</v>
      </c>
      <c r="BM168" s="35">
        <v>1.22</v>
      </c>
      <c r="BN168" s="35">
        <v>0.0</v>
      </c>
      <c r="BO168" s="35">
        <v>0.0</v>
      </c>
      <c r="BP168" s="35">
        <v>0.0</v>
      </c>
      <c r="BQ168" s="35">
        <v>-154.08</v>
      </c>
      <c r="BR168" s="35">
        <v>0.0</v>
      </c>
      <c r="BS168" s="35">
        <v>0.0</v>
      </c>
      <c r="BT168" s="35">
        <v>0.0</v>
      </c>
      <c r="BU168" s="35">
        <v>0.0</v>
      </c>
      <c r="BV168" s="35">
        <v>0.0</v>
      </c>
      <c r="BW168" s="35">
        <v>0.0</v>
      </c>
      <c r="BX168" s="35">
        <v>0.0</v>
      </c>
      <c r="BY168" s="35">
        <v>20118.6</v>
      </c>
      <c r="BZ168" s="32">
        <v>0.0</v>
      </c>
      <c r="CA168" s="35">
        <v>120.0</v>
      </c>
      <c r="CB168" s="32">
        <v>0.0</v>
      </c>
      <c r="CC168" s="35">
        <v>0.0</v>
      </c>
      <c r="CD168" s="35">
        <v>0.0</v>
      </c>
      <c r="CE168" s="35">
        <v>0.0</v>
      </c>
      <c r="CF168" s="35">
        <v>0.0</v>
      </c>
      <c r="CG168" s="35">
        <v>0.0</v>
      </c>
      <c r="CH168" s="35">
        <v>28933.47</v>
      </c>
      <c r="CI168" s="35">
        <v>3773.93</v>
      </c>
      <c r="CJ168" s="35">
        <v>25159.54</v>
      </c>
      <c r="CK168" s="35">
        <v>2.37</v>
      </c>
      <c r="CL168" s="32">
        <v>0.0</v>
      </c>
      <c r="CM168" s="32">
        <v>0.0</v>
      </c>
      <c r="CN168" s="32">
        <v>0.0</v>
      </c>
      <c r="CO168" s="32">
        <v>100.0</v>
      </c>
      <c r="CP168" s="34"/>
      <c r="CQ168" s="32">
        <v>0.0</v>
      </c>
      <c r="CR168" s="32">
        <v>0.0</v>
      </c>
      <c r="CS168" s="32">
        <v>0.0</v>
      </c>
      <c r="CT168" s="32">
        <v>-11270.0</v>
      </c>
      <c r="CU168" s="34">
        <v>46022.0</v>
      </c>
      <c r="CV168" s="34">
        <v>46022.0</v>
      </c>
      <c r="CW168" s="32">
        <v>209776.0</v>
      </c>
      <c r="CX168" s="32" t="s">
        <v>122</v>
      </c>
      <c r="CY168" s="32" t="s">
        <v>123</v>
      </c>
      <c r="CZ168" s="35">
        <v>0.0</v>
      </c>
      <c r="DA168" s="35">
        <v>0.0</v>
      </c>
      <c r="DB168" s="35">
        <v>-4508.0</v>
      </c>
      <c r="DC168" s="35">
        <v>0.4</v>
      </c>
      <c r="DD168" s="35">
        <v>-1027.2</v>
      </c>
      <c r="DE168" s="35">
        <v>-1181.28</v>
      </c>
      <c r="DF168" s="32"/>
    </row>
    <row r="169" ht="13.5" customHeight="1">
      <c r="A169" s="32" t="s">
        <v>175</v>
      </c>
      <c r="B169" s="33">
        <v>43983.0</v>
      </c>
      <c r="C169" s="32" t="s">
        <v>109</v>
      </c>
      <c r="D169" s="32" t="s">
        <v>137</v>
      </c>
      <c r="E169" s="32" t="s">
        <v>138</v>
      </c>
      <c r="F169" s="32" t="s">
        <v>530</v>
      </c>
      <c r="G169" s="32" t="s">
        <v>128</v>
      </c>
      <c r="H169" s="32" t="s">
        <v>129</v>
      </c>
      <c r="I169" s="34">
        <v>44000.0</v>
      </c>
      <c r="J169" s="34">
        <v>44011.0</v>
      </c>
      <c r="K169" s="32">
        <f t="shared" si="1"/>
        <v>11</v>
      </c>
      <c r="L169" s="32">
        <v>1.0</v>
      </c>
      <c r="M169" s="32">
        <f t="shared" si="2"/>
        <v>10</v>
      </c>
      <c r="N169" s="34">
        <v>44003.0</v>
      </c>
      <c r="O169" s="34">
        <v>44024.0</v>
      </c>
      <c r="P169" s="32">
        <f t="shared" si="3"/>
        <v>21</v>
      </c>
      <c r="Q169" s="32">
        <v>90.0</v>
      </c>
      <c r="R169" s="32">
        <f t="shared" si="4"/>
        <v>-69</v>
      </c>
      <c r="S169" s="32" t="s">
        <v>531</v>
      </c>
      <c r="T169" s="32" t="s">
        <v>532</v>
      </c>
      <c r="U169" s="32" t="s">
        <v>117</v>
      </c>
      <c r="V169" s="32" t="s">
        <v>190</v>
      </c>
      <c r="W169" s="32" t="s">
        <v>194</v>
      </c>
      <c r="X169" s="32" t="s">
        <v>387</v>
      </c>
      <c r="Y169" s="32">
        <v>2023.0</v>
      </c>
      <c r="Z169" s="32" t="s">
        <v>121</v>
      </c>
      <c r="AA169" s="32">
        <v>1498.0</v>
      </c>
      <c r="AB169" s="32">
        <v>16.0</v>
      </c>
      <c r="AC169" s="32">
        <v>0.0</v>
      </c>
      <c r="AD169" s="35">
        <v>258173.91</v>
      </c>
      <c r="AE169" s="35">
        <v>11113.04</v>
      </c>
      <c r="AF169" s="36">
        <v>0.04</v>
      </c>
      <c r="AG169" s="35">
        <v>5733.32</v>
      </c>
      <c r="AH169" s="35">
        <v>1710.0</v>
      </c>
      <c r="AI169" s="32">
        <v>7.75</v>
      </c>
      <c r="AJ169" s="35">
        <v>111015.0</v>
      </c>
      <c r="AK169" s="32">
        <v>43.0</v>
      </c>
      <c r="AL169" s="34">
        <v>44024.0</v>
      </c>
      <c r="AM169" s="34">
        <v>45850.0</v>
      </c>
      <c r="AN169" s="32">
        <v>60.0</v>
      </c>
      <c r="AO169" s="32">
        <v>1500.0</v>
      </c>
      <c r="AP169" s="32">
        <v>90000.0</v>
      </c>
      <c r="AQ169" s="34">
        <v>46234.0</v>
      </c>
      <c r="AR169" s="32">
        <v>10714.0</v>
      </c>
      <c r="AS169" s="32">
        <v>11450.0</v>
      </c>
      <c r="AT169" s="32">
        <v>736.0</v>
      </c>
      <c r="AU169" s="32">
        <v>11360.0</v>
      </c>
      <c r="AV169" s="32">
        <v>541.0</v>
      </c>
      <c r="AW169" s="35">
        <v>4284.06</v>
      </c>
      <c r="AX169" s="35">
        <v>981.89</v>
      </c>
      <c r="AY169" s="35">
        <v>115.0</v>
      </c>
      <c r="AZ169" s="35">
        <v>290.99</v>
      </c>
      <c r="BA169" s="35">
        <v>1083.24</v>
      </c>
      <c r="BB169" s="35">
        <v>6755.18</v>
      </c>
      <c r="BC169" s="35">
        <v>1013.28</v>
      </c>
      <c r="BD169" s="35">
        <v>7768.46</v>
      </c>
      <c r="BE169" s="34">
        <v>45748.0</v>
      </c>
      <c r="BF169" s="34">
        <v>45838.0</v>
      </c>
      <c r="BG169" s="32">
        <v>8551.0</v>
      </c>
      <c r="BH169" s="32">
        <v>11450.0</v>
      </c>
      <c r="BI169" s="32">
        <v>2899.0</v>
      </c>
      <c r="BJ169" s="32">
        <v>4500.0</v>
      </c>
      <c r="BK169" s="32">
        <v>-1601.0</v>
      </c>
      <c r="BL169" s="35">
        <v>0.71</v>
      </c>
      <c r="BM169" s="35">
        <v>1.72</v>
      </c>
      <c r="BN169" s="35">
        <v>0.0</v>
      </c>
      <c r="BO169" s="35">
        <v>0.0</v>
      </c>
      <c r="BP169" s="35">
        <v>0.0</v>
      </c>
      <c r="BQ169" s="35">
        <v>-148.89</v>
      </c>
      <c r="BR169" s="35">
        <v>0.0</v>
      </c>
      <c r="BS169" s="35">
        <v>0.0</v>
      </c>
      <c r="BT169" s="35">
        <v>0.0</v>
      </c>
      <c r="BU169" s="35">
        <v>0.0</v>
      </c>
      <c r="BV169" s="35">
        <v>0.0</v>
      </c>
      <c r="BW169" s="35">
        <v>0.0</v>
      </c>
      <c r="BX169" s="35">
        <v>0.0</v>
      </c>
      <c r="BY169" s="35">
        <v>784.95</v>
      </c>
      <c r="BZ169" s="32">
        <v>0.0</v>
      </c>
      <c r="CA169" s="35">
        <v>0.0</v>
      </c>
      <c r="CB169" s="32">
        <v>0.0</v>
      </c>
      <c r="CC169" s="35">
        <v>0.0</v>
      </c>
      <c r="CD169" s="35">
        <v>0.0</v>
      </c>
      <c r="CE169" s="35">
        <v>0.0</v>
      </c>
      <c r="CF169" s="35">
        <v>0.0</v>
      </c>
      <c r="CG169" s="35">
        <v>0.0</v>
      </c>
      <c r="CH169" s="35">
        <v>6626.95</v>
      </c>
      <c r="CI169" s="35">
        <v>864.39</v>
      </c>
      <c r="CJ169" s="35">
        <v>5762.56</v>
      </c>
      <c r="CK169" s="35">
        <v>7.83</v>
      </c>
      <c r="CL169" s="32">
        <v>0.0</v>
      </c>
      <c r="CM169" s="32">
        <v>0.0</v>
      </c>
      <c r="CN169" s="32">
        <v>0.0</v>
      </c>
      <c r="CO169" s="32">
        <v>100.0</v>
      </c>
      <c r="CP169" s="34"/>
      <c r="CQ169" s="32">
        <v>0.0</v>
      </c>
      <c r="CR169" s="32">
        <v>0.0</v>
      </c>
      <c r="CS169" s="32">
        <v>0.0</v>
      </c>
      <c r="CT169" s="32">
        <v>-20633.0</v>
      </c>
      <c r="CU169" s="34">
        <v>47026.0</v>
      </c>
      <c r="CV169" s="34">
        <v>47026.0</v>
      </c>
      <c r="CW169" s="32">
        <v>90090.0</v>
      </c>
      <c r="CX169" s="32" t="s">
        <v>122</v>
      </c>
      <c r="CY169" s="32" t="s">
        <v>123</v>
      </c>
      <c r="CZ169" s="35">
        <v>0.0</v>
      </c>
      <c r="DA169" s="35">
        <v>0.0</v>
      </c>
      <c r="DB169" s="35">
        <v>-6590.6</v>
      </c>
      <c r="DC169" s="35">
        <v>0.62</v>
      </c>
      <c r="DD169" s="35">
        <v>-992.62</v>
      </c>
      <c r="DE169" s="35">
        <v>-1141.51</v>
      </c>
      <c r="DF169" s="32"/>
    </row>
    <row r="170" ht="13.5" customHeight="1">
      <c r="A170" s="32" t="s">
        <v>175</v>
      </c>
      <c r="B170" s="33">
        <v>43983.0</v>
      </c>
      <c r="C170" s="32" t="s">
        <v>124</v>
      </c>
      <c r="D170" s="32" t="s">
        <v>110</v>
      </c>
      <c r="E170" s="32" t="s">
        <v>111</v>
      </c>
      <c r="F170" s="32" t="s">
        <v>533</v>
      </c>
      <c r="G170" s="32" t="s">
        <v>128</v>
      </c>
      <c r="H170" s="32" t="s">
        <v>141</v>
      </c>
      <c r="I170" s="34">
        <v>44001.0</v>
      </c>
      <c r="J170" s="34">
        <v>44002.0</v>
      </c>
      <c r="K170" s="32">
        <f t="shared" si="1"/>
        <v>1</v>
      </c>
      <c r="L170" s="32">
        <v>1.0</v>
      </c>
      <c r="M170" s="32">
        <f t="shared" si="2"/>
        <v>0</v>
      </c>
      <c r="N170" s="34">
        <v>44004.0</v>
      </c>
      <c r="O170" s="34">
        <v>44025.0</v>
      </c>
      <c r="P170" s="32">
        <f t="shared" si="3"/>
        <v>21</v>
      </c>
      <c r="Q170" s="32">
        <v>90.0</v>
      </c>
      <c r="R170" s="32">
        <f t="shared" si="4"/>
        <v>-69</v>
      </c>
      <c r="S170" s="32" t="s">
        <v>534</v>
      </c>
      <c r="T170" s="32" t="s">
        <v>535</v>
      </c>
      <c r="U170" s="32" t="s">
        <v>117</v>
      </c>
      <c r="V170" s="32" t="s">
        <v>536</v>
      </c>
      <c r="W170" s="32" t="s">
        <v>133</v>
      </c>
      <c r="X170" s="32" t="s">
        <v>537</v>
      </c>
      <c r="Y170" s="32">
        <v>2021.0</v>
      </c>
      <c r="Z170" s="32" t="s">
        <v>135</v>
      </c>
      <c r="AA170" s="32">
        <v>2498.0</v>
      </c>
      <c r="AB170" s="32">
        <v>16.0</v>
      </c>
      <c r="AC170" s="32">
        <v>0.0</v>
      </c>
      <c r="AD170" s="35">
        <v>370347.83</v>
      </c>
      <c r="AE170" s="35">
        <v>73934.57</v>
      </c>
      <c r="AF170" s="36">
        <v>0.2</v>
      </c>
      <c r="AG170" s="35">
        <v>28672.54</v>
      </c>
      <c r="AH170" s="35">
        <v>2112.0</v>
      </c>
      <c r="AI170" s="32">
        <v>7.75</v>
      </c>
      <c r="AJ170" s="35">
        <v>137029.0</v>
      </c>
      <c r="AK170" s="32">
        <v>63.48</v>
      </c>
      <c r="AL170" s="34">
        <v>44025.0</v>
      </c>
      <c r="AM170" s="34">
        <v>45851.0</v>
      </c>
      <c r="AN170" s="32">
        <v>60.0</v>
      </c>
      <c r="AO170" s="32">
        <v>2000.0</v>
      </c>
      <c r="AP170" s="32">
        <v>99555.0</v>
      </c>
      <c r="AQ170" s="34">
        <v>46234.0</v>
      </c>
      <c r="AR170" s="32">
        <v>67586.0</v>
      </c>
      <c r="AS170" s="32">
        <v>70953.0</v>
      </c>
      <c r="AT170" s="32">
        <v>3367.0</v>
      </c>
      <c r="AU170" s="32">
        <v>70910.0</v>
      </c>
      <c r="AV170" s="32">
        <v>1576.0</v>
      </c>
      <c r="AW170" s="35">
        <v>5262.48</v>
      </c>
      <c r="AX170" s="35">
        <v>1580.0</v>
      </c>
      <c r="AY170" s="35">
        <v>125.0</v>
      </c>
      <c r="AZ170" s="35">
        <v>291.0</v>
      </c>
      <c r="BA170" s="35">
        <v>1522.99</v>
      </c>
      <c r="BB170" s="35">
        <v>8781.47</v>
      </c>
      <c r="BC170" s="35">
        <v>1317.22</v>
      </c>
      <c r="BD170" s="35">
        <v>10098.69</v>
      </c>
      <c r="BE170" s="34">
        <v>45748.0</v>
      </c>
      <c r="BF170" s="34">
        <v>45838.0</v>
      </c>
      <c r="BG170" s="32">
        <v>61309.0</v>
      </c>
      <c r="BH170" s="32">
        <v>70953.0</v>
      </c>
      <c r="BI170" s="32">
        <v>9644.0</v>
      </c>
      <c r="BJ170" s="32">
        <v>6000.0</v>
      </c>
      <c r="BK170" s="32">
        <v>3644.0</v>
      </c>
      <c r="BL170" s="35">
        <v>0.91</v>
      </c>
      <c r="BM170" s="35">
        <v>2.41</v>
      </c>
      <c r="BN170" s="35">
        <v>3316.04</v>
      </c>
      <c r="BO170" s="35">
        <v>8782.04</v>
      </c>
      <c r="BP170" s="35">
        <v>12098.08</v>
      </c>
      <c r="BQ170" s="35">
        <v>1814.71</v>
      </c>
      <c r="BR170" s="35">
        <v>13912.79</v>
      </c>
      <c r="BS170" s="35">
        <v>0.0</v>
      </c>
      <c r="BT170" s="35">
        <v>0.0</v>
      </c>
      <c r="BU170" s="35">
        <v>0.0</v>
      </c>
      <c r="BV170" s="35">
        <v>0.0</v>
      </c>
      <c r="BW170" s="35">
        <v>0.0</v>
      </c>
      <c r="BX170" s="35">
        <v>0.0</v>
      </c>
      <c r="BY170" s="35">
        <v>7007.93</v>
      </c>
      <c r="BZ170" s="32">
        <v>0.0</v>
      </c>
      <c r="CA170" s="35">
        <v>0.0</v>
      </c>
      <c r="CB170" s="32">
        <v>0.0</v>
      </c>
      <c r="CC170" s="35">
        <v>0.0</v>
      </c>
      <c r="CD170" s="35">
        <v>0.0</v>
      </c>
      <c r="CE170" s="35">
        <v>0.0</v>
      </c>
      <c r="CF170" s="35">
        <v>0.0</v>
      </c>
      <c r="CG170" s="35">
        <v>0.0</v>
      </c>
      <c r="CH170" s="35">
        <v>24011.48</v>
      </c>
      <c r="CI170" s="35">
        <v>3131.93</v>
      </c>
      <c r="CJ170" s="35">
        <v>20879.55</v>
      </c>
      <c r="CK170" s="35">
        <v>6.2</v>
      </c>
      <c r="CL170" s="32">
        <v>0.0</v>
      </c>
      <c r="CM170" s="32">
        <v>0.0</v>
      </c>
      <c r="CN170" s="32">
        <v>0.0</v>
      </c>
      <c r="CO170" s="32">
        <v>100.0</v>
      </c>
      <c r="CP170" s="34"/>
      <c r="CQ170" s="32">
        <v>0.0</v>
      </c>
      <c r="CR170" s="32">
        <v>0.0</v>
      </c>
      <c r="CS170" s="32">
        <v>0.0</v>
      </c>
      <c r="CT170" s="32">
        <v>-79353.0</v>
      </c>
      <c r="CU170" s="34">
        <v>46295.0</v>
      </c>
      <c r="CV170" s="34">
        <v>46295.0</v>
      </c>
      <c r="CW170" s="32">
        <v>99598.0</v>
      </c>
      <c r="CX170" s="32" t="s">
        <v>122</v>
      </c>
      <c r="CY170" s="32" t="s">
        <v>123</v>
      </c>
      <c r="CZ170" s="35">
        <v>6910.54</v>
      </c>
      <c r="DA170" s="35">
        <v>18301.54</v>
      </c>
      <c r="DB170" s="35">
        <v>-4104.84</v>
      </c>
      <c r="DC170" s="35">
        <v>0.79</v>
      </c>
      <c r="DD170" s="35">
        <v>0.0</v>
      </c>
      <c r="DE170" s="35">
        <v>0.0</v>
      </c>
      <c r="DF170" s="32"/>
    </row>
    <row r="171" ht="13.5" customHeight="1">
      <c r="A171" s="32" t="s">
        <v>175</v>
      </c>
      <c r="B171" s="33">
        <v>43983.0</v>
      </c>
      <c r="C171" s="32" t="s">
        <v>136</v>
      </c>
      <c r="D171" s="32" t="s">
        <v>125</v>
      </c>
      <c r="E171" s="32" t="s">
        <v>126</v>
      </c>
      <c r="F171" s="32" t="s">
        <v>538</v>
      </c>
      <c r="G171" s="32" t="s">
        <v>161</v>
      </c>
      <c r="H171" s="32" t="s">
        <v>114</v>
      </c>
      <c r="I171" s="34">
        <v>44002.0</v>
      </c>
      <c r="J171" s="34">
        <v>44003.0</v>
      </c>
      <c r="K171" s="32">
        <f t="shared" si="1"/>
        <v>1</v>
      </c>
      <c r="L171" s="32">
        <v>1.0</v>
      </c>
      <c r="M171" s="32">
        <f t="shared" si="2"/>
        <v>0</v>
      </c>
      <c r="N171" s="34">
        <v>44005.0</v>
      </c>
      <c r="O171" s="34">
        <v>44026.0</v>
      </c>
      <c r="P171" s="32">
        <f t="shared" si="3"/>
        <v>21</v>
      </c>
      <c r="Q171" s="32">
        <v>90.0</v>
      </c>
      <c r="R171" s="32">
        <f t="shared" si="4"/>
        <v>-69</v>
      </c>
      <c r="S171" s="32" t="s">
        <v>539</v>
      </c>
      <c r="T171" s="32" t="s">
        <v>540</v>
      </c>
      <c r="U171" s="32" t="s">
        <v>117</v>
      </c>
      <c r="V171" s="32" t="s">
        <v>147</v>
      </c>
      <c r="W171" s="32" t="s">
        <v>133</v>
      </c>
      <c r="X171" s="32" t="s">
        <v>541</v>
      </c>
      <c r="Y171" s="32">
        <v>2021.0</v>
      </c>
      <c r="Z171" s="32" t="s">
        <v>135</v>
      </c>
      <c r="AA171" s="32">
        <v>2498.0</v>
      </c>
      <c r="AB171" s="32">
        <v>16.0</v>
      </c>
      <c r="AC171" s="32">
        <v>7.0</v>
      </c>
      <c r="AD171" s="35">
        <v>450347.83</v>
      </c>
      <c r="AE171" s="35">
        <v>74443.27</v>
      </c>
      <c r="AF171" s="36">
        <v>0.17</v>
      </c>
      <c r="AG171" s="35">
        <v>34476.86</v>
      </c>
      <c r="AH171" s="35">
        <v>2112.0</v>
      </c>
      <c r="AI171" s="32">
        <v>7.75</v>
      </c>
      <c r="AJ171" s="35">
        <v>152446.98</v>
      </c>
      <c r="AK171" s="32">
        <v>66.88</v>
      </c>
      <c r="AL171" s="34">
        <v>44026.0</v>
      </c>
      <c r="AM171" s="34">
        <v>45852.0</v>
      </c>
      <c r="AN171" s="32">
        <v>60.0</v>
      </c>
      <c r="AO171" s="32">
        <v>3500.0</v>
      </c>
      <c r="AP171" s="32">
        <v>190622.0</v>
      </c>
      <c r="AQ171" s="34">
        <v>46234.0</v>
      </c>
      <c r="AR171" s="32">
        <v>120113.0</v>
      </c>
      <c r="AS171" s="32">
        <v>121020.0</v>
      </c>
      <c r="AT171" s="32">
        <v>907.0</v>
      </c>
      <c r="AU171" s="32">
        <v>120947.0</v>
      </c>
      <c r="AV171" s="32">
        <v>2749.0</v>
      </c>
      <c r="AW171" s="35">
        <v>6002.59</v>
      </c>
      <c r="AX171" s="35">
        <v>2277.0</v>
      </c>
      <c r="AY171" s="35">
        <v>125.0</v>
      </c>
      <c r="AZ171" s="35">
        <v>291.0</v>
      </c>
      <c r="BA171" s="35">
        <v>1083.24</v>
      </c>
      <c r="BB171" s="35">
        <v>9778.83</v>
      </c>
      <c r="BC171" s="35">
        <v>1466.82</v>
      </c>
      <c r="BD171" s="35">
        <v>11245.65</v>
      </c>
      <c r="BE171" s="34">
        <v>45748.0</v>
      </c>
      <c r="BF171" s="34">
        <v>45838.0</v>
      </c>
      <c r="BG171" s="32">
        <v>117038.0</v>
      </c>
      <c r="BH171" s="32">
        <v>121020.0</v>
      </c>
      <c r="BI171" s="32">
        <v>3982.0</v>
      </c>
      <c r="BJ171" s="32">
        <v>10500.0</v>
      </c>
      <c r="BK171" s="32">
        <v>-6518.0</v>
      </c>
      <c r="BL171" s="35">
        <v>0.75</v>
      </c>
      <c r="BM171" s="35">
        <v>1.29</v>
      </c>
      <c r="BN171" s="35">
        <v>0.0</v>
      </c>
      <c r="BO171" s="35">
        <v>0.0</v>
      </c>
      <c r="BP171" s="35">
        <v>0.0</v>
      </c>
      <c r="BQ171" s="35">
        <v>-635.51</v>
      </c>
      <c r="BR171" s="35">
        <v>0.0</v>
      </c>
      <c r="BS171" s="35">
        <v>0.0</v>
      </c>
      <c r="BT171" s="35">
        <v>0.0</v>
      </c>
      <c r="BU171" s="35">
        <v>0.0</v>
      </c>
      <c r="BV171" s="35">
        <v>0.0</v>
      </c>
      <c r="BW171" s="35">
        <v>0.0</v>
      </c>
      <c r="BX171" s="35">
        <v>0.0</v>
      </c>
      <c r="BY171" s="35">
        <v>1009.83</v>
      </c>
      <c r="BZ171" s="32">
        <v>0.0</v>
      </c>
      <c r="CA171" s="35">
        <v>0.0</v>
      </c>
      <c r="CB171" s="32">
        <v>0.0</v>
      </c>
      <c r="CC171" s="35">
        <v>0.0</v>
      </c>
      <c r="CD171" s="35">
        <v>0.0</v>
      </c>
      <c r="CE171" s="35">
        <v>0.0</v>
      </c>
      <c r="CF171" s="35">
        <v>0.0</v>
      </c>
      <c r="CG171" s="35">
        <v>0.0</v>
      </c>
      <c r="CH171" s="35">
        <v>6373.44</v>
      </c>
      <c r="CI171" s="35">
        <v>831.31</v>
      </c>
      <c r="CJ171" s="35">
        <v>5542.13</v>
      </c>
      <c r="CK171" s="35">
        <v>6.11</v>
      </c>
      <c r="CL171" s="32">
        <v>0.0</v>
      </c>
      <c r="CM171" s="32">
        <v>0.0</v>
      </c>
      <c r="CN171" s="32">
        <v>0.0</v>
      </c>
      <c r="CO171" s="32">
        <v>100.0</v>
      </c>
      <c r="CP171" s="34"/>
      <c r="CQ171" s="32">
        <v>0.0</v>
      </c>
      <c r="CR171" s="32">
        <v>0.0</v>
      </c>
      <c r="CS171" s="32">
        <v>0.0</v>
      </c>
      <c r="CT171" s="32">
        <v>10172.0</v>
      </c>
      <c r="CU171" s="34">
        <v>46326.0</v>
      </c>
      <c r="CV171" s="34">
        <v>46326.0</v>
      </c>
      <c r="CW171" s="32">
        <v>190695.0</v>
      </c>
      <c r="CX171" s="32" t="s">
        <v>122</v>
      </c>
      <c r="CY171" s="32" t="s">
        <v>123</v>
      </c>
      <c r="CZ171" s="35">
        <v>3201.24</v>
      </c>
      <c r="DA171" s="35">
        <v>9387.42</v>
      </c>
      <c r="DB171" s="35">
        <v>-8508.5</v>
      </c>
      <c r="DC171" s="35">
        <v>0.65</v>
      </c>
      <c r="DD171" s="35">
        <v>-4236.7</v>
      </c>
      <c r="DE171" s="35">
        <v>-4872.21</v>
      </c>
      <c r="DF171" s="32"/>
    </row>
    <row r="172" ht="13.5" customHeight="1">
      <c r="A172" s="32" t="s">
        <v>175</v>
      </c>
      <c r="B172" s="33">
        <v>43983.0</v>
      </c>
      <c r="C172" s="32" t="s">
        <v>109</v>
      </c>
      <c r="D172" s="32" t="s">
        <v>137</v>
      </c>
      <c r="E172" s="32" t="s">
        <v>138</v>
      </c>
      <c r="F172" s="32" t="s">
        <v>235</v>
      </c>
      <c r="G172" s="32" t="s">
        <v>128</v>
      </c>
      <c r="H172" s="32" t="s">
        <v>129</v>
      </c>
      <c r="I172" s="34">
        <v>44003.0</v>
      </c>
      <c r="J172" s="34">
        <v>44004.0</v>
      </c>
      <c r="K172" s="32">
        <f t="shared" si="1"/>
        <v>1</v>
      </c>
      <c r="L172" s="32">
        <v>1.0</v>
      </c>
      <c r="M172" s="32">
        <f t="shared" si="2"/>
        <v>0</v>
      </c>
      <c r="N172" s="34">
        <v>44006.0</v>
      </c>
      <c r="O172" s="34">
        <v>44027.0</v>
      </c>
      <c r="P172" s="32">
        <f t="shared" si="3"/>
        <v>21</v>
      </c>
      <c r="Q172" s="32">
        <v>90.0</v>
      </c>
      <c r="R172" s="32">
        <f t="shared" si="4"/>
        <v>-69</v>
      </c>
      <c r="S172" s="32" t="s">
        <v>542</v>
      </c>
      <c r="T172" s="32" t="s">
        <v>543</v>
      </c>
      <c r="U172" s="32" t="s">
        <v>117</v>
      </c>
      <c r="V172" s="32" t="s">
        <v>147</v>
      </c>
      <c r="W172" s="32" t="s">
        <v>133</v>
      </c>
      <c r="X172" s="32" t="s">
        <v>541</v>
      </c>
      <c r="Y172" s="32">
        <v>2021.0</v>
      </c>
      <c r="Z172" s="32" t="s">
        <v>135</v>
      </c>
      <c r="AA172" s="32">
        <v>2498.0</v>
      </c>
      <c r="AB172" s="32">
        <v>16.0</v>
      </c>
      <c r="AC172" s="32">
        <v>6.0</v>
      </c>
      <c r="AD172" s="35">
        <v>450347.83</v>
      </c>
      <c r="AE172" s="35">
        <v>74443.27</v>
      </c>
      <c r="AF172" s="36">
        <v>0.17</v>
      </c>
      <c r="AG172" s="35">
        <v>27377.29</v>
      </c>
      <c r="AH172" s="35">
        <v>2112.0</v>
      </c>
      <c r="AI172" s="32">
        <v>7.75</v>
      </c>
      <c r="AJ172" s="35">
        <v>191135.08</v>
      </c>
      <c r="AK172" s="32">
        <v>67.68</v>
      </c>
      <c r="AL172" s="34">
        <v>44027.0</v>
      </c>
      <c r="AM172" s="34">
        <v>45853.0</v>
      </c>
      <c r="AN172" s="32">
        <v>60.0</v>
      </c>
      <c r="AO172" s="32">
        <v>3000.0</v>
      </c>
      <c r="AP172" s="32">
        <v>162232.0</v>
      </c>
      <c r="AQ172" s="34">
        <v>46234.0</v>
      </c>
      <c r="AR172" s="32">
        <v>102052.0</v>
      </c>
      <c r="AS172" s="32">
        <v>103805.0</v>
      </c>
      <c r="AT172" s="32">
        <v>1753.0</v>
      </c>
      <c r="AU172" s="32">
        <v>103760.0</v>
      </c>
      <c r="AV172" s="32">
        <v>2358.0</v>
      </c>
      <c r="AW172" s="35">
        <v>5728.35</v>
      </c>
      <c r="AX172" s="35">
        <v>2154.0</v>
      </c>
      <c r="AY172" s="35">
        <v>125.0</v>
      </c>
      <c r="AZ172" s="35">
        <v>291.0</v>
      </c>
      <c r="BA172" s="35">
        <v>1083.24</v>
      </c>
      <c r="BB172" s="35">
        <v>9381.59</v>
      </c>
      <c r="BC172" s="35">
        <v>1407.24</v>
      </c>
      <c r="BD172" s="35">
        <v>10788.83</v>
      </c>
      <c r="BE172" s="34">
        <v>45748.0</v>
      </c>
      <c r="BF172" s="34">
        <v>45838.0</v>
      </c>
      <c r="BG172" s="32">
        <v>98737.0</v>
      </c>
      <c r="BH172" s="32">
        <v>103805.0</v>
      </c>
      <c r="BI172" s="32">
        <v>5068.0</v>
      </c>
      <c r="BJ172" s="32">
        <v>9000.0</v>
      </c>
      <c r="BK172" s="32">
        <v>-3932.0</v>
      </c>
      <c r="BL172" s="35">
        <v>0.83</v>
      </c>
      <c r="BM172" s="35">
        <v>1.53</v>
      </c>
      <c r="BN172" s="35">
        <v>0.0</v>
      </c>
      <c r="BO172" s="35">
        <v>0.0</v>
      </c>
      <c r="BP172" s="35">
        <v>0.0</v>
      </c>
      <c r="BQ172" s="35">
        <v>-424.66</v>
      </c>
      <c r="BR172" s="35">
        <v>0.0</v>
      </c>
      <c r="BS172" s="35">
        <v>0.0</v>
      </c>
      <c r="BT172" s="35">
        <v>0.0</v>
      </c>
      <c r="BU172" s="35">
        <v>0.0</v>
      </c>
      <c r="BV172" s="35">
        <v>0.0</v>
      </c>
      <c r="BW172" s="35">
        <v>0.0</v>
      </c>
      <c r="BX172" s="35">
        <v>0.0</v>
      </c>
      <c r="BY172" s="35">
        <v>4526.21</v>
      </c>
      <c r="BZ172" s="32">
        <v>0.0</v>
      </c>
      <c r="CA172" s="35">
        <v>0.0</v>
      </c>
      <c r="CB172" s="32">
        <v>0.0</v>
      </c>
      <c r="CC172" s="35">
        <v>0.0</v>
      </c>
      <c r="CD172" s="35">
        <v>0.0</v>
      </c>
      <c r="CE172" s="35">
        <v>0.0</v>
      </c>
      <c r="CF172" s="35">
        <v>0.0</v>
      </c>
      <c r="CG172" s="35">
        <v>0.0</v>
      </c>
      <c r="CH172" s="35">
        <v>7533.13</v>
      </c>
      <c r="CI172" s="35">
        <v>982.58</v>
      </c>
      <c r="CJ172" s="35">
        <v>6550.55</v>
      </c>
      <c r="CK172" s="35">
        <v>3.74</v>
      </c>
      <c r="CL172" s="32">
        <v>0.0</v>
      </c>
      <c r="CM172" s="32">
        <v>0.0</v>
      </c>
      <c r="CN172" s="32">
        <v>0.0</v>
      </c>
      <c r="CO172" s="32">
        <v>100.0</v>
      </c>
      <c r="CP172" s="34"/>
      <c r="CQ172" s="32">
        <v>0.0</v>
      </c>
      <c r="CR172" s="32">
        <v>0.0</v>
      </c>
      <c r="CS172" s="32">
        <v>0.0</v>
      </c>
      <c r="CT172" s="32">
        <v>-2949.0</v>
      </c>
      <c r="CU172" s="34">
        <v>46326.0</v>
      </c>
      <c r="CV172" s="34">
        <v>46326.0</v>
      </c>
      <c r="CW172" s="32">
        <v>162277.0</v>
      </c>
      <c r="CX172" s="32" t="s">
        <v>122</v>
      </c>
      <c r="CY172" s="32" t="s">
        <v>123</v>
      </c>
      <c r="CZ172" s="35">
        <v>1264.92</v>
      </c>
      <c r="DA172" s="35">
        <v>2331.72</v>
      </c>
      <c r="DB172" s="35">
        <v>-7893.36</v>
      </c>
      <c r="DC172" s="35">
        <v>0.72</v>
      </c>
      <c r="DD172" s="35">
        <v>-2831.04</v>
      </c>
      <c r="DE172" s="35">
        <v>-3255.7</v>
      </c>
      <c r="DF172" s="32"/>
    </row>
    <row r="173" ht="13.5" customHeight="1">
      <c r="A173" s="32" t="s">
        <v>175</v>
      </c>
      <c r="B173" s="33">
        <v>43983.0</v>
      </c>
      <c r="C173" s="32" t="s">
        <v>124</v>
      </c>
      <c r="D173" s="32" t="s">
        <v>110</v>
      </c>
      <c r="E173" s="32" t="s">
        <v>111</v>
      </c>
      <c r="F173" s="32" t="s">
        <v>235</v>
      </c>
      <c r="G173" s="32" t="s">
        <v>128</v>
      </c>
      <c r="H173" s="32" t="s">
        <v>141</v>
      </c>
      <c r="I173" s="34">
        <v>44004.0</v>
      </c>
      <c r="J173" s="34">
        <v>44005.0</v>
      </c>
      <c r="K173" s="32">
        <f t="shared" si="1"/>
        <v>1</v>
      </c>
      <c r="L173" s="32">
        <v>1.0</v>
      </c>
      <c r="M173" s="32">
        <f t="shared" si="2"/>
        <v>0</v>
      </c>
      <c r="N173" s="34">
        <v>44007.0</v>
      </c>
      <c r="O173" s="34">
        <v>44028.0</v>
      </c>
      <c r="P173" s="32">
        <f t="shared" si="3"/>
        <v>21</v>
      </c>
      <c r="Q173" s="32">
        <v>90.0</v>
      </c>
      <c r="R173" s="32">
        <f t="shared" si="4"/>
        <v>-69</v>
      </c>
      <c r="S173" s="32" t="s">
        <v>544</v>
      </c>
      <c r="T173" s="32" t="s">
        <v>545</v>
      </c>
      <c r="U173" s="32" t="s">
        <v>117</v>
      </c>
      <c r="V173" s="32" t="s">
        <v>147</v>
      </c>
      <c r="W173" s="32" t="s">
        <v>133</v>
      </c>
      <c r="X173" s="32" t="s">
        <v>541</v>
      </c>
      <c r="Y173" s="32">
        <v>2021.0</v>
      </c>
      <c r="Z173" s="32" t="s">
        <v>135</v>
      </c>
      <c r="AA173" s="32">
        <v>2498.0</v>
      </c>
      <c r="AB173" s="32">
        <v>16.0</v>
      </c>
      <c r="AC173" s="32">
        <v>4.0</v>
      </c>
      <c r="AD173" s="35">
        <v>463913.04</v>
      </c>
      <c r="AE173" s="35">
        <v>88008.48</v>
      </c>
      <c r="AF173" s="36">
        <v>0.19</v>
      </c>
      <c r="AG173" s="35">
        <v>27471.11</v>
      </c>
      <c r="AH173" s="35">
        <v>2112.0</v>
      </c>
      <c r="AI173" s="32">
        <v>7.75</v>
      </c>
      <c r="AJ173" s="35">
        <v>181637.04</v>
      </c>
      <c r="AK173" s="32">
        <v>70.92</v>
      </c>
      <c r="AL173" s="34">
        <v>44028.0</v>
      </c>
      <c r="AM173" s="34">
        <v>45854.0</v>
      </c>
      <c r="AN173" s="32">
        <v>60.0</v>
      </c>
      <c r="AO173" s="32">
        <v>3000.0</v>
      </c>
      <c r="AP173" s="32">
        <v>165313.0</v>
      </c>
      <c r="AQ173" s="34">
        <v>46234.0</v>
      </c>
      <c r="AR173" s="32">
        <v>106274.0</v>
      </c>
      <c r="AS173" s="32">
        <v>107595.0</v>
      </c>
      <c r="AT173" s="32">
        <v>1321.0</v>
      </c>
      <c r="AU173" s="32">
        <v>107522.0</v>
      </c>
      <c r="AV173" s="32">
        <v>2444.0</v>
      </c>
      <c r="AW173" s="35">
        <v>5957.21</v>
      </c>
      <c r="AX173" s="35">
        <v>1810.0</v>
      </c>
      <c r="AY173" s="35">
        <v>125.0</v>
      </c>
      <c r="AZ173" s="35">
        <v>291.0</v>
      </c>
      <c r="BA173" s="35">
        <v>1083.24</v>
      </c>
      <c r="BB173" s="35">
        <v>9266.45</v>
      </c>
      <c r="BC173" s="35">
        <v>1389.97</v>
      </c>
      <c r="BD173" s="35">
        <v>10656.42</v>
      </c>
      <c r="BE173" s="34">
        <v>45748.0</v>
      </c>
      <c r="BF173" s="34">
        <v>45838.0</v>
      </c>
      <c r="BG173" s="32">
        <v>100828.0</v>
      </c>
      <c r="BH173" s="32">
        <v>107595.0</v>
      </c>
      <c r="BI173" s="32">
        <v>6767.0</v>
      </c>
      <c r="BJ173" s="32">
        <v>9000.0</v>
      </c>
      <c r="BK173" s="32">
        <v>-2233.0</v>
      </c>
      <c r="BL173" s="35">
        <v>0.69</v>
      </c>
      <c r="BM173" s="35">
        <v>1.54</v>
      </c>
      <c r="BN173" s="35">
        <v>0.0</v>
      </c>
      <c r="BO173" s="35">
        <v>0.0</v>
      </c>
      <c r="BP173" s="35">
        <v>0.0</v>
      </c>
      <c r="BQ173" s="35">
        <v>-200.97</v>
      </c>
      <c r="BR173" s="35">
        <v>0.0</v>
      </c>
      <c r="BS173" s="35">
        <v>0.0</v>
      </c>
      <c r="BT173" s="35">
        <v>0.0</v>
      </c>
      <c r="BU173" s="35">
        <v>0.0</v>
      </c>
      <c r="BV173" s="35">
        <v>0.0</v>
      </c>
      <c r="BW173" s="35">
        <v>0.0</v>
      </c>
      <c r="BX173" s="35">
        <v>0.0</v>
      </c>
      <c r="BY173" s="35">
        <v>2940.09</v>
      </c>
      <c r="BZ173" s="32">
        <v>0.0</v>
      </c>
      <c r="CA173" s="35">
        <v>0.0</v>
      </c>
      <c r="CB173" s="32">
        <v>0.0</v>
      </c>
      <c r="CC173" s="35">
        <v>0.0</v>
      </c>
      <c r="CD173" s="35">
        <v>0.0</v>
      </c>
      <c r="CE173" s="35">
        <v>0.0</v>
      </c>
      <c r="CF173" s="35">
        <v>0.0</v>
      </c>
      <c r="CG173" s="35">
        <v>0.0</v>
      </c>
      <c r="CH173" s="35">
        <v>9115.65</v>
      </c>
      <c r="CI173" s="35">
        <v>1189.0</v>
      </c>
      <c r="CJ173" s="35">
        <v>7926.65</v>
      </c>
      <c r="CK173" s="35">
        <v>6.0</v>
      </c>
      <c r="CL173" s="32">
        <v>0.0</v>
      </c>
      <c r="CM173" s="32">
        <v>0.0</v>
      </c>
      <c r="CN173" s="32">
        <v>0.0</v>
      </c>
      <c r="CO173" s="32">
        <v>100.0</v>
      </c>
      <c r="CP173" s="34"/>
      <c r="CQ173" s="32">
        <v>0.0</v>
      </c>
      <c r="CR173" s="32">
        <v>0.0</v>
      </c>
      <c r="CS173" s="32">
        <v>0.0</v>
      </c>
      <c r="CT173" s="32">
        <v>-8614.0</v>
      </c>
      <c r="CU173" s="34">
        <v>46326.0</v>
      </c>
      <c r="CV173" s="34">
        <v>46326.0</v>
      </c>
      <c r="CW173" s="32">
        <v>165386.0</v>
      </c>
      <c r="CX173" s="32" t="s">
        <v>122</v>
      </c>
      <c r="CY173" s="32" t="s">
        <v>123</v>
      </c>
      <c r="CZ173" s="35">
        <v>0.0</v>
      </c>
      <c r="DA173" s="35">
        <v>0.0</v>
      </c>
      <c r="DB173" s="35">
        <v>-6531.6</v>
      </c>
      <c r="DC173" s="35">
        <v>0.6</v>
      </c>
      <c r="DD173" s="35">
        <v>-1339.8</v>
      </c>
      <c r="DE173" s="35">
        <v>-1540.77</v>
      </c>
      <c r="DF173" s="32"/>
    </row>
    <row r="174" ht="13.5" customHeight="1">
      <c r="A174" s="32" t="s">
        <v>175</v>
      </c>
      <c r="B174" s="33">
        <v>43983.0</v>
      </c>
      <c r="C174" s="32" t="s">
        <v>136</v>
      </c>
      <c r="D174" s="32" t="s">
        <v>125</v>
      </c>
      <c r="E174" s="32" t="s">
        <v>126</v>
      </c>
      <c r="F174" s="32" t="s">
        <v>235</v>
      </c>
      <c r="G174" s="32" t="s">
        <v>128</v>
      </c>
      <c r="H174" s="32" t="s">
        <v>114</v>
      </c>
      <c r="I174" s="34">
        <v>44005.0</v>
      </c>
      <c r="J174" s="34">
        <v>44009.0</v>
      </c>
      <c r="K174" s="32">
        <f t="shared" si="1"/>
        <v>4</v>
      </c>
      <c r="L174" s="32">
        <v>1.0</v>
      </c>
      <c r="M174" s="32">
        <f t="shared" si="2"/>
        <v>3</v>
      </c>
      <c r="N174" s="34">
        <v>44008.0</v>
      </c>
      <c r="O174" s="34">
        <v>44152.0</v>
      </c>
      <c r="P174" s="32">
        <f t="shared" si="3"/>
        <v>144</v>
      </c>
      <c r="Q174" s="32">
        <v>90.0</v>
      </c>
      <c r="R174" s="32">
        <f t="shared" si="4"/>
        <v>54</v>
      </c>
      <c r="S174" s="32" t="s">
        <v>546</v>
      </c>
      <c r="T174" s="32" t="s">
        <v>547</v>
      </c>
      <c r="U174" s="32" t="s">
        <v>117</v>
      </c>
      <c r="V174" s="32" t="s">
        <v>190</v>
      </c>
      <c r="W174" s="32" t="s">
        <v>119</v>
      </c>
      <c r="X174" s="32" t="s">
        <v>548</v>
      </c>
      <c r="Y174" s="32">
        <v>2021.0</v>
      </c>
      <c r="Z174" s="32" t="s">
        <v>121</v>
      </c>
      <c r="AA174" s="32">
        <v>1498.0</v>
      </c>
      <c r="AB174" s="32">
        <v>16.0</v>
      </c>
      <c r="AC174" s="32">
        <v>2.0</v>
      </c>
      <c r="AD174" s="35">
        <v>240782.61</v>
      </c>
      <c r="AE174" s="35">
        <v>75402.33</v>
      </c>
      <c r="AF174" s="36">
        <v>0.31</v>
      </c>
      <c r="AG174" s="35">
        <v>10715.31</v>
      </c>
      <c r="AH174" s="35">
        <v>2014.5</v>
      </c>
      <c r="AI174" s="32">
        <v>7.75</v>
      </c>
      <c r="AJ174" s="35">
        <v>27779.59</v>
      </c>
      <c r="AK174" s="32">
        <v>41.26</v>
      </c>
      <c r="AL174" s="34">
        <v>44152.0</v>
      </c>
      <c r="AM174" s="34">
        <v>45978.0</v>
      </c>
      <c r="AN174" s="32">
        <v>60.0</v>
      </c>
      <c r="AO174" s="32">
        <v>3500.0</v>
      </c>
      <c r="AP174" s="32">
        <v>176583.0</v>
      </c>
      <c r="AQ174" s="34">
        <v>46234.0</v>
      </c>
      <c r="AR174" s="32">
        <v>107021.0</v>
      </c>
      <c r="AS174" s="32">
        <v>107808.0</v>
      </c>
      <c r="AT174" s="32">
        <v>787.0</v>
      </c>
      <c r="AU174" s="32">
        <v>107238.0</v>
      </c>
      <c r="AV174" s="32">
        <v>2383.0</v>
      </c>
      <c r="AW174" s="35">
        <v>2774.34</v>
      </c>
      <c r="AX174" s="35">
        <v>2069.8</v>
      </c>
      <c r="AY174" s="35">
        <v>115.0</v>
      </c>
      <c r="AZ174" s="35">
        <v>291.0</v>
      </c>
      <c r="BA174" s="35">
        <v>1522.99</v>
      </c>
      <c r="BB174" s="35">
        <v>6773.13</v>
      </c>
      <c r="BC174" s="35">
        <v>1015.97</v>
      </c>
      <c r="BD174" s="35">
        <v>7789.1</v>
      </c>
      <c r="BE174" s="34">
        <v>45748.0</v>
      </c>
      <c r="BF174" s="34">
        <v>45838.0</v>
      </c>
      <c r="BG174" s="32">
        <v>105732.0</v>
      </c>
      <c r="BH174" s="32">
        <v>107808.0</v>
      </c>
      <c r="BI174" s="32">
        <v>2076.0</v>
      </c>
      <c r="BJ174" s="32">
        <v>10500.0</v>
      </c>
      <c r="BK174" s="32">
        <v>-8424.0</v>
      </c>
      <c r="BL174" s="35">
        <v>0.68</v>
      </c>
      <c r="BM174" s="35">
        <v>0.81</v>
      </c>
      <c r="BN174" s="35">
        <v>0.0</v>
      </c>
      <c r="BO174" s="35">
        <v>0.0</v>
      </c>
      <c r="BP174" s="35">
        <v>0.0</v>
      </c>
      <c r="BQ174" s="35">
        <v>-745.52</v>
      </c>
      <c r="BR174" s="35">
        <v>0.0</v>
      </c>
      <c r="BS174" s="35">
        <v>0.0</v>
      </c>
      <c r="BT174" s="35">
        <v>0.0</v>
      </c>
      <c r="BU174" s="35">
        <v>0.0</v>
      </c>
      <c r="BV174" s="35">
        <v>0.0</v>
      </c>
      <c r="BW174" s="35">
        <v>0.0</v>
      </c>
      <c r="BX174" s="35">
        <v>0.0</v>
      </c>
      <c r="BY174" s="35">
        <v>2943.31</v>
      </c>
      <c r="BZ174" s="32">
        <v>0.0</v>
      </c>
      <c r="CA174" s="35">
        <v>0.0</v>
      </c>
      <c r="CB174" s="32">
        <v>0.0</v>
      </c>
      <c r="CC174" s="35">
        <v>0.0</v>
      </c>
      <c r="CD174" s="35">
        <v>0.0</v>
      </c>
      <c r="CE174" s="35">
        <v>0.0</v>
      </c>
      <c r="CF174" s="35">
        <v>0.0</v>
      </c>
      <c r="CG174" s="35">
        <v>0.0</v>
      </c>
      <c r="CH174" s="35">
        <v>2073.42</v>
      </c>
      <c r="CI174" s="35">
        <v>270.45</v>
      </c>
      <c r="CJ174" s="35">
        <v>1802.97</v>
      </c>
      <c r="CK174" s="35">
        <v>2.29</v>
      </c>
      <c r="CL174" s="32">
        <v>0.0</v>
      </c>
      <c r="CM174" s="32">
        <v>0.0</v>
      </c>
      <c r="CN174" s="32">
        <v>0.0</v>
      </c>
      <c r="CO174" s="32">
        <v>100.0</v>
      </c>
      <c r="CP174" s="34"/>
      <c r="CQ174" s="32">
        <v>0.0</v>
      </c>
      <c r="CR174" s="32">
        <v>0.0</v>
      </c>
      <c r="CS174" s="32">
        <v>0.0</v>
      </c>
      <c r="CT174" s="32">
        <v>-3346.0</v>
      </c>
      <c r="CU174" s="34">
        <v>46022.0</v>
      </c>
      <c r="CV174" s="34">
        <v>46022.0</v>
      </c>
      <c r="CW174" s="32">
        <v>177153.0</v>
      </c>
      <c r="CX174" s="32" t="s">
        <v>122</v>
      </c>
      <c r="CY174" s="32" t="s">
        <v>123</v>
      </c>
      <c r="CZ174" s="35">
        <v>0.0</v>
      </c>
      <c r="DA174" s="35">
        <v>0.0</v>
      </c>
      <c r="DB174" s="35">
        <v>-17967.86</v>
      </c>
      <c r="DC174" s="35">
        <v>0.59</v>
      </c>
      <c r="DD174" s="35">
        <v>-4970.16</v>
      </c>
      <c r="DE174" s="35">
        <v>-5715.68</v>
      </c>
      <c r="DF174" s="32"/>
    </row>
    <row r="175" ht="13.5" customHeight="1">
      <c r="A175" s="32" t="s">
        <v>175</v>
      </c>
      <c r="B175" s="33">
        <v>43983.0</v>
      </c>
      <c r="C175" s="32" t="s">
        <v>109</v>
      </c>
      <c r="D175" s="32" t="s">
        <v>110</v>
      </c>
      <c r="E175" s="32" t="s">
        <v>111</v>
      </c>
      <c r="F175" s="32" t="s">
        <v>549</v>
      </c>
      <c r="G175" s="32" t="s">
        <v>128</v>
      </c>
      <c r="H175" s="32" t="s">
        <v>129</v>
      </c>
      <c r="I175" s="34">
        <v>44006.0</v>
      </c>
      <c r="J175" s="34">
        <v>44007.0</v>
      </c>
      <c r="K175" s="32">
        <f t="shared" si="1"/>
        <v>1</v>
      </c>
      <c r="L175" s="32">
        <v>1.0</v>
      </c>
      <c r="M175" s="32">
        <f t="shared" si="2"/>
        <v>0</v>
      </c>
      <c r="N175" s="34">
        <v>44009.0</v>
      </c>
      <c r="O175" s="34">
        <v>44030.0</v>
      </c>
      <c r="P175" s="32">
        <f t="shared" si="3"/>
        <v>21</v>
      </c>
      <c r="Q175" s="32">
        <v>90.0</v>
      </c>
      <c r="R175" s="32">
        <f t="shared" si="4"/>
        <v>-69</v>
      </c>
      <c r="S175" s="32" t="s">
        <v>550</v>
      </c>
      <c r="T175" s="32" t="s">
        <v>551</v>
      </c>
      <c r="U175" s="32" t="s">
        <v>117</v>
      </c>
      <c r="V175" s="32" t="s">
        <v>147</v>
      </c>
      <c r="W175" s="32" t="s">
        <v>133</v>
      </c>
      <c r="X175" s="32" t="s">
        <v>168</v>
      </c>
      <c r="Y175" s="32">
        <v>2023.0</v>
      </c>
      <c r="Z175" s="32" t="s">
        <v>135</v>
      </c>
      <c r="AA175" s="32">
        <v>2498.0</v>
      </c>
      <c r="AB175" s="32">
        <v>16.0</v>
      </c>
      <c r="AC175" s="32">
        <v>0.0</v>
      </c>
      <c r="AD175" s="35">
        <v>440782.61</v>
      </c>
      <c r="AE175" s="35">
        <v>76923.96</v>
      </c>
      <c r="AF175" s="36">
        <v>0.17</v>
      </c>
      <c r="AG175" s="35">
        <v>30152.69</v>
      </c>
      <c r="AH175" s="35">
        <v>2135.0</v>
      </c>
      <c r="AI175" s="32">
        <v>7.75</v>
      </c>
      <c r="AJ175" s="35">
        <v>185129.0</v>
      </c>
      <c r="AK175" s="32">
        <v>52.98</v>
      </c>
      <c r="AL175" s="34">
        <v>44030.0</v>
      </c>
      <c r="AM175" s="34">
        <v>45856.0</v>
      </c>
      <c r="AN175" s="32">
        <v>60.0</v>
      </c>
      <c r="AO175" s="32">
        <v>1500.0</v>
      </c>
      <c r="AP175" s="32">
        <v>85831.0</v>
      </c>
      <c r="AQ175" s="34">
        <v>46234.0</v>
      </c>
      <c r="AR175" s="32">
        <v>19771.0</v>
      </c>
      <c r="AS175" s="32">
        <v>20547.0</v>
      </c>
      <c r="AT175" s="32">
        <v>776.0</v>
      </c>
      <c r="AU175" s="32">
        <v>20477.0</v>
      </c>
      <c r="AV175" s="32">
        <v>975.0</v>
      </c>
      <c r="AW175" s="35">
        <v>6295.08</v>
      </c>
      <c r="AX175" s="35">
        <v>1080.0</v>
      </c>
      <c r="AY175" s="35">
        <v>125.0</v>
      </c>
      <c r="AZ175" s="35">
        <v>290.99</v>
      </c>
      <c r="BA175" s="35">
        <v>1083.24</v>
      </c>
      <c r="BB175" s="35">
        <v>8874.31</v>
      </c>
      <c r="BC175" s="35">
        <v>1331.15</v>
      </c>
      <c r="BD175" s="35">
        <v>10205.46</v>
      </c>
      <c r="BE175" s="34">
        <v>45748.0</v>
      </c>
      <c r="BF175" s="34">
        <v>45838.0</v>
      </c>
      <c r="BG175" s="32">
        <v>18183.0</v>
      </c>
      <c r="BH175" s="32">
        <v>20547.0</v>
      </c>
      <c r="BI175" s="32">
        <v>2364.0</v>
      </c>
      <c r="BJ175" s="32">
        <v>4500.0</v>
      </c>
      <c r="BK175" s="32">
        <v>-2136.0</v>
      </c>
      <c r="BL175" s="35">
        <v>0.83</v>
      </c>
      <c r="BM175" s="35">
        <v>2.98</v>
      </c>
      <c r="BN175" s="35">
        <v>0.0</v>
      </c>
      <c r="BO175" s="35">
        <v>0.0</v>
      </c>
      <c r="BP175" s="35">
        <v>0.0</v>
      </c>
      <c r="BQ175" s="35">
        <v>-230.69</v>
      </c>
      <c r="BR175" s="35">
        <v>0.0</v>
      </c>
      <c r="BS175" s="35">
        <v>0.0</v>
      </c>
      <c r="BT175" s="35">
        <v>0.0</v>
      </c>
      <c r="BU175" s="35">
        <v>0.0</v>
      </c>
      <c r="BV175" s="35">
        <v>0.0</v>
      </c>
      <c r="BW175" s="35">
        <v>0.0</v>
      </c>
      <c r="BX175" s="35">
        <v>0.0</v>
      </c>
      <c r="BY175" s="35">
        <v>1458.22</v>
      </c>
      <c r="BZ175" s="32">
        <v>0.0</v>
      </c>
      <c r="CA175" s="35">
        <v>0.0</v>
      </c>
      <c r="CB175" s="32">
        <v>0.0</v>
      </c>
      <c r="CC175" s="35">
        <v>0.0</v>
      </c>
      <c r="CD175" s="35">
        <v>0.0</v>
      </c>
      <c r="CE175" s="35">
        <v>0.0</v>
      </c>
      <c r="CF175" s="35">
        <v>0.0</v>
      </c>
      <c r="CG175" s="35">
        <v>0.0</v>
      </c>
      <c r="CH175" s="35">
        <v>8436.85</v>
      </c>
      <c r="CI175" s="35">
        <v>1100.46</v>
      </c>
      <c r="CJ175" s="35">
        <v>7336.39</v>
      </c>
      <c r="CK175" s="35">
        <v>9.45</v>
      </c>
      <c r="CL175" s="32">
        <v>0.0</v>
      </c>
      <c r="CM175" s="32">
        <v>0.0</v>
      </c>
      <c r="CN175" s="32">
        <v>0.0</v>
      </c>
      <c r="CO175" s="32">
        <v>100.0</v>
      </c>
      <c r="CP175" s="34"/>
      <c r="CQ175" s="32">
        <v>0.0</v>
      </c>
      <c r="CR175" s="32">
        <v>0.0</v>
      </c>
      <c r="CS175" s="32">
        <v>0.0</v>
      </c>
      <c r="CT175" s="32">
        <v>-20910.0</v>
      </c>
      <c r="CU175" s="34">
        <v>47026.0</v>
      </c>
      <c r="CV175" s="34">
        <v>47026.0</v>
      </c>
      <c r="CW175" s="32">
        <v>85901.0</v>
      </c>
      <c r="CX175" s="32" t="s">
        <v>122</v>
      </c>
      <c r="CY175" s="32" t="s">
        <v>123</v>
      </c>
      <c r="CZ175" s="35">
        <v>0.0</v>
      </c>
      <c r="DA175" s="35">
        <v>0.0</v>
      </c>
      <c r="DB175" s="35">
        <v>-4402.08</v>
      </c>
      <c r="DC175" s="35">
        <v>0.72</v>
      </c>
      <c r="DD175" s="35">
        <v>-1537.92</v>
      </c>
      <c r="DE175" s="35">
        <v>-1768.61</v>
      </c>
      <c r="DF175" s="32"/>
    </row>
    <row r="176" ht="13.5" customHeight="1">
      <c r="A176" s="32" t="s">
        <v>175</v>
      </c>
      <c r="B176" s="33">
        <v>43983.0</v>
      </c>
      <c r="C176" s="32" t="s">
        <v>124</v>
      </c>
      <c r="D176" s="32" t="s">
        <v>125</v>
      </c>
      <c r="E176" s="32" t="s">
        <v>126</v>
      </c>
      <c r="F176" s="32" t="s">
        <v>176</v>
      </c>
      <c r="G176" s="32" t="s">
        <v>140</v>
      </c>
      <c r="H176" s="32" t="s">
        <v>141</v>
      </c>
      <c r="I176" s="34">
        <v>44007.0</v>
      </c>
      <c r="J176" s="34">
        <v>44008.0</v>
      </c>
      <c r="K176" s="32">
        <f t="shared" si="1"/>
        <v>1</v>
      </c>
      <c r="L176" s="32">
        <v>1.0</v>
      </c>
      <c r="M176" s="32">
        <f t="shared" si="2"/>
        <v>0</v>
      </c>
      <c r="N176" s="34">
        <v>44010.0</v>
      </c>
      <c r="O176" s="34">
        <v>44031.0</v>
      </c>
      <c r="P176" s="32">
        <f t="shared" si="3"/>
        <v>21</v>
      </c>
      <c r="Q176" s="32">
        <v>90.0</v>
      </c>
      <c r="R176" s="32">
        <f t="shared" si="4"/>
        <v>-69</v>
      </c>
      <c r="S176" s="32" t="s">
        <v>552</v>
      </c>
      <c r="T176" s="32" t="s">
        <v>553</v>
      </c>
      <c r="U176" s="32" t="s">
        <v>117</v>
      </c>
      <c r="V176" s="32" t="s">
        <v>147</v>
      </c>
      <c r="W176" s="32" t="s">
        <v>182</v>
      </c>
      <c r="X176" s="32" t="s">
        <v>554</v>
      </c>
      <c r="Y176" s="32">
        <v>2021.0</v>
      </c>
      <c r="Z176" s="32" t="s">
        <v>135</v>
      </c>
      <c r="AA176" s="32">
        <v>2198.0</v>
      </c>
      <c r="AB176" s="32">
        <v>16.0</v>
      </c>
      <c r="AC176" s="32">
        <v>4.0</v>
      </c>
      <c r="AD176" s="35">
        <v>452957.0</v>
      </c>
      <c r="AE176" s="35">
        <v>87583.84</v>
      </c>
      <c r="AF176" s="36">
        <v>0.19</v>
      </c>
      <c r="AG176" s="35">
        <v>42286.25</v>
      </c>
      <c r="AH176" s="35">
        <v>2748.0</v>
      </c>
      <c r="AI176" s="32">
        <v>7.75</v>
      </c>
      <c r="AJ176" s="35">
        <v>172124.0</v>
      </c>
      <c r="AK176" s="32">
        <v>38.0</v>
      </c>
      <c r="AL176" s="34">
        <v>44031.0</v>
      </c>
      <c r="AM176" s="34">
        <v>45857.0</v>
      </c>
      <c r="AN176" s="32">
        <v>60.0</v>
      </c>
      <c r="AO176" s="32">
        <v>3000.0</v>
      </c>
      <c r="AP176" s="32">
        <v>180000.0</v>
      </c>
      <c r="AQ176" s="34">
        <v>46234.0</v>
      </c>
      <c r="AR176" s="32">
        <v>72299.0</v>
      </c>
      <c r="AS176" s="32">
        <v>73532.0</v>
      </c>
      <c r="AT176" s="32">
        <v>1233.0</v>
      </c>
      <c r="AU176" s="32">
        <v>73125.0</v>
      </c>
      <c r="AV176" s="32">
        <v>1662.0</v>
      </c>
      <c r="AW176" s="35">
        <v>6696.08</v>
      </c>
      <c r="AX176" s="35">
        <v>1525.94</v>
      </c>
      <c r="AY176" s="35">
        <v>125.0</v>
      </c>
      <c r="AZ176" s="35">
        <v>291.0</v>
      </c>
      <c r="BA176" s="35">
        <v>1083.24</v>
      </c>
      <c r="BB176" s="35">
        <v>9721.26</v>
      </c>
      <c r="BC176" s="35">
        <v>1458.19</v>
      </c>
      <c r="BD176" s="35">
        <v>11179.45</v>
      </c>
      <c r="BE176" s="34">
        <v>45748.0</v>
      </c>
      <c r="BF176" s="34">
        <v>45838.0</v>
      </c>
      <c r="BG176" s="32">
        <v>70489.0</v>
      </c>
      <c r="BH176" s="32">
        <v>73532.0</v>
      </c>
      <c r="BI176" s="32">
        <v>3043.0</v>
      </c>
      <c r="BJ176" s="32">
        <v>9000.0</v>
      </c>
      <c r="BK176" s="32">
        <v>-5957.0</v>
      </c>
      <c r="BL176" s="35">
        <v>0.55</v>
      </c>
      <c r="BM176" s="35">
        <v>1.63</v>
      </c>
      <c r="BN176" s="35">
        <v>0.0</v>
      </c>
      <c r="BO176" s="35">
        <v>0.0</v>
      </c>
      <c r="BP176" s="35">
        <v>0.0</v>
      </c>
      <c r="BQ176" s="35">
        <v>-455.71</v>
      </c>
      <c r="BR176" s="35">
        <v>0.0</v>
      </c>
      <c r="BS176" s="35">
        <v>0.0</v>
      </c>
      <c r="BT176" s="35">
        <v>0.0</v>
      </c>
      <c r="BU176" s="35">
        <v>0.0</v>
      </c>
      <c r="BV176" s="35">
        <v>0.0</v>
      </c>
      <c r="BW176" s="35">
        <v>0.0</v>
      </c>
      <c r="BX176" s="35">
        <v>0.0</v>
      </c>
      <c r="BY176" s="35">
        <v>3131.13</v>
      </c>
      <c r="BZ176" s="32">
        <v>0.0</v>
      </c>
      <c r="CA176" s="35">
        <v>0.0</v>
      </c>
      <c r="CB176" s="32">
        <v>0.0</v>
      </c>
      <c r="CC176" s="35">
        <v>0.0</v>
      </c>
      <c r="CD176" s="35">
        <v>0.0</v>
      </c>
      <c r="CE176" s="35">
        <v>0.0</v>
      </c>
      <c r="CF176" s="35">
        <v>0.0</v>
      </c>
      <c r="CG176" s="35">
        <v>0.0</v>
      </c>
      <c r="CH176" s="35">
        <v>7685.67</v>
      </c>
      <c r="CI176" s="35">
        <v>1002.48</v>
      </c>
      <c r="CJ176" s="35">
        <v>6683.19</v>
      </c>
      <c r="CK176" s="35">
        <v>5.42</v>
      </c>
      <c r="CL176" s="32">
        <v>0.0</v>
      </c>
      <c r="CM176" s="32">
        <v>0.0</v>
      </c>
      <c r="CN176" s="32">
        <v>0.0</v>
      </c>
      <c r="CO176" s="32">
        <v>100.0</v>
      </c>
      <c r="CP176" s="34"/>
      <c r="CQ176" s="32">
        <v>0.0</v>
      </c>
      <c r="CR176" s="32">
        <v>0.0</v>
      </c>
      <c r="CS176" s="32">
        <v>0.0</v>
      </c>
      <c r="CT176" s="32">
        <v>-61242.0</v>
      </c>
      <c r="CU176" s="34">
        <v>46326.0</v>
      </c>
      <c r="CV176" s="34">
        <v>46326.0</v>
      </c>
      <c r="CW176" s="32">
        <v>180407.0</v>
      </c>
      <c r="CX176" s="32" t="s">
        <v>122</v>
      </c>
      <c r="CY176" s="32" t="s">
        <v>123</v>
      </c>
      <c r="CZ176" s="35">
        <v>54563.85</v>
      </c>
      <c r="DA176" s="35">
        <v>161707.41</v>
      </c>
      <c r="DB176" s="35">
        <v>-65092.8</v>
      </c>
      <c r="DC176" s="35">
        <v>0.51</v>
      </c>
      <c r="DD176" s="35">
        <v>-3038.07</v>
      </c>
      <c r="DE176" s="35">
        <v>-3493.78</v>
      </c>
      <c r="DF176" s="32"/>
    </row>
    <row r="177" ht="13.5" customHeight="1">
      <c r="A177" s="32" t="s">
        <v>203</v>
      </c>
      <c r="B177" s="33">
        <v>43983.0</v>
      </c>
      <c r="C177" s="32" t="s">
        <v>136</v>
      </c>
      <c r="D177" s="32" t="s">
        <v>137</v>
      </c>
      <c r="E177" s="32" t="s">
        <v>138</v>
      </c>
      <c r="F177" s="32" t="s">
        <v>555</v>
      </c>
      <c r="G177" s="32" t="s">
        <v>128</v>
      </c>
      <c r="H177" s="32" t="s">
        <v>114</v>
      </c>
      <c r="I177" s="34">
        <v>44008.0</v>
      </c>
      <c r="J177" s="34">
        <v>44009.0</v>
      </c>
      <c r="K177" s="32">
        <f t="shared" si="1"/>
        <v>1</v>
      </c>
      <c r="L177" s="32">
        <v>1.0</v>
      </c>
      <c r="M177" s="32">
        <f t="shared" si="2"/>
        <v>0</v>
      </c>
      <c r="N177" s="34">
        <v>44011.0</v>
      </c>
      <c r="O177" s="34">
        <v>44032.0</v>
      </c>
      <c r="P177" s="32">
        <f t="shared" si="3"/>
        <v>21</v>
      </c>
      <c r="Q177" s="32">
        <v>90.0</v>
      </c>
      <c r="R177" s="32">
        <f t="shared" si="4"/>
        <v>-69</v>
      </c>
      <c r="S177" s="32" t="s">
        <v>556</v>
      </c>
      <c r="T177" s="32" t="s">
        <v>557</v>
      </c>
      <c r="U177" s="32" t="s">
        <v>117</v>
      </c>
      <c r="V177" s="32" t="s">
        <v>147</v>
      </c>
      <c r="W177" s="32" t="s">
        <v>133</v>
      </c>
      <c r="X177" s="32" t="s">
        <v>168</v>
      </c>
      <c r="Y177" s="32">
        <v>2021.0</v>
      </c>
      <c r="Z177" s="32" t="s">
        <v>135</v>
      </c>
      <c r="AA177" s="32">
        <v>2498.0</v>
      </c>
      <c r="AB177" s="32">
        <v>16.0</v>
      </c>
      <c r="AC177" s="32">
        <v>0.0</v>
      </c>
      <c r="AD177" s="35">
        <v>400956.52</v>
      </c>
      <c r="AE177" s="35">
        <v>69496.3</v>
      </c>
      <c r="AF177" s="36">
        <v>0.17</v>
      </c>
      <c r="AG177" s="35">
        <v>27424.56</v>
      </c>
      <c r="AH177" s="35">
        <v>2112.0</v>
      </c>
      <c r="AI177" s="32">
        <v>7.75</v>
      </c>
      <c r="AJ177" s="35">
        <v>168402.0</v>
      </c>
      <c r="AK177" s="32">
        <v>42.0</v>
      </c>
      <c r="AL177" s="34">
        <v>44032.0</v>
      </c>
      <c r="AM177" s="34">
        <v>45858.0</v>
      </c>
      <c r="AN177" s="32">
        <v>60.0</v>
      </c>
      <c r="AO177" s="32">
        <v>2000.0</v>
      </c>
      <c r="AP177" s="32">
        <v>120000.0</v>
      </c>
      <c r="AQ177" s="34">
        <v>46234.0</v>
      </c>
      <c r="AR177" s="32">
        <v>54221.0</v>
      </c>
      <c r="AS177" s="32">
        <v>56009.0</v>
      </c>
      <c r="AT177" s="32">
        <v>1788.0</v>
      </c>
      <c r="AU177" s="32">
        <v>55912.0</v>
      </c>
      <c r="AV177" s="32">
        <v>1242.0</v>
      </c>
      <c r="AW177" s="35">
        <v>5750.95</v>
      </c>
      <c r="AX177" s="35">
        <v>1135.6</v>
      </c>
      <c r="AY177" s="35">
        <v>125.0</v>
      </c>
      <c r="AZ177" s="35">
        <v>291.0</v>
      </c>
      <c r="BA177" s="35">
        <v>1219.65</v>
      </c>
      <c r="BB177" s="35">
        <v>8522.2</v>
      </c>
      <c r="BC177" s="35">
        <v>1278.33</v>
      </c>
      <c r="BD177" s="35">
        <v>9800.53</v>
      </c>
      <c r="BE177" s="34">
        <v>45748.0</v>
      </c>
      <c r="BF177" s="34">
        <v>45838.0</v>
      </c>
      <c r="BG177" s="32">
        <v>50871.0</v>
      </c>
      <c r="BH177" s="32">
        <v>56009.0</v>
      </c>
      <c r="BI177" s="32">
        <v>5138.0</v>
      </c>
      <c r="BJ177" s="32">
        <v>6000.0</v>
      </c>
      <c r="BK177" s="32">
        <v>-862.0</v>
      </c>
      <c r="BL177" s="35">
        <v>0.63</v>
      </c>
      <c r="BM177" s="35">
        <v>2.31</v>
      </c>
      <c r="BN177" s="35">
        <v>0.0</v>
      </c>
      <c r="BO177" s="35">
        <v>0.0</v>
      </c>
      <c r="BP177" s="35">
        <v>0.0</v>
      </c>
      <c r="BQ177" s="35">
        <v>-72.41</v>
      </c>
      <c r="BR177" s="35">
        <v>0.0</v>
      </c>
      <c r="BS177" s="35">
        <v>0.0</v>
      </c>
      <c r="BT177" s="35">
        <v>0.0</v>
      </c>
      <c r="BU177" s="35">
        <v>0.0</v>
      </c>
      <c r="BV177" s="35">
        <v>0.0</v>
      </c>
      <c r="BW177" s="35">
        <v>0.0</v>
      </c>
      <c r="BX177" s="35">
        <v>0.0</v>
      </c>
      <c r="BY177" s="35">
        <v>2615.89</v>
      </c>
      <c r="BZ177" s="32">
        <v>0.0</v>
      </c>
      <c r="CA177" s="35">
        <v>0.0</v>
      </c>
      <c r="CB177" s="32">
        <v>0.0</v>
      </c>
      <c r="CC177" s="35">
        <v>0.0</v>
      </c>
      <c r="CD177" s="35">
        <v>0.0</v>
      </c>
      <c r="CE177" s="35">
        <v>0.0</v>
      </c>
      <c r="CF177" s="35">
        <v>0.0</v>
      </c>
      <c r="CG177" s="35">
        <v>0.0</v>
      </c>
      <c r="CH177" s="35">
        <v>9245.4</v>
      </c>
      <c r="CI177" s="35">
        <v>1205.92</v>
      </c>
      <c r="CJ177" s="35">
        <v>8039.48</v>
      </c>
      <c r="CK177" s="35">
        <v>4.5</v>
      </c>
      <c r="CL177" s="32">
        <v>0.0</v>
      </c>
      <c r="CM177" s="32">
        <v>0.0</v>
      </c>
      <c r="CN177" s="32">
        <v>0.0</v>
      </c>
      <c r="CO177" s="32">
        <v>100.0</v>
      </c>
      <c r="CP177" s="34"/>
      <c r="CQ177" s="32">
        <v>0.0</v>
      </c>
      <c r="CR177" s="32">
        <v>0.0</v>
      </c>
      <c r="CS177" s="32">
        <v>0.0</v>
      </c>
      <c r="CT177" s="32">
        <v>-35468.0</v>
      </c>
      <c r="CU177" s="34">
        <v>46295.0</v>
      </c>
      <c r="CV177" s="34">
        <v>46295.0</v>
      </c>
      <c r="CW177" s="32">
        <v>120097.0</v>
      </c>
      <c r="CX177" s="32" t="s">
        <v>122</v>
      </c>
      <c r="CY177" s="32" t="s">
        <v>123</v>
      </c>
      <c r="CZ177" s="35">
        <v>0.0</v>
      </c>
      <c r="DA177" s="35">
        <v>0.0</v>
      </c>
      <c r="DB177" s="35">
        <v>-5196.8</v>
      </c>
      <c r="DC177" s="35">
        <v>0.56</v>
      </c>
      <c r="DD177" s="35">
        <v>-482.72</v>
      </c>
      <c r="DE177" s="35">
        <v>-555.13</v>
      </c>
      <c r="DF177" s="32"/>
    </row>
    <row r="178" ht="13.5" customHeight="1">
      <c r="A178" s="32" t="s">
        <v>203</v>
      </c>
      <c r="B178" s="33">
        <v>43983.0</v>
      </c>
      <c r="C178" s="32" t="s">
        <v>109</v>
      </c>
      <c r="D178" s="32" t="s">
        <v>110</v>
      </c>
      <c r="E178" s="32" t="s">
        <v>111</v>
      </c>
      <c r="F178" s="32" t="s">
        <v>176</v>
      </c>
      <c r="G178" s="32" t="s">
        <v>140</v>
      </c>
      <c r="H178" s="32" t="s">
        <v>129</v>
      </c>
      <c r="I178" s="34">
        <v>44009.0</v>
      </c>
      <c r="J178" s="34">
        <v>44010.0</v>
      </c>
      <c r="K178" s="32">
        <f t="shared" si="1"/>
        <v>1</v>
      </c>
      <c r="L178" s="32">
        <v>1.0</v>
      </c>
      <c r="M178" s="32">
        <f t="shared" si="2"/>
        <v>0</v>
      </c>
      <c r="N178" s="34">
        <v>44012.0</v>
      </c>
      <c r="O178" s="34">
        <v>44033.0</v>
      </c>
      <c r="P178" s="32">
        <f t="shared" si="3"/>
        <v>21</v>
      </c>
      <c r="Q178" s="32">
        <v>90.0</v>
      </c>
      <c r="R178" s="32">
        <f t="shared" si="4"/>
        <v>-69</v>
      </c>
      <c r="S178" s="32" t="s">
        <v>558</v>
      </c>
      <c r="T178" s="32" t="s">
        <v>559</v>
      </c>
      <c r="U178" s="32" t="s">
        <v>117</v>
      </c>
      <c r="V178" s="32" t="s">
        <v>147</v>
      </c>
      <c r="W178" s="32" t="s">
        <v>182</v>
      </c>
      <c r="X178" s="32" t="s">
        <v>554</v>
      </c>
      <c r="Y178" s="32">
        <v>2021.0</v>
      </c>
      <c r="Z178" s="32" t="s">
        <v>135</v>
      </c>
      <c r="AA178" s="32">
        <v>2198.0</v>
      </c>
      <c r="AB178" s="32">
        <v>16.0</v>
      </c>
      <c r="AC178" s="32">
        <v>4.0</v>
      </c>
      <c r="AD178" s="35">
        <v>452957.0</v>
      </c>
      <c r="AE178" s="35">
        <v>111908.54</v>
      </c>
      <c r="AF178" s="36">
        <v>0.25</v>
      </c>
      <c r="AG178" s="35">
        <v>18873.08</v>
      </c>
      <c r="AH178" s="35">
        <v>2298.0</v>
      </c>
      <c r="AI178" s="32">
        <v>7.75</v>
      </c>
      <c r="AJ178" s="35">
        <v>68550.94</v>
      </c>
      <c r="AK178" s="32">
        <v>57.14</v>
      </c>
      <c r="AL178" s="34">
        <v>44033.0</v>
      </c>
      <c r="AM178" s="34">
        <v>45859.0</v>
      </c>
      <c r="AN178" s="32">
        <v>60.0</v>
      </c>
      <c r="AO178" s="32">
        <v>3000.0</v>
      </c>
      <c r="AP178" s="32">
        <v>176202.0</v>
      </c>
      <c r="AQ178" s="34">
        <v>46234.0</v>
      </c>
      <c r="AR178" s="32">
        <v>128417.0</v>
      </c>
      <c r="AS178" s="32">
        <v>132370.0</v>
      </c>
      <c r="AT178" s="32">
        <v>3953.0</v>
      </c>
      <c r="AU178" s="32">
        <v>132155.0</v>
      </c>
      <c r="AV178" s="32">
        <v>2937.0</v>
      </c>
      <c r="AW178" s="35">
        <v>5079.82</v>
      </c>
      <c r="AX178" s="35">
        <v>1845.0</v>
      </c>
      <c r="AY178" s="35">
        <v>125.0</v>
      </c>
      <c r="AZ178" s="35">
        <v>291.0</v>
      </c>
      <c r="BA178" s="35">
        <v>1254.3</v>
      </c>
      <c r="BB178" s="35">
        <v>8595.12</v>
      </c>
      <c r="BC178" s="35">
        <v>1289.27</v>
      </c>
      <c r="BD178" s="35">
        <v>9884.39</v>
      </c>
      <c r="BE178" s="34">
        <v>45748.0</v>
      </c>
      <c r="BF178" s="34">
        <v>45838.0</v>
      </c>
      <c r="BG178" s="32">
        <v>122119.0</v>
      </c>
      <c r="BH178" s="32">
        <v>132370.0</v>
      </c>
      <c r="BI178" s="32">
        <v>10251.0</v>
      </c>
      <c r="BJ178" s="32">
        <v>7000.0</v>
      </c>
      <c r="BK178" s="32">
        <v>3251.0</v>
      </c>
      <c r="BL178" s="35">
        <v>0.71</v>
      </c>
      <c r="BM178" s="35">
        <v>1.59</v>
      </c>
      <c r="BN178" s="35">
        <v>2308.21</v>
      </c>
      <c r="BO178" s="35">
        <v>5169.09</v>
      </c>
      <c r="BP178" s="35">
        <v>7477.3</v>
      </c>
      <c r="BQ178" s="35">
        <v>1121.6</v>
      </c>
      <c r="BR178" s="35">
        <v>8598.9</v>
      </c>
      <c r="BS178" s="35">
        <v>0.0</v>
      </c>
      <c r="BT178" s="35">
        <v>0.0</v>
      </c>
      <c r="BU178" s="35">
        <v>0.0</v>
      </c>
      <c r="BV178" s="35">
        <v>0.0</v>
      </c>
      <c r="BW178" s="35">
        <v>0.0</v>
      </c>
      <c r="BX178" s="35">
        <v>0.0</v>
      </c>
      <c r="BY178" s="35">
        <v>5700.98</v>
      </c>
      <c r="BZ178" s="32">
        <v>0.0</v>
      </c>
      <c r="CA178" s="35">
        <v>0.0</v>
      </c>
      <c r="CB178" s="32">
        <v>0.0</v>
      </c>
      <c r="CC178" s="35">
        <v>0.0</v>
      </c>
      <c r="CD178" s="35">
        <v>0.0</v>
      </c>
      <c r="CE178" s="35">
        <v>0.0</v>
      </c>
      <c r="CF178" s="35">
        <v>0.0</v>
      </c>
      <c r="CG178" s="35">
        <v>0.0</v>
      </c>
      <c r="CH178" s="35">
        <v>18483.29</v>
      </c>
      <c r="CI178" s="35">
        <v>2410.87</v>
      </c>
      <c r="CJ178" s="35">
        <v>16072.42</v>
      </c>
      <c r="CK178" s="35">
        <v>4.07</v>
      </c>
      <c r="CL178" s="32">
        <v>0.0</v>
      </c>
      <c r="CM178" s="32">
        <v>0.0</v>
      </c>
      <c r="CN178" s="32">
        <v>0.0</v>
      </c>
      <c r="CO178" s="32">
        <v>100.0</v>
      </c>
      <c r="CP178" s="34"/>
      <c r="CQ178" s="32">
        <v>0.0</v>
      </c>
      <c r="CR178" s="32">
        <v>0.0</v>
      </c>
      <c r="CS178" s="32">
        <v>0.0</v>
      </c>
      <c r="CT178" s="32">
        <v>41155.0</v>
      </c>
      <c r="CU178" s="34">
        <v>46295.0</v>
      </c>
      <c r="CV178" s="34">
        <v>46295.0</v>
      </c>
      <c r="CW178" s="32">
        <v>176417.0</v>
      </c>
      <c r="CX178" s="32" t="s">
        <v>122</v>
      </c>
      <c r="CY178" s="32" t="s">
        <v>123</v>
      </c>
      <c r="CZ178" s="35">
        <v>5330.81</v>
      </c>
      <c r="DA178" s="35">
        <v>17129.95</v>
      </c>
      <c r="DB178" s="35">
        <v>-863.04</v>
      </c>
      <c r="DC178" s="35">
        <v>0.62</v>
      </c>
      <c r="DD178" s="35">
        <v>0.0</v>
      </c>
      <c r="DE178" s="35">
        <v>0.0</v>
      </c>
      <c r="DF178" s="32"/>
    </row>
    <row r="179" ht="13.5" customHeight="1">
      <c r="A179" s="32" t="s">
        <v>203</v>
      </c>
      <c r="B179" s="33">
        <v>43983.0</v>
      </c>
      <c r="C179" s="32" t="s">
        <v>124</v>
      </c>
      <c r="D179" s="32" t="s">
        <v>125</v>
      </c>
      <c r="E179" s="32" t="s">
        <v>126</v>
      </c>
      <c r="F179" s="32" t="s">
        <v>235</v>
      </c>
      <c r="G179" s="32" t="s">
        <v>128</v>
      </c>
      <c r="H179" s="32" t="s">
        <v>141</v>
      </c>
      <c r="I179" s="34">
        <v>44010.0</v>
      </c>
      <c r="J179" s="34">
        <v>44011.0</v>
      </c>
      <c r="K179" s="32">
        <f t="shared" si="1"/>
        <v>1</v>
      </c>
      <c r="L179" s="32">
        <v>1.0</v>
      </c>
      <c r="M179" s="32">
        <f t="shared" si="2"/>
        <v>0</v>
      </c>
      <c r="N179" s="34">
        <v>44003.0</v>
      </c>
      <c r="O179" s="34">
        <v>44034.0</v>
      </c>
      <c r="P179" s="32">
        <f t="shared" si="3"/>
        <v>31</v>
      </c>
      <c r="Q179" s="32">
        <v>90.0</v>
      </c>
      <c r="R179" s="32">
        <f t="shared" si="4"/>
        <v>-59</v>
      </c>
      <c r="S179" s="32" t="s">
        <v>560</v>
      </c>
      <c r="T179" s="32" t="s">
        <v>561</v>
      </c>
      <c r="U179" s="32" t="s">
        <v>117</v>
      </c>
      <c r="V179" s="32" t="s">
        <v>147</v>
      </c>
      <c r="W179" s="32" t="s">
        <v>133</v>
      </c>
      <c r="X179" s="32" t="s">
        <v>541</v>
      </c>
      <c r="Y179" s="32">
        <v>2021.0</v>
      </c>
      <c r="Z179" s="32" t="s">
        <v>135</v>
      </c>
      <c r="AA179" s="32">
        <v>2498.0</v>
      </c>
      <c r="AB179" s="32">
        <v>16.0</v>
      </c>
      <c r="AC179" s="32">
        <v>6.0</v>
      </c>
      <c r="AD179" s="35">
        <v>450347.83</v>
      </c>
      <c r="AE179" s="35">
        <v>74443.27</v>
      </c>
      <c r="AF179" s="36">
        <v>0.17</v>
      </c>
      <c r="AG179" s="35">
        <v>27377.29</v>
      </c>
      <c r="AH179" s="35">
        <v>2112.0</v>
      </c>
      <c r="AI179" s="32">
        <v>7.75</v>
      </c>
      <c r="AJ179" s="35">
        <v>181969.12</v>
      </c>
      <c r="AK179" s="32">
        <v>67.84</v>
      </c>
      <c r="AL179" s="34">
        <v>44034.0</v>
      </c>
      <c r="AM179" s="34">
        <v>45860.0</v>
      </c>
      <c r="AN179" s="32">
        <v>60.0</v>
      </c>
      <c r="AO179" s="32">
        <v>3000.0</v>
      </c>
      <c r="AP179" s="32">
        <v>166951.0</v>
      </c>
      <c r="AQ179" s="34">
        <v>46265.0</v>
      </c>
      <c r="AR179" s="32">
        <v>113060.0</v>
      </c>
      <c r="AS179" s="32">
        <v>116231.0</v>
      </c>
      <c r="AT179" s="32">
        <v>3171.0</v>
      </c>
      <c r="AU179" s="32">
        <v>116190.0</v>
      </c>
      <c r="AV179" s="32">
        <v>2641.0</v>
      </c>
      <c r="AW179" s="35">
        <v>5498.76</v>
      </c>
      <c r="AX179" s="35">
        <v>2154.0</v>
      </c>
      <c r="AY179" s="35">
        <v>125.0</v>
      </c>
      <c r="AZ179" s="35">
        <v>291.0</v>
      </c>
      <c r="BA179" s="35">
        <v>1083.24</v>
      </c>
      <c r="BB179" s="35">
        <v>9152.0</v>
      </c>
      <c r="BC179" s="35">
        <v>1372.8</v>
      </c>
      <c r="BD179" s="35">
        <v>10524.8</v>
      </c>
      <c r="BE179" s="34">
        <v>45748.0</v>
      </c>
      <c r="BF179" s="34">
        <v>45838.0</v>
      </c>
      <c r="BG179" s="32">
        <v>108063.0</v>
      </c>
      <c r="BH179" s="32">
        <v>116231.0</v>
      </c>
      <c r="BI179" s="32">
        <v>8168.0</v>
      </c>
      <c r="BJ179" s="32">
        <v>9000.0</v>
      </c>
      <c r="BK179" s="32">
        <v>-832.0</v>
      </c>
      <c r="BL179" s="35">
        <v>0.83</v>
      </c>
      <c r="BM179" s="35">
        <v>1.48</v>
      </c>
      <c r="BN179" s="35">
        <v>0.0</v>
      </c>
      <c r="BO179" s="35">
        <v>0.0</v>
      </c>
      <c r="BP179" s="35">
        <v>0.0</v>
      </c>
      <c r="BQ179" s="35">
        <v>-89.86</v>
      </c>
      <c r="BR179" s="35">
        <v>0.0</v>
      </c>
      <c r="BS179" s="35">
        <v>0.0</v>
      </c>
      <c r="BT179" s="35">
        <v>0.0</v>
      </c>
      <c r="BU179" s="35">
        <v>0.0</v>
      </c>
      <c r="BV179" s="35">
        <v>0.0</v>
      </c>
      <c r="BW179" s="35">
        <v>0.0</v>
      </c>
      <c r="BX179" s="35">
        <v>0.0</v>
      </c>
      <c r="BY179" s="35">
        <v>5894.12</v>
      </c>
      <c r="BZ179" s="32">
        <v>0.0</v>
      </c>
      <c r="CA179" s="35">
        <v>0.0</v>
      </c>
      <c r="CB179" s="32">
        <v>0.0</v>
      </c>
      <c r="CC179" s="35">
        <v>0.0</v>
      </c>
      <c r="CD179" s="35">
        <v>0.0</v>
      </c>
      <c r="CE179" s="35">
        <v>0.0</v>
      </c>
      <c r="CF179" s="35">
        <v>0.0</v>
      </c>
      <c r="CG179" s="35">
        <v>0.0</v>
      </c>
      <c r="CH179" s="35">
        <v>9835.9</v>
      </c>
      <c r="CI179" s="35">
        <v>1282.94</v>
      </c>
      <c r="CJ179" s="35">
        <v>8552.96</v>
      </c>
      <c r="CK179" s="35">
        <v>2.7</v>
      </c>
      <c r="CL179" s="32">
        <v>0.0</v>
      </c>
      <c r="CM179" s="32">
        <v>0.0</v>
      </c>
      <c r="CN179" s="32">
        <v>0.0</v>
      </c>
      <c r="CO179" s="32">
        <v>100.0</v>
      </c>
      <c r="CP179" s="34"/>
      <c r="CQ179" s="32">
        <v>0.0</v>
      </c>
      <c r="CR179" s="32">
        <v>0.0</v>
      </c>
      <c r="CS179" s="32">
        <v>0.0</v>
      </c>
      <c r="CT179" s="32">
        <v>9481.0</v>
      </c>
      <c r="CU179" s="34">
        <v>46326.0</v>
      </c>
      <c r="CV179" s="34">
        <v>46326.0</v>
      </c>
      <c r="CW179" s="32">
        <v>166992.0</v>
      </c>
      <c r="CX179" s="32" t="s">
        <v>122</v>
      </c>
      <c r="CY179" s="32" t="s">
        <v>123</v>
      </c>
      <c r="CZ179" s="35">
        <v>1440.05</v>
      </c>
      <c r="DA179" s="35">
        <v>2567.8</v>
      </c>
      <c r="DB179" s="35">
        <v>-2584.08</v>
      </c>
      <c r="DC179" s="35">
        <v>0.72</v>
      </c>
      <c r="DD179" s="35">
        <v>-599.04</v>
      </c>
      <c r="DE179" s="35">
        <v>-688.9</v>
      </c>
      <c r="DF179" s="32"/>
    </row>
    <row r="180" ht="13.5" customHeight="1">
      <c r="A180" s="32" t="s">
        <v>203</v>
      </c>
      <c r="B180" s="33">
        <v>43983.0</v>
      </c>
      <c r="C180" s="32" t="s">
        <v>136</v>
      </c>
      <c r="D180" s="32" t="s">
        <v>137</v>
      </c>
      <c r="E180" s="32" t="s">
        <v>138</v>
      </c>
      <c r="F180" s="32" t="s">
        <v>235</v>
      </c>
      <c r="G180" s="32" t="s">
        <v>128</v>
      </c>
      <c r="H180" s="32" t="s">
        <v>114</v>
      </c>
      <c r="I180" s="34">
        <v>44011.0</v>
      </c>
      <c r="J180" s="34">
        <v>44012.0</v>
      </c>
      <c r="K180" s="32">
        <f t="shared" si="1"/>
        <v>1</v>
      </c>
      <c r="L180" s="32">
        <v>1.0</v>
      </c>
      <c r="M180" s="32">
        <f t="shared" si="2"/>
        <v>0</v>
      </c>
      <c r="N180" s="34">
        <v>44003.0</v>
      </c>
      <c r="O180" s="34">
        <v>44035.0</v>
      </c>
      <c r="P180" s="32">
        <f t="shared" si="3"/>
        <v>32</v>
      </c>
      <c r="Q180" s="32">
        <v>90.0</v>
      </c>
      <c r="R180" s="32">
        <f t="shared" si="4"/>
        <v>-58</v>
      </c>
      <c r="S180" s="32" t="s">
        <v>562</v>
      </c>
      <c r="T180" s="32" t="s">
        <v>563</v>
      </c>
      <c r="U180" s="32" t="s">
        <v>117</v>
      </c>
      <c r="V180" s="32" t="s">
        <v>190</v>
      </c>
      <c r="W180" s="32" t="s">
        <v>194</v>
      </c>
      <c r="X180" s="32" t="s">
        <v>387</v>
      </c>
      <c r="Y180" s="32">
        <v>2023.0</v>
      </c>
      <c r="Z180" s="32" t="s">
        <v>121</v>
      </c>
      <c r="AA180" s="32">
        <v>1498.0</v>
      </c>
      <c r="AB180" s="32">
        <v>16.0</v>
      </c>
      <c r="AC180" s="32">
        <v>0.0</v>
      </c>
      <c r="AD180" s="35">
        <v>258173.91</v>
      </c>
      <c r="AE180" s="35">
        <v>11113.04</v>
      </c>
      <c r="AF180" s="36">
        <v>0.04</v>
      </c>
      <c r="AG180" s="35">
        <v>5041.86</v>
      </c>
      <c r="AH180" s="35">
        <v>1754.5</v>
      </c>
      <c r="AI180" s="32">
        <v>7.75</v>
      </c>
      <c r="AJ180" s="35">
        <v>105851.0</v>
      </c>
      <c r="AK180" s="32">
        <v>44.91</v>
      </c>
      <c r="AL180" s="34">
        <v>44035.0</v>
      </c>
      <c r="AM180" s="34">
        <v>45861.0</v>
      </c>
      <c r="AN180" s="32">
        <v>60.0</v>
      </c>
      <c r="AO180" s="32">
        <v>1500.0</v>
      </c>
      <c r="AP180" s="32">
        <v>84567.0</v>
      </c>
      <c r="AQ180" s="34">
        <v>46234.0</v>
      </c>
      <c r="AR180" s="32">
        <v>22227.0</v>
      </c>
      <c r="AS180" s="32">
        <v>23427.0</v>
      </c>
      <c r="AT180" s="32">
        <v>1200.0</v>
      </c>
      <c r="AU180" s="32">
        <v>23358.0</v>
      </c>
      <c r="AV180" s="32">
        <v>1112.0</v>
      </c>
      <c r="AW180" s="35">
        <v>4400.16</v>
      </c>
      <c r="AX180" s="35">
        <v>975.0</v>
      </c>
      <c r="AY180" s="35">
        <v>115.0</v>
      </c>
      <c r="AZ180" s="35">
        <v>290.99</v>
      </c>
      <c r="BA180" s="35">
        <v>1083.24</v>
      </c>
      <c r="BB180" s="35">
        <v>6864.39</v>
      </c>
      <c r="BC180" s="35">
        <v>1029.66</v>
      </c>
      <c r="BD180" s="35">
        <v>7894.05</v>
      </c>
      <c r="BE180" s="34">
        <v>45748.0</v>
      </c>
      <c r="BF180" s="34">
        <v>45838.0</v>
      </c>
      <c r="BG180" s="32">
        <v>20012.0</v>
      </c>
      <c r="BH180" s="32">
        <v>23427.0</v>
      </c>
      <c r="BI180" s="32">
        <v>3415.0</v>
      </c>
      <c r="BJ180" s="32">
        <v>4500.0</v>
      </c>
      <c r="BK180" s="32">
        <v>-1085.0</v>
      </c>
      <c r="BL180" s="35">
        <v>0.75</v>
      </c>
      <c r="BM180" s="35">
        <v>1.8</v>
      </c>
      <c r="BN180" s="35">
        <v>0.0</v>
      </c>
      <c r="BO180" s="35">
        <v>0.0</v>
      </c>
      <c r="BP180" s="35">
        <v>0.0</v>
      </c>
      <c r="BQ180" s="35">
        <v>-105.79</v>
      </c>
      <c r="BR180" s="35">
        <v>0.0</v>
      </c>
      <c r="BS180" s="35">
        <v>0.0</v>
      </c>
      <c r="BT180" s="35">
        <v>0.0</v>
      </c>
      <c r="BU180" s="35">
        <v>0.0</v>
      </c>
      <c r="BV180" s="35">
        <v>0.0</v>
      </c>
      <c r="BW180" s="35">
        <v>0.0</v>
      </c>
      <c r="BX180" s="35">
        <v>0.0</v>
      </c>
      <c r="BY180" s="35">
        <v>1652.69</v>
      </c>
      <c r="BZ180" s="32">
        <v>0.0</v>
      </c>
      <c r="CA180" s="35">
        <v>0.0</v>
      </c>
      <c r="CB180" s="32">
        <v>0.0</v>
      </c>
      <c r="CC180" s="35">
        <v>0.0</v>
      </c>
      <c r="CD180" s="35">
        <v>0.0</v>
      </c>
      <c r="CE180" s="35">
        <v>0.0</v>
      </c>
      <c r="CF180" s="35">
        <v>0.0</v>
      </c>
      <c r="CG180" s="35">
        <v>0.0</v>
      </c>
      <c r="CH180" s="35">
        <v>7083.01</v>
      </c>
      <c r="CI180" s="35">
        <v>923.87</v>
      </c>
      <c r="CJ180" s="35">
        <v>6159.14</v>
      </c>
      <c r="CK180" s="35">
        <v>5.13</v>
      </c>
      <c r="CL180" s="32">
        <v>0.0</v>
      </c>
      <c r="CM180" s="32">
        <v>0.0</v>
      </c>
      <c r="CN180" s="32">
        <v>0.0</v>
      </c>
      <c r="CO180" s="32">
        <v>100.0</v>
      </c>
      <c r="CP180" s="34"/>
      <c r="CQ180" s="32">
        <v>0.0</v>
      </c>
      <c r="CR180" s="32">
        <v>0.0</v>
      </c>
      <c r="CS180" s="32">
        <v>0.0</v>
      </c>
      <c r="CT180" s="32">
        <v>-16032.0</v>
      </c>
      <c r="CU180" s="34">
        <v>47026.0</v>
      </c>
      <c r="CV180" s="34">
        <v>47026.0</v>
      </c>
      <c r="CW180" s="32">
        <v>84636.0</v>
      </c>
      <c r="CX180" s="32" t="s">
        <v>122</v>
      </c>
      <c r="CY180" s="32" t="s">
        <v>123</v>
      </c>
      <c r="CZ180" s="35">
        <v>0.0</v>
      </c>
      <c r="DA180" s="35">
        <v>0.0</v>
      </c>
      <c r="DB180" s="35">
        <v>-2624.7</v>
      </c>
      <c r="DC180" s="35">
        <v>0.65</v>
      </c>
      <c r="DD180" s="35">
        <v>-705.25</v>
      </c>
      <c r="DE180" s="35">
        <v>-811.04</v>
      </c>
      <c r="DF180" s="32"/>
    </row>
    <row r="181" ht="13.5" customHeight="1">
      <c r="A181" s="32" t="s">
        <v>203</v>
      </c>
      <c r="B181" s="33">
        <v>43983.0</v>
      </c>
      <c r="C181" s="32" t="s">
        <v>109</v>
      </c>
      <c r="D181" s="32" t="s">
        <v>110</v>
      </c>
      <c r="E181" s="32" t="s">
        <v>111</v>
      </c>
      <c r="F181" s="32" t="s">
        <v>533</v>
      </c>
      <c r="G181" s="32" t="s">
        <v>128</v>
      </c>
      <c r="H181" s="32" t="s">
        <v>129</v>
      </c>
      <c r="I181" s="34">
        <v>44012.0</v>
      </c>
      <c r="J181" s="34">
        <v>44013.0</v>
      </c>
      <c r="K181" s="32">
        <f t="shared" si="1"/>
        <v>1</v>
      </c>
      <c r="L181" s="32">
        <v>1.0</v>
      </c>
      <c r="M181" s="32">
        <f t="shared" si="2"/>
        <v>0</v>
      </c>
      <c r="N181" s="34">
        <v>44004.0</v>
      </c>
      <c r="O181" s="34">
        <v>44036.0</v>
      </c>
      <c r="P181" s="32">
        <f t="shared" si="3"/>
        <v>32</v>
      </c>
      <c r="Q181" s="32">
        <v>90.0</v>
      </c>
      <c r="R181" s="32">
        <f t="shared" si="4"/>
        <v>-58</v>
      </c>
      <c r="S181" s="32" t="s">
        <v>564</v>
      </c>
      <c r="T181" s="32" t="s">
        <v>565</v>
      </c>
      <c r="U181" s="32" t="s">
        <v>117</v>
      </c>
      <c r="V181" s="32" t="s">
        <v>147</v>
      </c>
      <c r="W181" s="32" t="s">
        <v>133</v>
      </c>
      <c r="X181" s="32" t="s">
        <v>541</v>
      </c>
      <c r="Y181" s="32">
        <v>2021.0</v>
      </c>
      <c r="Z181" s="32" t="s">
        <v>135</v>
      </c>
      <c r="AA181" s="32">
        <v>2498.0</v>
      </c>
      <c r="AB181" s="32">
        <v>16.0</v>
      </c>
      <c r="AC181" s="32">
        <v>2.0</v>
      </c>
      <c r="AD181" s="35">
        <v>463913.04</v>
      </c>
      <c r="AE181" s="35">
        <v>88008.48</v>
      </c>
      <c r="AF181" s="36">
        <v>0.19</v>
      </c>
      <c r="AG181" s="35">
        <v>27362.01</v>
      </c>
      <c r="AH181" s="35">
        <v>2112.0</v>
      </c>
      <c r="AI181" s="32">
        <v>7.75</v>
      </c>
      <c r="AJ181" s="35">
        <v>198323.0</v>
      </c>
      <c r="AK181" s="32">
        <v>68.04</v>
      </c>
      <c r="AL181" s="34">
        <v>44036.0</v>
      </c>
      <c r="AM181" s="34">
        <v>45862.0</v>
      </c>
      <c r="AN181" s="32">
        <v>60.0</v>
      </c>
      <c r="AO181" s="32">
        <v>2000.0</v>
      </c>
      <c r="AP181" s="32">
        <v>109941.0</v>
      </c>
      <c r="AQ181" s="34">
        <v>46234.0</v>
      </c>
      <c r="AR181" s="32">
        <v>69642.0</v>
      </c>
      <c r="AS181" s="32">
        <v>73184.0</v>
      </c>
      <c r="AT181" s="32">
        <v>3542.0</v>
      </c>
      <c r="AU181" s="32">
        <v>73141.0</v>
      </c>
      <c r="AV181" s="32">
        <v>1625.0</v>
      </c>
      <c r="AW181" s="35">
        <v>6012.32</v>
      </c>
      <c r="AX181" s="35">
        <v>1920.0</v>
      </c>
      <c r="AY181" s="35">
        <v>125.0</v>
      </c>
      <c r="AZ181" s="35">
        <v>291.0</v>
      </c>
      <c r="BA181" s="35">
        <v>985.68</v>
      </c>
      <c r="BB181" s="35">
        <v>9334.0</v>
      </c>
      <c r="BC181" s="35">
        <v>1400.1</v>
      </c>
      <c r="BD181" s="35">
        <v>10734.1</v>
      </c>
      <c r="BE181" s="34">
        <v>45748.0</v>
      </c>
      <c r="BF181" s="34">
        <v>45838.0</v>
      </c>
      <c r="BG181" s="32">
        <v>67412.0</v>
      </c>
      <c r="BH181" s="32">
        <v>73184.0</v>
      </c>
      <c r="BI181" s="32">
        <v>5772.0</v>
      </c>
      <c r="BJ181" s="32">
        <v>6000.0</v>
      </c>
      <c r="BK181" s="32">
        <v>-228.0</v>
      </c>
      <c r="BL181" s="35">
        <v>1.1</v>
      </c>
      <c r="BM181" s="35">
        <v>2.41</v>
      </c>
      <c r="BN181" s="35">
        <v>0.0</v>
      </c>
      <c r="BO181" s="35">
        <v>0.0</v>
      </c>
      <c r="BP181" s="35">
        <v>0.0</v>
      </c>
      <c r="BQ181" s="35">
        <v>0.0</v>
      </c>
      <c r="BR181" s="35">
        <v>0.0</v>
      </c>
      <c r="BS181" s="35">
        <v>0.0</v>
      </c>
      <c r="BT181" s="35">
        <v>0.0</v>
      </c>
      <c r="BU181" s="35">
        <v>0.0</v>
      </c>
      <c r="BV181" s="35">
        <v>0.0</v>
      </c>
      <c r="BW181" s="35">
        <v>0.0</v>
      </c>
      <c r="BX181" s="35">
        <v>0.0</v>
      </c>
      <c r="BY181" s="35">
        <v>5768.46</v>
      </c>
      <c r="BZ181" s="32">
        <v>0.0</v>
      </c>
      <c r="CA181" s="35">
        <v>85.0</v>
      </c>
      <c r="CB181" s="32">
        <v>0.0</v>
      </c>
      <c r="CC181" s="35">
        <v>0.0</v>
      </c>
      <c r="CD181" s="35">
        <v>0.0</v>
      </c>
      <c r="CE181" s="35">
        <v>0.0</v>
      </c>
      <c r="CF181" s="35">
        <v>0.0</v>
      </c>
      <c r="CG181" s="35">
        <v>0.0</v>
      </c>
      <c r="CH181" s="35">
        <v>10734.1</v>
      </c>
      <c r="CI181" s="35">
        <v>1400.1</v>
      </c>
      <c r="CJ181" s="35">
        <v>9334.0</v>
      </c>
      <c r="CK181" s="35">
        <v>2.64</v>
      </c>
      <c r="CL181" s="32">
        <v>0.0</v>
      </c>
      <c r="CM181" s="32">
        <v>0.0</v>
      </c>
      <c r="CN181" s="32">
        <v>0.0</v>
      </c>
      <c r="CO181" s="32">
        <v>100.0</v>
      </c>
      <c r="CP181" s="34"/>
      <c r="CQ181" s="32">
        <v>0.0</v>
      </c>
      <c r="CR181" s="32">
        <v>0.0</v>
      </c>
      <c r="CS181" s="32">
        <v>0.0</v>
      </c>
      <c r="CT181" s="32">
        <v>-77122.0</v>
      </c>
      <c r="CU181" s="34">
        <v>46295.0</v>
      </c>
      <c r="CV181" s="34">
        <v>46295.0</v>
      </c>
      <c r="CW181" s="32">
        <v>109984.0</v>
      </c>
      <c r="CX181" s="32" t="s">
        <v>122</v>
      </c>
      <c r="CY181" s="32" t="s">
        <v>123</v>
      </c>
      <c r="CZ181" s="35">
        <v>0.0</v>
      </c>
      <c r="DA181" s="35">
        <v>0.0</v>
      </c>
      <c r="DB181" s="35">
        <v>-5545.92</v>
      </c>
      <c r="DC181" s="35">
        <v>0.96</v>
      </c>
      <c r="DD181" s="35">
        <v>0.0</v>
      </c>
      <c r="DE181" s="35">
        <v>0.0</v>
      </c>
      <c r="DF181" s="32"/>
    </row>
    <row r="182" ht="13.5" customHeight="1">
      <c r="A182" s="32" t="s">
        <v>203</v>
      </c>
      <c r="B182" s="33">
        <v>43983.0</v>
      </c>
      <c r="C182" s="32" t="s">
        <v>124</v>
      </c>
      <c r="D182" s="32" t="s">
        <v>125</v>
      </c>
      <c r="E182" s="32" t="s">
        <v>126</v>
      </c>
      <c r="F182" s="32" t="s">
        <v>235</v>
      </c>
      <c r="G182" s="32" t="s">
        <v>128</v>
      </c>
      <c r="H182" s="32" t="s">
        <v>141</v>
      </c>
      <c r="I182" s="34">
        <v>44003.0</v>
      </c>
      <c r="J182" s="34">
        <v>44014.0</v>
      </c>
      <c r="K182" s="32">
        <f t="shared" si="1"/>
        <v>11</v>
      </c>
      <c r="L182" s="32">
        <v>1.0</v>
      </c>
      <c r="M182" s="32">
        <f t="shared" si="2"/>
        <v>10</v>
      </c>
      <c r="N182" s="34">
        <v>44005.0</v>
      </c>
      <c r="O182" s="34">
        <v>44190.0</v>
      </c>
      <c r="P182" s="32">
        <f t="shared" si="3"/>
        <v>185</v>
      </c>
      <c r="Q182" s="32">
        <v>90.0</v>
      </c>
      <c r="R182" s="32">
        <f t="shared" si="4"/>
        <v>95</v>
      </c>
      <c r="S182" s="32" t="s">
        <v>566</v>
      </c>
      <c r="T182" s="32" t="s">
        <v>567</v>
      </c>
      <c r="U182" s="32" t="s">
        <v>117</v>
      </c>
      <c r="V182" s="32" t="s">
        <v>536</v>
      </c>
      <c r="W182" s="32" t="s">
        <v>182</v>
      </c>
      <c r="X182" s="32" t="s">
        <v>568</v>
      </c>
      <c r="Y182" s="32">
        <v>2024.0</v>
      </c>
      <c r="Z182" s="32" t="s">
        <v>135</v>
      </c>
      <c r="AA182" s="32">
        <v>1998.0</v>
      </c>
      <c r="AB182" s="32">
        <v>16.0</v>
      </c>
      <c r="AC182" s="32">
        <v>0.0</v>
      </c>
      <c r="AD182" s="35">
        <v>495739.0</v>
      </c>
      <c r="AE182" s="35">
        <v>24439.97</v>
      </c>
      <c r="AF182" s="36">
        <v>0.05</v>
      </c>
      <c r="AG182" s="35">
        <v>150637.5</v>
      </c>
      <c r="AH182" s="35">
        <v>2322.0</v>
      </c>
      <c r="AI182" s="32">
        <v>7.75</v>
      </c>
      <c r="AJ182" s="35">
        <v>234783.0</v>
      </c>
      <c r="AK182" s="32">
        <v>51.58</v>
      </c>
      <c r="AL182" s="34">
        <v>44190.0</v>
      </c>
      <c r="AM182" s="34">
        <v>46016.0</v>
      </c>
      <c r="AN182" s="32">
        <v>60.0</v>
      </c>
      <c r="AO182" s="32">
        <v>1500.0</v>
      </c>
      <c r="AP182" s="32">
        <v>90523.0</v>
      </c>
      <c r="AQ182" s="34">
        <v>45869.0</v>
      </c>
      <c r="AR182" s="32">
        <v>16361.0</v>
      </c>
      <c r="AS182" s="32">
        <v>20647.0</v>
      </c>
      <c r="AT182" s="32">
        <v>4286.0</v>
      </c>
      <c r="AU182" s="32">
        <v>20318.0</v>
      </c>
      <c r="AV182" s="32">
        <v>2032.0</v>
      </c>
      <c r="AW182" s="35">
        <v>10271.96</v>
      </c>
      <c r="AX182" s="35">
        <v>1545.0</v>
      </c>
      <c r="AY182" s="35">
        <v>125.0</v>
      </c>
      <c r="AZ182" s="35">
        <v>291.0</v>
      </c>
      <c r="BA182" s="35">
        <v>1522.99</v>
      </c>
      <c r="BB182" s="35">
        <v>13755.95</v>
      </c>
      <c r="BC182" s="35">
        <v>2063.39</v>
      </c>
      <c r="BD182" s="35">
        <v>15819.34</v>
      </c>
      <c r="BE182" s="34">
        <v>45748.0</v>
      </c>
      <c r="BF182" s="34">
        <v>45838.0</v>
      </c>
      <c r="BG182" s="32">
        <v>11996.0</v>
      </c>
      <c r="BH182" s="32">
        <v>20647.0</v>
      </c>
      <c r="BI182" s="32">
        <v>8651.0</v>
      </c>
      <c r="BJ182" s="32">
        <v>4500.0</v>
      </c>
      <c r="BK182" s="32">
        <v>4151.0</v>
      </c>
      <c r="BL182" s="35">
        <v>0.81</v>
      </c>
      <c r="BM182" s="35">
        <v>2.87</v>
      </c>
      <c r="BN182" s="35">
        <v>3362.31</v>
      </c>
      <c r="BO182" s="35">
        <v>11913.37</v>
      </c>
      <c r="BP182" s="35">
        <v>15275.68</v>
      </c>
      <c r="BQ182" s="35">
        <v>2291.35</v>
      </c>
      <c r="BR182" s="35">
        <v>17567.03</v>
      </c>
      <c r="BS182" s="35">
        <v>0.0</v>
      </c>
      <c r="BT182" s="35">
        <v>0.0</v>
      </c>
      <c r="BU182" s="35">
        <v>0.0</v>
      </c>
      <c r="BV182" s="35">
        <v>0.0</v>
      </c>
      <c r="BW182" s="35">
        <v>0.0</v>
      </c>
      <c r="BX182" s="35">
        <v>0.0</v>
      </c>
      <c r="BY182" s="35">
        <v>8721.16</v>
      </c>
      <c r="BZ182" s="32">
        <v>0.0</v>
      </c>
      <c r="CA182" s="35">
        <v>0.0</v>
      </c>
      <c r="CB182" s="32">
        <v>0.0</v>
      </c>
      <c r="CC182" s="35">
        <v>0.0</v>
      </c>
      <c r="CD182" s="35">
        <v>0.0</v>
      </c>
      <c r="CE182" s="35">
        <v>0.0</v>
      </c>
      <c r="CF182" s="35">
        <v>0.0</v>
      </c>
      <c r="CG182" s="35">
        <v>0.0</v>
      </c>
      <c r="CH182" s="35">
        <v>33386.37</v>
      </c>
      <c r="CI182" s="35">
        <v>4354.74</v>
      </c>
      <c r="CJ182" s="35">
        <v>29031.63</v>
      </c>
      <c r="CK182" s="35">
        <v>6.77</v>
      </c>
      <c r="CL182" s="32">
        <v>0.0</v>
      </c>
      <c r="CM182" s="32">
        <v>0.0</v>
      </c>
      <c r="CN182" s="32">
        <v>0.0</v>
      </c>
      <c r="CO182" s="32">
        <v>100.0</v>
      </c>
      <c r="CP182" s="34"/>
      <c r="CQ182" s="32">
        <v>0.0</v>
      </c>
      <c r="CR182" s="32">
        <v>0.0</v>
      </c>
      <c r="CS182" s="32">
        <v>0.0</v>
      </c>
      <c r="CT182" s="32">
        <v>-1079.0</v>
      </c>
      <c r="CU182" s="34">
        <v>47361.0</v>
      </c>
      <c r="CV182" s="34">
        <v>47361.0</v>
      </c>
      <c r="CW182" s="32">
        <v>90852.0</v>
      </c>
      <c r="CX182" s="32" t="s">
        <v>122</v>
      </c>
      <c r="CY182" s="32" t="s">
        <v>123</v>
      </c>
      <c r="CZ182" s="35">
        <v>3362.31</v>
      </c>
      <c r="DA182" s="35">
        <v>11913.37</v>
      </c>
      <c r="DB182" s="35">
        <v>-3999.58</v>
      </c>
      <c r="DC182" s="35">
        <v>1.03</v>
      </c>
      <c r="DD182" s="35">
        <v>0.0</v>
      </c>
      <c r="DE182" s="35">
        <v>0.0</v>
      </c>
      <c r="DF182" s="32"/>
    </row>
    <row r="183" ht="13.5" customHeight="1">
      <c r="A183" s="32" t="s">
        <v>203</v>
      </c>
      <c r="B183" s="33">
        <v>43983.0</v>
      </c>
      <c r="C183" s="32" t="s">
        <v>136</v>
      </c>
      <c r="D183" s="32" t="s">
        <v>137</v>
      </c>
      <c r="E183" s="32" t="s">
        <v>138</v>
      </c>
      <c r="F183" s="32" t="s">
        <v>235</v>
      </c>
      <c r="G183" s="32" t="s">
        <v>128</v>
      </c>
      <c r="H183" s="32" t="s">
        <v>114</v>
      </c>
      <c r="I183" s="34">
        <v>44004.0</v>
      </c>
      <c r="J183" s="34">
        <v>44025.0</v>
      </c>
      <c r="K183" s="32">
        <f t="shared" si="1"/>
        <v>21</v>
      </c>
      <c r="L183" s="32">
        <v>1.0</v>
      </c>
      <c r="M183" s="32">
        <f t="shared" si="2"/>
        <v>20</v>
      </c>
      <c r="N183" s="34">
        <v>44006.0</v>
      </c>
      <c r="O183" s="34">
        <v>44038.0</v>
      </c>
      <c r="P183" s="32">
        <f t="shared" si="3"/>
        <v>32</v>
      </c>
      <c r="Q183" s="32">
        <v>90.0</v>
      </c>
      <c r="R183" s="32">
        <f t="shared" si="4"/>
        <v>-58</v>
      </c>
      <c r="S183" s="32" t="s">
        <v>569</v>
      </c>
      <c r="T183" s="32" t="s">
        <v>570</v>
      </c>
      <c r="U183" s="32" t="s">
        <v>117</v>
      </c>
      <c r="V183" s="32" t="s">
        <v>536</v>
      </c>
      <c r="W183" s="32" t="s">
        <v>182</v>
      </c>
      <c r="X183" s="32" t="s">
        <v>568</v>
      </c>
      <c r="Y183" s="32">
        <v>2024.0</v>
      </c>
      <c r="Z183" s="32" t="s">
        <v>135</v>
      </c>
      <c r="AA183" s="32">
        <v>1998.0</v>
      </c>
      <c r="AB183" s="32">
        <v>16.0</v>
      </c>
      <c r="AC183" s="32">
        <v>0.0</v>
      </c>
      <c r="AD183" s="35">
        <v>495739.0</v>
      </c>
      <c r="AE183" s="35">
        <v>24439.97</v>
      </c>
      <c r="AF183" s="36">
        <v>0.05</v>
      </c>
      <c r="AG183" s="35">
        <v>153533.57</v>
      </c>
      <c r="AH183" s="35">
        <v>2531.0</v>
      </c>
      <c r="AI183" s="32">
        <v>7.75</v>
      </c>
      <c r="AJ183" s="35">
        <v>234783.0</v>
      </c>
      <c r="AK183" s="32">
        <v>51.58</v>
      </c>
      <c r="AL183" s="34">
        <v>44038.0</v>
      </c>
      <c r="AM183" s="34">
        <v>45864.0</v>
      </c>
      <c r="AN183" s="32">
        <v>60.0</v>
      </c>
      <c r="AO183" s="32">
        <v>1500.0</v>
      </c>
      <c r="AP183" s="32">
        <v>88266.0</v>
      </c>
      <c r="AQ183" s="34">
        <v>45869.0</v>
      </c>
      <c r="AR183" s="32">
        <v>11101.0</v>
      </c>
      <c r="AS183" s="32">
        <v>13054.0</v>
      </c>
      <c r="AT183" s="32">
        <v>1953.0</v>
      </c>
      <c r="AU183" s="32">
        <v>12451.0</v>
      </c>
      <c r="AV183" s="32">
        <v>1245.0</v>
      </c>
      <c r="AW183" s="35">
        <v>10331.58</v>
      </c>
      <c r="AX183" s="35">
        <v>1560.0</v>
      </c>
      <c r="AY183" s="35">
        <v>125.0</v>
      </c>
      <c r="AZ183" s="35">
        <v>291.0</v>
      </c>
      <c r="BA183" s="35">
        <v>1522.99</v>
      </c>
      <c r="BB183" s="35">
        <v>13830.57</v>
      </c>
      <c r="BC183" s="35">
        <v>2074.59</v>
      </c>
      <c r="BD183" s="35">
        <v>15905.16</v>
      </c>
      <c r="BE183" s="34">
        <v>45748.0</v>
      </c>
      <c r="BF183" s="34">
        <v>45838.0</v>
      </c>
      <c r="BG183" s="32">
        <v>8723.0</v>
      </c>
      <c r="BH183" s="32">
        <v>13054.0</v>
      </c>
      <c r="BI183" s="32">
        <v>4331.0</v>
      </c>
      <c r="BJ183" s="32">
        <v>4500.0</v>
      </c>
      <c r="BK183" s="32">
        <v>-169.0</v>
      </c>
      <c r="BL183" s="35">
        <v>0.81</v>
      </c>
      <c r="BM183" s="35">
        <v>2.94</v>
      </c>
      <c r="BN183" s="35">
        <v>0.0</v>
      </c>
      <c r="BO183" s="35">
        <v>0.0</v>
      </c>
      <c r="BP183" s="35">
        <v>0.0</v>
      </c>
      <c r="BQ183" s="35">
        <v>0.0</v>
      </c>
      <c r="BR183" s="35">
        <v>0.0</v>
      </c>
      <c r="BS183" s="35">
        <v>3488.0</v>
      </c>
      <c r="BT183" s="35">
        <v>0.0</v>
      </c>
      <c r="BU183" s="35">
        <v>0.0</v>
      </c>
      <c r="BV183" s="35">
        <v>0.0</v>
      </c>
      <c r="BW183" s="35">
        <v>0.0</v>
      </c>
      <c r="BX183" s="35">
        <v>0.0</v>
      </c>
      <c r="BY183" s="35">
        <v>4722.9</v>
      </c>
      <c r="BZ183" s="32">
        <v>0.0</v>
      </c>
      <c r="CA183" s="35">
        <v>0.0</v>
      </c>
      <c r="CB183" s="32">
        <v>0.0</v>
      </c>
      <c r="CC183" s="35">
        <v>0.0</v>
      </c>
      <c r="CD183" s="35">
        <v>0.0</v>
      </c>
      <c r="CE183" s="35">
        <v>3488.0</v>
      </c>
      <c r="CF183" s="35">
        <v>523.2</v>
      </c>
      <c r="CG183" s="35">
        <v>4011.2</v>
      </c>
      <c r="CH183" s="35">
        <v>19916.36</v>
      </c>
      <c r="CI183" s="35">
        <v>2597.79</v>
      </c>
      <c r="CJ183" s="35">
        <v>17318.57</v>
      </c>
      <c r="CK183" s="35">
        <v>8.87</v>
      </c>
      <c r="CL183" s="32">
        <v>10.0</v>
      </c>
      <c r="CM183" s="32">
        <v>0.0</v>
      </c>
      <c r="CN183" s="32">
        <v>0.0</v>
      </c>
      <c r="CO183" s="32">
        <v>100.0</v>
      </c>
      <c r="CP183" s="34"/>
      <c r="CQ183" s="32">
        <v>0.0</v>
      </c>
      <c r="CR183" s="32">
        <v>0.0</v>
      </c>
      <c r="CS183" s="32">
        <v>0.0</v>
      </c>
      <c r="CT183" s="32">
        <v>-8946.0</v>
      </c>
      <c r="CU183" s="34">
        <v>47361.0</v>
      </c>
      <c r="CV183" s="34">
        <v>47361.0</v>
      </c>
      <c r="CW183" s="32">
        <v>88869.0</v>
      </c>
      <c r="CX183" s="32" t="s">
        <v>122</v>
      </c>
      <c r="CY183" s="32" t="s">
        <v>123</v>
      </c>
      <c r="CZ183" s="35">
        <v>0.0</v>
      </c>
      <c r="DA183" s="35">
        <v>0.0</v>
      </c>
      <c r="DB183" s="35">
        <v>-6865.72</v>
      </c>
      <c r="DC183" s="35">
        <v>1.04</v>
      </c>
      <c r="DD183" s="35">
        <v>0.0</v>
      </c>
      <c r="DE183" s="35">
        <v>0.0</v>
      </c>
      <c r="DF183" s="32"/>
    </row>
    <row r="184" ht="13.5" customHeight="1">
      <c r="A184" s="32" t="s">
        <v>228</v>
      </c>
      <c r="B184" s="33">
        <v>43983.0</v>
      </c>
      <c r="C184" s="32" t="s">
        <v>109</v>
      </c>
      <c r="D184" s="32" t="s">
        <v>110</v>
      </c>
      <c r="E184" s="32" t="s">
        <v>111</v>
      </c>
      <c r="F184" s="32" t="s">
        <v>235</v>
      </c>
      <c r="G184" s="32" t="s">
        <v>128</v>
      </c>
      <c r="H184" s="32" t="s">
        <v>129</v>
      </c>
      <c r="I184" s="34">
        <v>44005.0</v>
      </c>
      <c r="J184" s="34">
        <v>44016.0</v>
      </c>
      <c r="K184" s="32">
        <f t="shared" si="1"/>
        <v>11</v>
      </c>
      <c r="L184" s="32">
        <v>1.0</v>
      </c>
      <c r="M184" s="32">
        <f t="shared" si="2"/>
        <v>10</v>
      </c>
      <c r="N184" s="34">
        <v>44007.0</v>
      </c>
      <c r="O184" s="34">
        <v>44039.0</v>
      </c>
      <c r="P184" s="32">
        <f t="shared" si="3"/>
        <v>32</v>
      </c>
      <c r="Q184" s="32">
        <v>90.0</v>
      </c>
      <c r="R184" s="32">
        <f t="shared" si="4"/>
        <v>-58</v>
      </c>
      <c r="S184" s="32" t="s">
        <v>571</v>
      </c>
      <c r="T184" s="32" t="s">
        <v>572</v>
      </c>
      <c r="U184" s="32" t="s">
        <v>117</v>
      </c>
      <c r="V184" s="32" t="s">
        <v>536</v>
      </c>
      <c r="W184" s="32" t="s">
        <v>182</v>
      </c>
      <c r="X184" s="32" t="s">
        <v>568</v>
      </c>
      <c r="Y184" s="32">
        <v>2024.0</v>
      </c>
      <c r="Z184" s="32" t="s">
        <v>135</v>
      </c>
      <c r="AA184" s="32">
        <v>1998.0</v>
      </c>
      <c r="AB184" s="32">
        <v>16.0</v>
      </c>
      <c r="AC184" s="32">
        <v>0.0</v>
      </c>
      <c r="AD184" s="35">
        <v>495739.0</v>
      </c>
      <c r="AE184" s="35">
        <v>24439.97</v>
      </c>
      <c r="AF184" s="36">
        <v>0.05</v>
      </c>
      <c r="AG184" s="35">
        <v>153609.13</v>
      </c>
      <c r="AH184" s="35">
        <v>2633.0</v>
      </c>
      <c r="AI184" s="32">
        <v>7.75</v>
      </c>
      <c r="AJ184" s="35">
        <v>234783.0</v>
      </c>
      <c r="AK184" s="32">
        <v>51.58</v>
      </c>
      <c r="AL184" s="34">
        <v>44039.0</v>
      </c>
      <c r="AM184" s="34">
        <v>45865.0</v>
      </c>
      <c r="AN184" s="32">
        <v>60.0</v>
      </c>
      <c r="AO184" s="32">
        <v>1500.0</v>
      </c>
      <c r="AP184" s="32">
        <v>85156.0</v>
      </c>
      <c r="AQ184" s="34">
        <v>45869.0</v>
      </c>
      <c r="AR184" s="32">
        <v>7210.0</v>
      </c>
      <c r="AS184" s="32">
        <v>9717.0</v>
      </c>
      <c r="AT184" s="32">
        <v>2507.0</v>
      </c>
      <c r="AU184" s="32">
        <v>8948.0</v>
      </c>
      <c r="AV184" s="32">
        <v>895.0</v>
      </c>
      <c r="AW184" s="35">
        <v>10335.16</v>
      </c>
      <c r="AX184" s="35">
        <v>1575.0</v>
      </c>
      <c r="AY184" s="35">
        <v>125.0</v>
      </c>
      <c r="AZ184" s="35">
        <v>291.0</v>
      </c>
      <c r="BA184" s="35">
        <v>1522.99</v>
      </c>
      <c r="BB184" s="35">
        <v>13849.15</v>
      </c>
      <c r="BC184" s="35">
        <v>2077.37</v>
      </c>
      <c r="BD184" s="35">
        <v>15926.52</v>
      </c>
      <c r="BE184" s="34">
        <v>45748.0</v>
      </c>
      <c r="BF184" s="34">
        <v>45838.0</v>
      </c>
      <c r="BG184" s="32">
        <v>5149.0</v>
      </c>
      <c r="BH184" s="32">
        <v>9717.0</v>
      </c>
      <c r="BI184" s="32">
        <v>4568.0</v>
      </c>
      <c r="BJ184" s="32">
        <v>4500.0</v>
      </c>
      <c r="BK184" s="32">
        <v>68.0</v>
      </c>
      <c r="BL184" s="35">
        <v>0.81</v>
      </c>
      <c r="BM184" s="35">
        <v>3.04</v>
      </c>
      <c r="BN184" s="35">
        <v>0.0</v>
      </c>
      <c r="BO184" s="35">
        <v>0.0</v>
      </c>
      <c r="BP184" s="35">
        <v>0.0</v>
      </c>
      <c r="BQ184" s="35">
        <v>0.0</v>
      </c>
      <c r="BR184" s="35">
        <v>0.0</v>
      </c>
      <c r="BS184" s="35">
        <v>0.0</v>
      </c>
      <c r="BT184" s="35">
        <v>0.0</v>
      </c>
      <c r="BU184" s="35">
        <v>0.0</v>
      </c>
      <c r="BV184" s="35">
        <v>0.0</v>
      </c>
      <c r="BW184" s="35">
        <v>0.0</v>
      </c>
      <c r="BX184" s="35">
        <v>0.0</v>
      </c>
      <c r="BY184" s="35">
        <v>6199.96</v>
      </c>
      <c r="BZ184" s="32">
        <v>0.0</v>
      </c>
      <c r="CA184" s="35">
        <v>0.0</v>
      </c>
      <c r="CB184" s="32">
        <v>0.0</v>
      </c>
      <c r="CC184" s="35">
        <v>0.0</v>
      </c>
      <c r="CD184" s="35">
        <v>0.0</v>
      </c>
      <c r="CE184" s="35">
        <v>0.0</v>
      </c>
      <c r="CF184" s="35">
        <v>0.0</v>
      </c>
      <c r="CG184" s="35">
        <v>0.0</v>
      </c>
      <c r="CH184" s="35">
        <v>15926.52</v>
      </c>
      <c r="CI184" s="35">
        <v>2077.37</v>
      </c>
      <c r="CJ184" s="35">
        <v>13849.15</v>
      </c>
      <c r="CK184" s="35">
        <v>5.52</v>
      </c>
      <c r="CL184" s="32">
        <v>0.0</v>
      </c>
      <c r="CM184" s="32">
        <v>0.0</v>
      </c>
      <c r="CN184" s="32">
        <v>0.0</v>
      </c>
      <c r="CO184" s="32">
        <v>100.0</v>
      </c>
      <c r="CP184" s="34"/>
      <c r="CQ184" s="32">
        <v>0.0</v>
      </c>
      <c r="CR184" s="32">
        <v>0.0</v>
      </c>
      <c r="CS184" s="32">
        <v>0.0</v>
      </c>
      <c r="CT184" s="32">
        <v>-12449.0</v>
      </c>
      <c r="CU184" s="34">
        <v>47361.0</v>
      </c>
      <c r="CV184" s="34">
        <v>47361.0</v>
      </c>
      <c r="CW184" s="32">
        <v>85925.0</v>
      </c>
      <c r="CX184" s="32" t="s">
        <v>122</v>
      </c>
      <c r="CY184" s="32" t="s">
        <v>123</v>
      </c>
      <c r="CZ184" s="35">
        <v>0.0</v>
      </c>
      <c r="DA184" s="35">
        <v>0.0</v>
      </c>
      <c r="DB184" s="35">
        <v>-9937.9</v>
      </c>
      <c r="DC184" s="35">
        <v>1.05</v>
      </c>
      <c r="DD184" s="35">
        <v>0.0</v>
      </c>
      <c r="DE184" s="35">
        <v>0.0</v>
      </c>
      <c r="DF184" s="32"/>
    </row>
    <row r="185" ht="13.5" customHeight="1">
      <c r="A185" s="32" t="s">
        <v>228</v>
      </c>
      <c r="B185" s="33">
        <v>43983.0</v>
      </c>
      <c r="C185" s="32" t="s">
        <v>124</v>
      </c>
      <c r="D185" s="32" t="s">
        <v>125</v>
      </c>
      <c r="E185" s="32" t="s">
        <v>126</v>
      </c>
      <c r="F185" s="32" t="s">
        <v>196</v>
      </c>
      <c r="G185" s="32" t="s">
        <v>140</v>
      </c>
      <c r="H185" s="32" t="s">
        <v>141</v>
      </c>
      <c r="I185" s="34">
        <v>44006.0</v>
      </c>
      <c r="J185" s="34">
        <v>44017.0</v>
      </c>
      <c r="K185" s="32">
        <f t="shared" si="1"/>
        <v>11</v>
      </c>
      <c r="L185" s="32">
        <v>1.0</v>
      </c>
      <c r="M185" s="32">
        <f t="shared" si="2"/>
        <v>10</v>
      </c>
      <c r="N185" s="34">
        <v>44008.0</v>
      </c>
      <c r="O185" s="34">
        <v>44040.0</v>
      </c>
      <c r="P185" s="32">
        <f t="shared" si="3"/>
        <v>32</v>
      </c>
      <c r="Q185" s="32">
        <v>90.0</v>
      </c>
      <c r="R185" s="32">
        <f t="shared" si="4"/>
        <v>-58</v>
      </c>
      <c r="S185" s="32" t="s">
        <v>573</v>
      </c>
      <c r="T185" s="32" t="s">
        <v>574</v>
      </c>
      <c r="U185" s="32" t="s">
        <v>117</v>
      </c>
      <c r="V185" s="32" t="s">
        <v>147</v>
      </c>
      <c r="W185" s="32" t="s">
        <v>133</v>
      </c>
      <c r="X185" s="32" t="s">
        <v>541</v>
      </c>
      <c r="Y185" s="32">
        <v>2021.0</v>
      </c>
      <c r="Z185" s="32" t="s">
        <v>135</v>
      </c>
      <c r="AA185" s="32">
        <v>2498.0</v>
      </c>
      <c r="AB185" s="32">
        <v>16.0</v>
      </c>
      <c r="AC185" s="32">
        <v>4.0</v>
      </c>
      <c r="AD185" s="35">
        <v>450347.83</v>
      </c>
      <c r="AE185" s="35">
        <v>64189.36</v>
      </c>
      <c r="AF185" s="36">
        <v>0.14</v>
      </c>
      <c r="AG185" s="35">
        <v>30600.66</v>
      </c>
      <c r="AH185" s="35">
        <v>2112.0</v>
      </c>
      <c r="AI185" s="32">
        <v>7.75</v>
      </c>
      <c r="AJ185" s="35">
        <v>202657.0</v>
      </c>
      <c r="AK185" s="32">
        <v>45.0</v>
      </c>
      <c r="AL185" s="34">
        <v>44040.0</v>
      </c>
      <c r="AM185" s="34">
        <v>45866.0</v>
      </c>
      <c r="AN185" s="32">
        <v>60.0</v>
      </c>
      <c r="AO185" s="32">
        <v>3000.0</v>
      </c>
      <c r="AP185" s="32">
        <v>180000.0</v>
      </c>
      <c r="AQ185" s="34">
        <v>46234.0</v>
      </c>
      <c r="AR185" s="32">
        <v>69215.0</v>
      </c>
      <c r="AS185" s="32">
        <v>71297.0</v>
      </c>
      <c r="AT185" s="32">
        <v>2082.0</v>
      </c>
      <c r="AU185" s="32">
        <v>70887.0</v>
      </c>
      <c r="AV185" s="32">
        <v>1611.0</v>
      </c>
      <c r="AW185" s="35">
        <v>6482.42</v>
      </c>
      <c r="AX185" s="35">
        <v>1596.93</v>
      </c>
      <c r="AY185" s="35">
        <v>125.0</v>
      </c>
      <c r="AZ185" s="35">
        <v>291.0</v>
      </c>
      <c r="BA185" s="35">
        <v>985.68</v>
      </c>
      <c r="BB185" s="35">
        <v>9481.03</v>
      </c>
      <c r="BC185" s="35">
        <v>1422.15</v>
      </c>
      <c r="BD185" s="35">
        <v>10903.18</v>
      </c>
      <c r="BE185" s="34">
        <v>45748.0</v>
      </c>
      <c r="BF185" s="34">
        <v>45838.0</v>
      </c>
      <c r="BG185" s="32">
        <v>66119.0</v>
      </c>
      <c r="BH185" s="32">
        <v>71297.0</v>
      </c>
      <c r="BI185" s="32">
        <v>5178.0</v>
      </c>
      <c r="BJ185" s="32">
        <v>9000.0</v>
      </c>
      <c r="BK185" s="32">
        <v>-3822.0</v>
      </c>
      <c r="BL185" s="35">
        <v>0.62</v>
      </c>
      <c r="BM185" s="35">
        <v>1.75</v>
      </c>
      <c r="BN185" s="35">
        <v>0.0</v>
      </c>
      <c r="BO185" s="35">
        <v>0.0</v>
      </c>
      <c r="BP185" s="35">
        <v>0.0</v>
      </c>
      <c r="BQ185" s="35">
        <v>-303.85</v>
      </c>
      <c r="BR185" s="35">
        <v>0.0</v>
      </c>
      <c r="BS185" s="35">
        <v>0.0</v>
      </c>
      <c r="BT185" s="35">
        <v>0.0</v>
      </c>
      <c r="BU185" s="35">
        <v>0.0</v>
      </c>
      <c r="BV185" s="35">
        <v>0.0</v>
      </c>
      <c r="BW185" s="35">
        <v>0.0</v>
      </c>
      <c r="BX185" s="35">
        <v>0.0</v>
      </c>
      <c r="BY185" s="35">
        <v>5320.99</v>
      </c>
      <c r="BZ185" s="32">
        <v>0.0</v>
      </c>
      <c r="CA185" s="35">
        <v>0.0</v>
      </c>
      <c r="CB185" s="32">
        <v>0.0</v>
      </c>
      <c r="CC185" s="35">
        <v>0.0</v>
      </c>
      <c r="CD185" s="35">
        <v>0.0</v>
      </c>
      <c r="CE185" s="35">
        <v>0.0</v>
      </c>
      <c r="CF185" s="35">
        <v>0.0</v>
      </c>
      <c r="CG185" s="35">
        <v>0.0</v>
      </c>
      <c r="CH185" s="35">
        <v>8573.67</v>
      </c>
      <c r="CI185" s="35">
        <v>1118.3</v>
      </c>
      <c r="CJ185" s="35">
        <v>7455.37</v>
      </c>
      <c r="CK185" s="35">
        <v>3.58</v>
      </c>
      <c r="CL185" s="32">
        <v>0.0</v>
      </c>
      <c r="CM185" s="32">
        <v>0.0</v>
      </c>
      <c r="CN185" s="32">
        <v>0.0</v>
      </c>
      <c r="CO185" s="32">
        <v>100.0</v>
      </c>
      <c r="CP185" s="34"/>
      <c r="CQ185" s="32">
        <v>0.0</v>
      </c>
      <c r="CR185" s="32">
        <v>0.0</v>
      </c>
      <c r="CS185" s="32">
        <v>0.0</v>
      </c>
      <c r="CT185" s="32">
        <v>-63874.0</v>
      </c>
      <c r="CU185" s="34">
        <v>46326.0</v>
      </c>
      <c r="CV185" s="34">
        <v>46326.0</v>
      </c>
      <c r="CW185" s="32">
        <v>180410.0</v>
      </c>
      <c r="CX185" s="32" t="s">
        <v>122</v>
      </c>
      <c r="CY185" s="32" t="s">
        <v>123</v>
      </c>
      <c r="CZ185" s="35">
        <v>12243.76</v>
      </c>
      <c r="DA185" s="35">
        <v>34559.0</v>
      </c>
      <c r="DB185" s="35">
        <v>-19103.02</v>
      </c>
      <c r="DC185" s="35">
        <v>0.53</v>
      </c>
      <c r="DD185" s="35">
        <v>-2025.66</v>
      </c>
      <c r="DE185" s="35">
        <v>-2329.51</v>
      </c>
      <c r="DF185" s="32"/>
    </row>
    <row r="186" ht="13.5" customHeight="1">
      <c r="A186" s="37" t="s">
        <v>108</v>
      </c>
      <c r="B186" s="38">
        <v>44013.0</v>
      </c>
      <c r="C186" s="37" t="s">
        <v>136</v>
      </c>
      <c r="D186" s="37" t="s">
        <v>137</v>
      </c>
      <c r="E186" s="37" t="s">
        <v>138</v>
      </c>
      <c r="F186" s="37" t="s">
        <v>172</v>
      </c>
      <c r="G186" s="37" t="s">
        <v>140</v>
      </c>
      <c r="H186" s="37" t="s">
        <v>114</v>
      </c>
      <c r="I186" s="39">
        <v>44017.0</v>
      </c>
      <c r="J186" s="39">
        <v>44018.0</v>
      </c>
      <c r="K186" s="37">
        <f t="shared" si="1"/>
        <v>1</v>
      </c>
      <c r="L186" s="37">
        <v>1.0</v>
      </c>
      <c r="M186" s="37">
        <f t="shared" si="2"/>
        <v>0</v>
      </c>
      <c r="N186" s="39">
        <v>44039.0</v>
      </c>
      <c r="O186" s="39">
        <v>44133.0</v>
      </c>
      <c r="P186" s="37">
        <f t="shared" si="3"/>
        <v>94</v>
      </c>
      <c r="Q186" s="37">
        <v>90.0</v>
      </c>
      <c r="R186" s="37">
        <f t="shared" si="4"/>
        <v>4</v>
      </c>
      <c r="S186" s="37" t="s">
        <v>575</v>
      </c>
      <c r="T186" s="37" t="s">
        <v>576</v>
      </c>
      <c r="U186" s="37" t="s">
        <v>117</v>
      </c>
      <c r="V186" s="37" t="s">
        <v>147</v>
      </c>
      <c r="W186" s="37" t="s">
        <v>133</v>
      </c>
      <c r="X186" s="37" t="s">
        <v>168</v>
      </c>
      <c r="Y186" s="37">
        <v>2021.0</v>
      </c>
      <c r="Z186" s="37" t="s">
        <v>135</v>
      </c>
      <c r="AA186" s="37">
        <v>2498.0</v>
      </c>
      <c r="AB186" s="37">
        <v>16.0</v>
      </c>
      <c r="AC186" s="37">
        <v>4.0</v>
      </c>
      <c r="AD186" s="40">
        <v>400956.52</v>
      </c>
      <c r="AE186" s="40">
        <v>80191.3</v>
      </c>
      <c r="AF186" s="41">
        <v>0.2</v>
      </c>
      <c r="AG186" s="40">
        <v>35779.71</v>
      </c>
      <c r="AH186" s="40">
        <v>3105.0</v>
      </c>
      <c r="AI186" s="37">
        <v>7.75</v>
      </c>
      <c r="AJ186" s="40">
        <v>168402.0</v>
      </c>
      <c r="AK186" s="37">
        <v>42.0</v>
      </c>
      <c r="AL186" s="39">
        <v>44133.0</v>
      </c>
      <c r="AM186" s="39">
        <v>45959.0</v>
      </c>
      <c r="AN186" s="37">
        <v>60.0</v>
      </c>
      <c r="AO186" s="37">
        <v>1500.0</v>
      </c>
      <c r="AP186" s="37">
        <v>90000.0</v>
      </c>
      <c r="AQ186" s="39">
        <v>46234.0</v>
      </c>
      <c r="AR186" s="37">
        <v>45937.0</v>
      </c>
      <c r="AS186" s="37">
        <v>48403.0</v>
      </c>
      <c r="AT186" s="37">
        <v>2466.0</v>
      </c>
      <c r="AU186" s="37">
        <v>47733.0</v>
      </c>
      <c r="AV186" s="37">
        <v>994.0</v>
      </c>
      <c r="AW186" s="40">
        <v>5711.04</v>
      </c>
      <c r="AX186" s="40">
        <v>1029.13</v>
      </c>
      <c r="AY186" s="40">
        <v>125.0</v>
      </c>
      <c r="AZ186" s="40">
        <v>291.0</v>
      </c>
      <c r="BA186" s="40">
        <v>1083.24</v>
      </c>
      <c r="BB186" s="40">
        <v>8239.41</v>
      </c>
      <c r="BC186" s="40">
        <v>1235.91</v>
      </c>
      <c r="BD186" s="40">
        <v>9475.32</v>
      </c>
      <c r="BE186" s="39">
        <v>45748.0</v>
      </c>
      <c r="BF186" s="39">
        <v>45838.0</v>
      </c>
      <c r="BG186" s="37">
        <v>42529.0</v>
      </c>
      <c r="BH186" s="37">
        <v>48403.0</v>
      </c>
      <c r="BI186" s="37">
        <v>5874.0</v>
      </c>
      <c r="BJ186" s="37">
        <v>4500.0</v>
      </c>
      <c r="BK186" s="37">
        <v>1374.0</v>
      </c>
      <c r="BL186" s="40">
        <v>0.79</v>
      </c>
      <c r="BM186" s="40">
        <v>3.06</v>
      </c>
      <c r="BN186" s="40">
        <v>1085.46</v>
      </c>
      <c r="BO186" s="40">
        <v>4204.44</v>
      </c>
      <c r="BP186" s="40">
        <v>5289.9</v>
      </c>
      <c r="BQ186" s="40">
        <v>793.49</v>
      </c>
      <c r="BR186" s="40">
        <v>6083.39</v>
      </c>
      <c r="BS186" s="40">
        <v>0.0</v>
      </c>
      <c r="BT186" s="40">
        <v>0.0</v>
      </c>
      <c r="BU186" s="40">
        <v>0.0</v>
      </c>
      <c r="BV186" s="40">
        <v>0.0</v>
      </c>
      <c r="BW186" s="40">
        <v>0.0</v>
      </c>
      <c r="BX186" s="40">
        <v>0.0</v>
      </c>
      <c r="BY186" s="40">
        <v>3189.3</v>
      </c>
      <c r="BZ186" s="37">
        <v>0.0</v>
      </c>
      <c r="CA186" s="40">
        <v>0.0</v>
      </c>
      <c r="CB186" s="37">
        <v>0.0</v>
      </c>
      <c r="CC186" s="40">
        <v>0.0</v>
      </c>
      <c r="CD186" s="40">
        <v>0.0</v>
      </c>
      <c r="CE186" s="40">
        <v>0.0</v>
      </c>
      <c r="CF186" s="40">
        <v>0.0</v>
      </c>
      <c r="CG186" s="40">
        <v>0.0</v>
      </c>
      <c r="CH186" s="40">
        <v>15558.71</v>
      </c>
      <c r="CI186" s="40">
        <v>2029.4</v>
      </c>
      <c r="CJ186" s="40">
        <v>13529.31</v>
      </c>
      <c r="CK186" s="40">
        <v>5.49</v>
      </c>
      <c r="CL186" s="37">
        <v>0.0</v>
      </c>
      <c r="CM186" s="37">
        <v>0.0</v>
      </c>
      <c r="CN186" s="37">
        <v>0.0</v>
      </c>
      <c r="CO186" s="37">
        <v>100.0</v>
      </c>
      <c r="CP186" s="39"/>
      <c r="CQ186" s="37">
        <v>0.0</v>
      </c>
      <c r="CR186" s="37">
        <v>0.0</v>
      </c>
      <c r="CS186" s="37">
        <v>0.0</v>
      </c>
      <c r="CT186" s="37">
        <v>-25253.0</v>
      </c>
      <c r="CU186" s="39">
        <v>46203.0</v>
      </c>
      <c r="CV186" s="39">
        <v>46203.0</v>
      </c>
      <c r="CW186" s="37">
        <v>90670.0</v>
      </c>
      <c r="CX186" s="37" t="s">
        <v>122</v>
      </c>
      <c r="CY186" s="37" t="s">
        <v>123</v>
      </c>
      <c r="CZ186" s="40">
        <v>2034.25</v>
      </c>
      <c r="DA186" s="40">
        <v>7879.5</v>
      </c>
      <c r="DB186" s="40">
        <v>-4284.0</v>
      </c>
      <c r="DC186" s="40">
        <v>0.68</v>
      </c>
      <c r="DD186" s="40">
        <v>0.0</v>
      </c>
      <c r="DE186" s="40">
        <v>0.0</v>
      </c>
      <c r="DF186" s="37"/>
    </row>
    <row r="187" ht="13.5" customHeight="1">
      <c r="A187" s="37" t="s">
        <v>108</v>
      </c>
      <c r="B187" s="38">
        <v>44013.0</v>
      </c>
      <c r="C187" s="37" t="s">
        <v>109</v>
      </c>
      <c r="D187" s="37" t="s">
        <v>110</v>
      </c>
      <c r="E187" s="37" t="s">
        <v>111</v>
      </c>
      <c r="F187" s="37" t="s">
        <v>172</v>
      </c>
      <c r="G187" s="37" t="s">
        <v>140</v>
      </c>
      <c r="H187" s="37" t="s">
        <v>129</v>
      </c>
      <c r="I187" s="39">
        <v>44018.0</v>
      </c>
      <c r="J187" s="39">
        <v>44019.0</v>
      </c>
      <c r="K187" s="37">
        <f t="shared" si="1"/>
        <v>1</v>
      </c>
      <c r="L187" s="37">
        <v>1.0</v>
      </c>
      <c r="M187" s="37">
        <f t="shared" si="2"/>
        <v>0</v>
      </c>
      <c r="N187" s="39">
        <v>44040.0</v>
      </c>
      <c r="O187" s="39">
        <v>44042.0</v>
      </c>
      <c r="P187" s="37">
        <f t="shared" si="3"/>
        <v>2</v>
      </c>
      <c r="Q187" s="37">
        <v>90.0</v>
      </c>
      <c r="R187" s="37">
        <f t="shared" si="4"/>
        <v>-88</v>
      </c>
      <c r="S187" s="37" t="s">
        <v>577</v>
      </c>
      <c r="T187" s="37" t="s">
        <v>578</v>
      </c>
      <c r="U187" s="37" t="s">
        <v>117</v>
      </c>
      <c r="V187" s="37" t="s">
        <v>118</v>
      </c>
      <c r="W187" s="37" t="s">
        <v>119</v>
      </c>
      <c r="X187" s="37" t="s">
        <v>120</v>
      </c>
      <c r="Y187" s="37">
        <v>2021.0</v>
      </c>
      <c r="Z187" s="37" t="s">
        <v>121</v>
      </c>
      <c r="AA187" s="37">
        <v>1598.0</v>
      </c>
      <c r="AB187" s="37">
        <v>16.0</v>
      </c>
      <c r="AC187" s="37">
        <v>0.0</v>
      </c>
      <c r="AD187" s="40">
        <v>184434.78</v>
      </c>
      <c r="AE187" s="40">
        <v>37546.29</v>
      </c>
      <c r="AF187" s="41">
        <v>0.2</v>
      </c>
      <c r="AG187" s="40">
        <v>34697.9</v>
      </c>
      <c r="AH187" s="40">
        <v>2148.0</v>
      </c>
      <c r="AI187" s="37">
        <v>7.75</v>
      </c>
      <c r="AJ187" s="40">
        <v>79307.0</v>
      </c>
      <c r="AK187" s="37">
        <v>43.0</v>
      </c>
      <c r="AL187" s="39">
        <v>44042.0</v>
      </c>
      <c r="AM187" s="39">
        <v>45868.0</v>
      </c>
      <c r="AN187" s="37">
        <v>60.0</v>
      </c>
      <c r="AO187" s="37">
        <v>2500.0</v>
      </c>
      <c r="AP187" s="37">
        <v>150000.0</v>
      </c>
      <c r="AQ187" s="39">
        <v>46234.0</v>
      </c>
      <c r="AR187" s="37">
        <v>43277.0</v>
      </c>
      <c r="AS187" s="37">
        <v>43791.0</v>
      </c>
      <c r="AT187" s="37">
        <v>514.0</v>
      </c>
      <c r="AU187" s="37">
        <v>43147.0</v>
      </c>
      <c r="AV187" s="37">
        <v>959.0</v>
      </c>
      <c r="AW187" s="40">
        <v>3288.52</v>
      </c>
      <c r="AX187" s="40">
        <v>1242.06</v>
      </c>
      <c r="AY187" s="40">
        <v>125.0</v>
      </c>
      <c r="AZ187" s="40">
        <v>291.0</v>
      </c>
      <c r="BA187" s="40">
        <v>1083.24</v>
      </c>
      <c r="BB187" s="40">
        <v>6029.82</v>
      </c>
      <c r="BC187" s="40">
        <v>904.47</v>
      </c>
      <c r="BD187" s="40">
        <v>6934.29</v>
      </c>
      <c r="BE187" s="39">
        <v>45748.0</v>
      </c>
      <c r="BF187" s="39">
        <v>45838.0</v>
      </c>
      <c r="BG187" s="37">
        <v>41933.0</v>
      </c>
      <c r="BH187" s="37">
        <v>43791.0</v>
      </c>
      <c r="BI187" s="37">
        <v>1858.0</v>
      </c>
      <c r="BJ187" s="37">
        <v>7500.0</v>
      </c>
      <c r="BK187" s="37">
        <v>-5642.0</v>
      </c>
      <c r="BL187" s="40">
        <v>0.56</v>
      </c>
      <c r="BM187" s="40">
        <v>0.83</v>
      </c>
      <c r="BN187" s="40">
        <v>0.0</v>
      </c>
      <c r="BO187" s="40">
        <v>0.0</v>
      </c>
      <c r="BP187" s="40">
        <v>0.0</v>
      </c>
      <c r="BQ187" s="40">
        <v>-423.15</v>
      </c>
      <c r="BR187" s="40">
        <v>0.0</v>
      </c>
      <c r="BS187" s="40">
        <v>0.0</v>
      </c>
      <c r="BT187" s="40">
        <v>0.0</v>
      </c>
      <c r="BU187" s="40">
        <v>0.0</v>
      </c>
      <c r="BV187" s="40">
        <v>0.0</v>
      </c>
      <c r="BW187" s="40">
        <v>0.0</v>
      </c>
      <c r="BX187" s="40">
        <v>0.0</v>
      </c>
      <c r="BY187" s="40">
        <v>1042.19</v>
      </c>
      <c r="BZ187" s="37">
        <v>0.0</v>
      </c>
      <c r="CA187" s="40">
        <v>0.0</v>
      </c>
      <c r="CB187" s="37">
        <v>0.0</v>
      </c>
      <c r="CC187" s="40">
        <v>0.0</v>
      </c>
      <c r="CD187" s="40">
        <v>0.0</v>
      </c>
      <c r="CE187" s="40">
        <v>0.0</v>
      </c>
      <c r="CF187" s="40">
        <v>0.0</v>
      </c>
      <c r="CG187" s="40">
        <v>0.0</v>
      </c>
      <c r="CH187" s="40">
        <v>3690.14</v>
      </c>
      <c r="CI187" s="40">
        <v>481.32</v>
      </c>
      <c r="CJ187" s="40">
        <v>3208.82</v>
      </c>
      <c r="CK187" s="40">
        <v>6.24</v>
      </c>
      <c r="CL187" s="37">
        <v>0.0</v>
      </c>
      <c r="CM187" s="37">
        <v>0.0</v>
      </c>
      <c r="CN187" s="37">
        <v>0.0</v>
      </c>
      <c r="CO187" s="37">
        <v>100.0</v>
      </c>
      <c r="CP187" s="39"/>
      <c r="CQ187" s="37">
        <v>0.0</v>
      </c>
      <c r="CR187" s="37">
        <v>0.0</v>
      </c>
      <c r="CS187" s="37">
        <v>0.0</v>
      </c>
      <c r="CT187" s="37">
        <v>-70585.0</v>
      </c>
      <c r="CU187" s="39">
        <v>46295.0</v>
      </c>
      <c r="CV187" s="39">
        <v>46295.0</v>
      </c>
      <c r="CW187" s="37">
        <v>150644.0</v>
      </c>
      <c r="CX187" s="37" t="s">
        <v>122</v>
      </c>
      <c r="CY187" s="37" t="s">
        <v>123</v>
      </c>
      <c r="CZ187" s="40">
        <v>0.0</v>
      </c>
      <c r="DA187" s="40">
        <v>0.0</v>
      </c>
      <c r="DB187" s="40">
        <v>-8438.0</v>
      </c>
      <c r="DC187" s="40">
        <v>0.5</v>
      </c>
      <c r="DD187" s="40">
        <v>-2821.0</v>
      </c>
      <c r="DE187" s="40">
        <v>-3244.15</v>
      </c>
      <c r="DF187" s="37"/>
    </row>
    <row r="188" ht="13.5" customHeight="1">
      <c r="A188" s="37" t="s">
        <v>108</v>
      </c>
      <c r="B188" s="38">
        <v>44013.0</v>
      </c>
      <c r="C188" s="37" t="s">
        <v>124</v>
      </c>
      <c r="D188" s="37" t="s">
        <v>125</v>
      </c>
      <c r="E188" s="37" t="s">
        <v>126</v>
      </c>
      <c r="F188" s="37" t="s">
        <v>176</v>
      </c>
      <c r="G188" s="37" t="s">
        <v>140</v>
      </c>
      <c r="H188" s="37" t="s">
        <v>141</v>
      </c>
      <c r="I188" s="39">
        <v>44019.0</v>
      </c>
      <c r="J188" s="39">
        <v>44020.0</v>
      </c>
      <c r="K188" s="37">
        <f t="shared" si="1"/>
        <v>1</v>
      </c>
      <c r="L188" s="37">
        <v>1.0</v>
      </c>
      <c r="M188" s="37">
        <f t="shared" si="2"/>
        <v>0</v>
      </c>
      <c r="N188" s="39">
        <v>44041.0</v>
      </c>
      <c r="O188" s="39">
        <v>44043.0</v>
      </c>
      <c r="P188" s="37">
        <f t="shared" si="3"/>
        <v>2</v>
      </c>
      <c r="Q188" s="37">
        <v>90.0</v>
      </c>
      <c r="R188" s="37">
        <f t="shared" si="4"/>
        <v>-88</v>
      </c>
      <c r="S188" s="37" t="s">
        <v>579</v>
      </c>
      <c r="T188" s="37" t="s">
        <v>580</v>
      </c>
      <c r="U188" s="37" t="s">
        <v>117</v>
      </c>
      <c r="V188" s="37" t="s">
        <v>147</v>
      </c>
      <c r="W188" s="37" t="s">
        <v>182</v>
      </c>
      <c r="X188" s="37" t="s">
        <v>554</v>
      </c>
      <c r="Y188" s="37">
        <v>2021.0</v>
      </c>
      <c r="Z188" s="37" t="s">
        <v>135</v>
      </c>
      <c r="AA188" s="37">
        <v>2198.0</v>
      </c>
      <c r="AB188" s="37">
        <v>16.0</v>
      </c>
      <c r="AC188" s="37">
        <v>5.0</v>
      </c>
      <c r="AD188" s="40">
        <v>435478.0</v>
      </c>
      <c r="AE188" s="40">
        <v>70104.84</v>
      </c>
      <c r="AF188" s="41">
        <v>0.16</v>
      </c>
      <c r="AG188" s="40">
        <v>45768.41</v>
      </c>
      <c r="AH188" s="40">
        <v>2298.0</v>
      </c>
      <c r="AI188" s="37">
        <v>7.75</v>
      </c>
      <c r="AJ188" s="40">
        <v>165482.0</v>
      </c>
      <c r="AK188" s="37">
        <v>38.0</v>
      </c>
      <c r="AL188" s="39">
        <v>44043.0</v>
      </c>
      <c r="AM188" s="39">
        <v>45869.0</v>
      </c>
      <c r="AN188" s="37">
        <v>60.0</v>
      </c>
      <c r="AO188" s="37">
        <v>3000.0</v>
      </c>
      <c r="AP188" s="37">
        <v>180000.0</v>
      </c>
      <c r="AQ188" s="39">
        <v>46234.0</v>
      </c>
      <c r="AR188" s="37">
        <v>55370.0</v>
      </c>
      <c r="AS188" s="37">
        <v>56834.0</v>
      </c>
      <c r="AT188" s="37">
        <v>1464.0</v>
      </c>
      <c r="AU188" s="37">
        <v>56212.0</v>
      </c>
      <c r="AV188" s="37">
        <v>1249.0</v>
      </c>
      <c r="AW188" s="40">
        <v>6872.13</v>
      </c>
      <c r="AX188" s="40">
        <v>1525.94</v>
      </c>
      <c r="AY188" s="40">
        <v>125.0</v>
      </c>
      <c r="AZ188" s="40">
        <v>291.0</v>
      </c>
      <c r="BA188" s="40">
        <v>1083.24</v>
      </c>
      <c r="BB188" s="40">
        <v>9897.31</v>
      </c>
      <c r="BC188" s="40">
        <v>1484.6</v>
      </c>
      <c r="BD188" s="40">
        <v>11381.91</v>
      </c>
      <c r="BE188" s="39">
        <v>45748.0</v>
      </c>
      <c r="BF188" s="39">
        <v>45838.0</v>
      </c>
      <c r="BG188" s="37">
        <v>52939.0</v>
      </c>
      <c r="BH188" s="37">
        <v>56834.0</v>
      </c>
      <c r="BI188" s="37">
        <v>3895.0</v>
      </c>
      <c r="BJ188" s="37">
        <v>9000.0</v>
      </c>
      <c r="BK188" s="37">
        <v>-5105.0</v>
      </c>
      <c r="BL188" s="40">
        <v>0.59</v>
      </c>
      <c r="BM188" s="40">
        <v>1.77</v>
      </c>
      <c r="BN188" s="40">
        <v>0.0</v>
      </c>
      <c r="BO188" s="40">
        <v>0.0</v>
      </c>
      <c r="BP188" s="40">
        <v>0.0</v>
      </c>
      <c r="BQ188" s="40">
        <v>-390.53</v>
      </c>
      <c r="BR188" s="40">
        <v>0.0</v>
      </c>
      <c r="BS188" s="40">
        <v>0.0</v>
      </c>
      <c r="BT188" s="40">
        <v>0.0</v>
      </c>
      <c r="BU188" s="40">
        <v>0.0</v>
      </c>
      <c r="BV188" s="40">
        <v>0.0</v>
      </c>
      <c r="BW188" s="40">
        <v>0.0</v>
      </c>
      <c r="BX188" s="40">
        <v>0.0</v>
      </c>
      <c r="BY188" s="40">
        <v>2250.21</v>
      </c>
      <c r="BZ188" s="37">
        <v>0.0</v>
      </c>
      <c r="CA188" s="40">
        <v>0.0</v>
      </c>
      <c r="CB188" s="37">
        <v>0.0</v>
      </c>
      <c r="CC188" s="40">
        <v>0.0</v>
      </c>
      <c r="CD188" s="40">
        <v>0.0</v>
      </c>
      <c r="CE188" s="40">
        <v>0.0</v>
      </c>
      <c r="CF188" s="40">
        <v>0.0</v>
      </c>
      <c r="CG188" s="40">
        <v>0.0</v>
      </c>
      <c r="CH188" s="40">
        <v>8387.83</v>
      </c>
      <c r="CI188" s="40">
        <v>1094.07</v>
      </c>
      <c r="CJ188" s="40">
        <v>7293.76</v>
      </c>
      <c r="CK188" s="40">
        <v>4.98</v>
      </c>
      <c r="CL188" s="37">
        <v>0.0</v>
      </c>
      <c r="CM188" s="37">
        <v>0.0</v>
      </c>
      <c r="CN188" s="37">
        <v>0.0</v>
      </c>
      <c r="CO188" s="37">
        <v>100.0</v>
      </c>
      <c r="CP188" s="39"/>
      <c r="CQ188" s="37">
        <v>0.0</v>
      </c>
      <c r="CR188" s="37">
        <v>0.0</v>
      </c>
      <c r="CS188" s="37">
        <v>0.0</v>
      </c>
      <c r="CT188" s="37">
        <v>-78788.0</v>
      </c>
      <c r="CU188" s="39">
        <v>46295.0</v>
      </c>
      <c r="CV188" s="39">
        <v>46295.0</v>
      </c>
      <c r="CW188" s="37">
        <v>180622.0</v>
      </c>
      <c r="CX188" s="37" t="s">
        <v>122</v>
      </c>
      <c r="CY188" s="37" t="s">
        <v>123</v>
      </c>
      <c r="CZ188" s="40">
        <v>0.0</v>
      </c>
      <c r="DA188" s="40">
        <v>0.0</v>
      </c>
      <c r="DB188" s="40">
        <v>-10847.19</v>
      </c>
      <c r="DC188" s="40">
        <v>0.51</v>
      </c>
      <c r="DD188" s="40">
        <v>-2603.55</v>
      </c>
      <c r="DE188" s="40">
        <v>-2994.08</v>
      </c>
      <c r="DF188" s="37"/>
    </row>
    <row r="189" ht="13.5" customHeight="1">
      <c r="A189" s="37" t="s">
        <v>144</v>
      </c>
      <c r="B189" s="38">
        <v>44013.0</v>
      </c>
      <c r="C189" s="37" t="s">
        <v>136</v>
      </c>
      <c r="D189" s="37" t="s">
        <v>137</v>
      </c>
      <c r="E189" s="37" t="s">
        <v>138</v>
      </c>
      <c r="F189" s="37" t="s">
        <v>176</v>
      </c>
      <c r="G189" s="37" t="s">
        <v>140</v>
      </c>
      <c r="H189" s="37" t="s">
        <v>114</v>
      </c>
      <c r="I189" s="39">
        <v>44020.0</v>
      </c>
      <c r="J189" s="39">
        <v>44021.0</v>
      </c>
      <c r="K189" s="37">
        <f t="shared" si="1"/>
        <v>1</v>
      </c>
      <c r="L189" s="37">
        <v>1.0</v>
      </c>
      <c r="M189" s="37">
        <f t="shared" si="2"/>
        <v>0</v>
      </c>
      <c r="N189" s="39">
        <v>44042.0</v>
      </c>
      <c r="O189" s="39">
        <v>44044.0</v>
      </c>
      <c r="P189" s="37">
        <f t="shared" si="3"/>
        <v>2</v>
      </c>
      <c r="Q189" s="37">
        <v>90.0</v>
      </c>
      <c r="R189" s="37">
        <f t="shared" si="4"/>
        <v>-88</v>
      </c>
      <c r="S189" s="37" t="s">
        <v>581</v>
      </c>
      <c r="T189" s="37" t="s">
        <v>582</v>
      </c>
      <c r="U189" s="37" t="s">
        <v>117</v>
      </c>
      <c r="V189" s="37" t="s">
        <v>147</v>
      </c>
      <c r="W189" s="37" t="s">
        <v>133</v>
      </c>
      <c r="X189" s="37" t="s">
        <v>168</v>
      </c>
      <c r="Y189" s="37">
        <v>2023.0</v>
      </c>
      <c r="Z189" s="37" t="s">
        <v>135</v>
      </c>
      <c r="AA189" s="37">
        <v>2498.0</v>
      </c>
      <c r="AB189" s="37">
        <v>16.0</v>
      </c>
      <c r="AC189" s="37">
        <v>4.0</v>
      </c>
      <c r="AD189" s="40">
        <v>440782.61</v>
      </c>
      <c r="AE189" s="40">
        <v>76923.96</v>
      </c>
      <c r="AF189" s="41">
        <v>0.17</v>
      </c>
      <c r="AG189" s="40">
        <v>31360.86</v>
      </c>
      <c r="AH189" s="40">
        <v>3621.0</v>
      </c>
      <c r="AI189" s="37">
        <v>7.75</v>
      </c>
      <c r="AJ189" s="40">
        <v>193944.0</v>
      </c>
      <c r="AK189" s="37">
        <v>44.0</v>
      </c>
      <c r="AL189" s="39">
        <v>44044.0</v>
      </c>
      <c r="AM189" s="39">
        <v>45870.0</v>
      </c>
      <c r="AN189" s="37">
        <v>60.0</v>
      </c>
      <c r="AO189" s="37">
        <v>5000.0</v>
      </c>
      <c r="AP189" s="37">
        <v>220000.0</v>
      </c>
      <c r="AQ189" s="39">
        <v>46234.0</v>
      </c>
      <c r="AR189" s="37">
        <v>46907.0</v>
      </c>
      <c r="AS189" s="37">
        <v>47115.0</v>
      </c>
      <c r="AT189" s="37">
        <v>208.0</v>
      </c>
      <c r="AU189" s="37">
        <v>46515.0</v>
      </c>
      <c r="AV189" s="37">
        <v>2215.0</v>
      </c>
      <c r="AW189" s="40">
        <v>7398.0</v>
      </c>
      <c r="AX189" s="40">
        <v>1886.4</v>
      </c>
      <c r="AY189" s="40">
        <v>125.0</v>
      </c>
      <c r="AZ189" s="40">
        <v>290.99</v>
      </c>
      <c r="BA189" s="40">
        <v>1012.23</v>
      </c>
      <c r="BB189" s="40">
        <v>10712.62</v>
      </c>
      <c r="BC189" s="40">
        <v>1606.89</v>
      </c>
      <c r="BD189" s="40">
        <v>12319.51</v>
      </c>
      <c r="BE189" s="39">
        <v>45748.0</v>
      </c>
      <c r="BF189" s="39">
        <v>45838.0</v>
      </c>
      <c r="BG189" s="37">
        <v>43128.0</v>
      </c>
      <c r="BH189" s="37">
        <v>47115.0</v>
      </c>
      <c r="BI189" s="37">
        <v>3987.0</v>
      </c>
      <c r="BJ189" s="37">
        <v>15000.0</v>
      </c>
      <c r="BK189" s="37">
        <v>-11013.0</v>
      </c>
      <c r="BL189" s="40">
        <v>0.43</v>
      </c>
      <c r="BM189" s="40">
        <v>1.17</v>
      </c>
      <c r="BN189" s="40">
        <v>0.0</v>
      </c>
      <c r="BO189" s="40">
        <v>0.0</v>
      </c>
      <c r="BP189" s="40">
        <v>0.0</v>
      </c>
      <c r="BQ189" s="40">
        <v>-627.74</v>
      </c>
      <c r="BR189" s="40">
        <v>0.0</v>
      </c>
      <c r="BS189" s="40">
        <v>0.0</v>
      </c>
      <c r="BT189" s="40">
        <v>0.0</v>
      </c>
      <c r="BU189" s="40">
        <v>0.0</v>
      </c>
      <c r="BV189" s="40">
        <v>0.0</v>
      </c>
      <c r="BW189" s="40">
        <v>0.0</v>
      </c>
      <c r="BX189" s="40">
        <v>0.0</v>
      </c>
      <c r="BY189" s="40">
        <v>0.0</v>
      </c>
      <c r="BZ189" s="37">
        <v>0.0</v>
      </c>
      <c r="CA189" s="40">
        <v>0.0</v>
      </c>
      <c r="CB189" s="37">
        <v>0.0</v>
      </c>
      <c r="CC189" s="40">
        <v>0.0</v>
      </c>
      <c r="CD189" s="40">
        <v>0.0</v>
      </c>
      <c r="CE189" s="40">
        <v>0.0</v>
      </c>
      <c r="CF189" s="40">
        <v>0.0</v>
      </c>
      <c r="CG189" s="40">
        <v>0.0</v>
      </c>
      <c r="CH189" s="40">
        <v>7506.83</v>
      </c>
      <c r="CI189" s="40">
        <v>979.15</v>
      </c>
      <c r="CJ189" s="40">
        <v>6527.68</v>
      </c>
      <c r="CK189" s="40">
        <v>31.38</v>
      </c>
      <c r="CL189" s="37">
        <v>0.0</v>
      </c>
      <c r="CM189" s="37">
        <v>0.0</v>
      </c>
      <c r="CN189" s="37">
        <v>0.0</v>
      </c>
      <c r="CO189" s="37">
        <v>100.0</v>
      </c>
      <c r="CP189" s="39"/>
      <c r="CQ189" s="37">
        <v>0.0</v>
      </c>
      <c r="CR189" s="37">
        <v>0.0</v>
      </c>
      <c r="CS189" s="37">
        <v>0.0</v>
      </c>
      <c r="CT189" s="37">
        <v>-61443.0</v>
      </c>
      <c r="CU189" s="39">
        <v>46538.0</v>
      </c>
      <c r="CV189" s="39">
        <v>46538.0</v>
      </c>
      <c r="CW189" s="37">
        <v>220600.0</v>
      </c>
      <c r="CX189" s="37" t="s">
        <v>122</v>
      </c>
      <c r="CY189" s="37" t="s">
        <v>123</v>
      </c>
      <c r="CZ189" s="40">
        <v>2217.08</v>
      </c>
      <c r="DA189" s="40">
        <v>6032.52</v>
      </c>
      <c r="DB189" s="40">
        <v>-7753.52</v>
      </c>
      <c r="DC189" s="40">
        <v>0.38</v>
      </c>
      <c r="DD189" s="40">
        <v>-4184.94</v>
      </c>
      <c r="DE189" s="40">
        <v>-4812.68</v>
      </c>
      <c r="DF189" s="37"/>
    </row>
    <row r="190" ht="13.5" customHeight="1">
      <c r="A190" s="37" t="s">
        <v>144</v>
      </c>
      <c r="B190" s="38">
        <v>44013.0</v>
      </c>
      <c r="C190" s="37" t="s">
        <v>109</v>
      </c>
      <c r="D190" s="37" t="s">
        <v>110</v>
      </c>
      <c r="E190" s="37" t="s">
        <v>111</v>
      </c>
      <c r="F190" s="37" t="s">
        <v>176</v>
      </c>
      <c r="G190" s="37" t="s">
        <v>140</v>
      </c>
      <c r="H190" s="37" t="s">
        <v>129</v>
      </c>
      <c r="I190" s="39">
        <v>44021.0</v>
      </c>
      <c r="J190" s="39">
        <v>44022.0</v>
      </c>
      <c r="K190" s="37">
        <f t="shared" si="1"/>
        <v>1</v>
      </c>
      <c r="L190" s="37">
        <v>1.0</v>
      </c>
      <c r="M190" s="37">
        <f t="shared" si="2"/>
        <v>0</v>
      </c>
      <c r="N190" s="39">
        <v>44035.0</v>
      </c>
      <c r="O190" s="39">
        <v>44045.0</v>
      </c>
      <c r="P190" s="37">
        <f t="shared" si="3"/>
        <v>10</v>
      </c>
      <c r="Q190" s="37">
        <v>90.0</v>
      </c>
      <c r="R190" s="37">
        <f t="shared" si="4"/>
        <v>-80</v>
      </c>
      <c r="S190" s="37" t="s">
        <v>583</v>
      </c>
      <c r="T190" s="37" t="s">
        <v>584</v>
      </c>
      <c r="U190" s="37" t="s">
        <v>117</v>
      </c>
      <c r="V190" s="37" t="s">
        <v>132</v>
      </c>
      <c r="W190" s="37" t="s">
        <v>133</v>
      </c>
      <c r="X190" s="37" t="s">
        <v>164</v>
      </c>
      <c r="Y190" s="37">
        <v>2023.0</v>
      </c>
      <c r="Z190" s="37" t="s">
        <v>135</v>
      </c>
      <c r="AA190" s="37">
        <v>2498.0</v>
      </c>
      <c r="AB190" s="37">
        <v>16.0</v>
      </c>
      <c r="AC190" s="37">
        <v>1.0</v>
      </c>
      <c r="AD190" s="40">
        <v>349565.22</v>
      </c>
      <c r="AE190" s="40">
        <v>60326.48</v>
      </c>
      <c r="AF190" s="41">
        <v>0.17</v>
      </c>
      <c r="AG190" s="40">
        <v>15144.65</v>
      </c>
      <c r="AH190" s="40">
        <v>2729.0</v>
      </c>
      <c r="AI190" s="37">
        <v>7.75</v>
      </c>
      <c r="AJ190" s="40">
        <v>157304.0</v>
      </c>
      <c r="AK190" s="37">
        <v>45.0</v>
      </c>
      <c r="AL190" s="39">
        <v>44045.0</v>
      </c>
      <c r="AM190" s="39">
        <v>45871.0</v>
      </c>
      <c r="AN190" s="37">
        <v>60.0</v>
      </c>
      <c r="AO190" s="37">
        <v>3500.0</v>
      </c>
      <c r="AP190" s="37">
        <v>210000.0</v>
      </c>
      <c r="AQ190" s="39">
        <v>46234.0</v>
      </c>
      <c r="AR190" s="37">
        <v>22050.0</v>
      </c>
      <c r="AS190" s="37">
        <v>22985.0</v>
      </c>
      <c r="AT190" s="37">
        <v>935.0</v>
      </c>
      <c r="AU190" s="37">
        <v>22370.0</v>
      </c>
      <c r="AV190" s="37">
        <v>1119.0</v>
      </c>
      <c r="AW190" s="40">
        <v>4812.01</v>
      </c>
      <c r="AX190" s="40">
        <v>1430.52</v>
      </c>
      <c r="AY190" s="40">
        <v>125.0</v>
      </c>
      <c r="AZ190" s="40">
        <v>290.99</v>
      </c>
      <c r="BA190" s="40">
        <v>1083.24</v>
      </c>
      <c r="BB190" s="40">
        <v>7741.76</v>
      </c>
      <c r="BC190" s="40">
        <v>1161.26</v>
      </c>
      <c r="BD190" s="40">
        <v>8903.02</v>
      </c>
      <c r="BE190" s="39">
        <v>45748.0</v>
      </c>
      <c r="BF190" s="39">
        <v>45838.0</v>
      </c>
      <c r="BG190" s="37">
        <v>17598.0</v>
      </c>
      <c r="BH190" s="37">
        <v>22985.0</v>
      </c>
      <c r="BI190" s="37">
        <v>5387.0</v>
      </c>
      <c r="BJ190" s="37">
        <v>10500.0</v>
      </c>
      <c r="BK190" s="37">
        <v>-5113.0</v>
      </c>
      <c r="BL190" s="40">
        <v>0.48</v>
      </c>
      <c r="BM190" s="40">
        <v>0.96</v>
      </c>
      <c r="BN190" s="40">
        <v>0.0</v>
      </c>
      <c r="BO190" s="40">
        <v>0.0</v>
      </c>
      <c r="BP190" s="40">
        <v>0.0</v>
      </c>
      <c r="BQ190" s="40">
        <v>-314.45</v>
      </c>
      <c r="BR190" s="40">
        <v>0.0</v>
      </c>
      <c r="BS190" s="40">
        <v>0.0</v>
      </c>
      <c r="BT190" s="40">
        <v>0.0</v>
      </c>
      <c r="BU190" s="40">
        <v>0.0</v>
      </c>
      <c r="BV190" s="40">
        <v>0.0</v>
      </c>
      <c r="BW190" s="40">
        <v>0.0</v>
      </c>
      <c r="BX190" s="40">
        <v>0.0</v>
      </c>
      <c r="BY190" s="40">
        <v>4414.99</v>
      </c>
      <c r="BZ190" s="37">
        <v>0.0</v>
      </c>
      <c r="CA190" s="40">
        <v>149.8</v>
      </c>
      <c r="CB190" s="37">
        <v>0.0</v>
      </c>
      <c r="CC190" s="40">
        <v>0.0</v>
      </c>
      <c r="CD190" s="40">
        <v>0.0</v>
      </c>
      <c r="CE190" s="40">
        <v>0.0</v>
      </c>
      <c r="CF190" s="40">
        <v>0.0</v>
      </c>
      <c r="CG190" s="40">
        <v>0.0</v>
      </c>
      <c r="CH190" s="40">
        <v>6492.24</v>
      </c>
      <c r="CI190" s="40">
        <v>846.81</v>
      </c>
      <c r="CJ190" s="40">
        <v>5645.43</v>
      </c>
      <c r="CK190" s="40">
        <v>6.04</v>
      </c>
      <c r="CL190" s="37">
        <v>0.0</v>
      </c>
      <c r="CM190" s="37">
        <v>0.0</v>
      </c>
      <c r="CN190" s="37">
        <v>0.0</v>
      </c>
      <c r="CO190" s="37">
        <v>100.0</v>
      </c>
      <c r="CP190" s="39"/>
      <c r="CQ190" s="37">
        <v>0.0</v>
      </c>
      <c r="CR190" s="37">
        <v>0.0</v>
      </c>
      <c r="CS190" s="37">
        <v>0.0</v>
      </c>
      <c r="CT190" s="37">
        <v>-47630.0</v>
      </c>
      <c r="CU190" s="39">
        <v>47057.0</v>
      </c>
      <c r="CV190" s="39">
        <v>47057.0</v>
      </c>
      <c r="CW190" s="37">
        <v>210615.0</v>
      </c>
      <c r="CX190" s="37" t="s">
        <v>122</v>
      </c>
      <c r="CY190" s="37" t="s">
        <v>123</v>
      </c>
      <c r="CZ190" s="40">
        <v>0.0</v>
      </c>
      <c r="DA190" s="40">
        <v>0.0</v>
      </c>
      <c r="DB190" s="40">
        <v>-10391.45</v>
      </c>
      <c r="DC190" s="40">
        <v>0.41</v>
      </c>
      <c r="DD190" s="40">
        <v>-2096.33</v>
      </c>
      <c r="DE190" s="40">
        <v>-2410.78</v>
      </c>
      <c r="DF190" s="37"/>
    </row>
    <row r="191" ht="13.5" customHeight="1">
      <c r="A191" s="37" t="s">
        <v>144</v>
      </c>
      <c r="B191" s="38">
        <v>44013.0</v>
      </c>
      <c r="C191" s="37" t="s">
        <v>124</v>
      </c>
      <c r="D191" s="37" t="s">
        <v>125</v>
      </c>
      <c r="E191" s="37" t="s">
        <v>126</v>
      </c>
      <c r="F191" s="37" t="s">
        <v>196</v>
      </c>
      <c r="G191" s="37" t="s">
        <v>140</v>
      </c>
      <c r="H191" s="37" t="s">
        <v>141</v>
      </c>
      <c r="I191" s="39">
        <v>44022.0</v>
      </c>
      <c r="J191" s="39">
        <v>44023.0</v>
      </c>
      <c r="K191" s="37">
        <f t="shared" si="1"/>
        <v>1</v>
      </c>
      <c r="L191" s="37">
        <v>1.0</v>
      </c>
      <c r="M191" s="37">
        <f t="shared" si="2"/>
        <v>0</v>
      </c>
      <c r="N191" s="39">
        <v>44036.0</v>
      </c>
      <c r="O191" s="39">
        <v>44046.0</v>
      </c>
      <c r="P191" s="37">
        <f t="shared" si="3"/>
        <v>10</v>
      </c>
      <c r="Q191" s="37">
        <v>90.0</v>
      </c>
      <c r="R191" s="37">
        <f t="shared" si="4"/>
        <v>-80</v>
      </c>
      <c r="S191" s="37" t="s">
        <v>585</v>
      </c>
      <c r="T191" s="37" t="s">
        <v>586</v>
      </c>
      <c r="U191" s="37" t="s">
        <v>117</v>
      </c>
      <c r="V191" s="37" t="s">
        <v>147</v>
      </c>
      <c r="W191" s="37" t="s">
        <v>133</v>
      </c>
      <c r="X191" s="37" t="s">
        <v>168</v>
      </c>
      <c r="Y191" s="37">
        <v>2021.0</v>
      </c>
      <c r="Z191" s="37" t="s">
        <v>135</v>
      </c>
      <c r="AA191" s="37">
        <v>2498.0</v>
      </c>
      <c r="AB191" s="37">
        <v>16.0</v>
      </c>
      <c r="AC191" s="37">
        <v>4.0</v>
      </c>
      <c r="AD191" s="40">
        <v>450347.83</v>
      </c>
      <c r="AE191" s="40">
        <v>72606.75</v>
      </c>
      <c r="AF191" s="41">
        <v>0.16</v>
      </c>
      <c r="AG191" s="40">
        <v>30786.21</v>
      </c>
      <c r="AH191" s="40">
        <v>2562.0</v>
      </c>
      <c r="AI191" s="37">
        <v>7.75</v>
      </c>
      <c r="AJ191" s="40">
        <v>202657.0</v>
      </c>
      <c r="AK191" s="37">
        <v>45.0</v>
      </c>
      <c r="AL191" s="39">
        <v>44046.0</v>
      </c>
      <c r="AM191" s="39">
        <v>45872.0</v>
      </c>
      <c r="AN191" s="37">
        <v>60.0</v>
      </c>
      <c r="AO191" s="37">
        <v>2500.0</v>
      </c>
      <c r="AP191" s="37">
        <v>150000.0</v>
      </c>
      <c r="AQ191" s="39">
        <v>46234.0</v>
      </c>
      <c r="AR191" s="37">
        <v>81510.0</v>
      </c>
      <c r="AS191" s="37">
        <v>83081.0</v>
      </c>
      <c r="AT191" s="37">
        <v>1571.0</v>
      </c>
      <c r="AU191" s="37">
        <v>82699.0</v>
      </c>
      <c r="AV191" s="37">
        <v>1880.0</v>
      </c>
      <c r="AW191" s="40">
        <v>6312.89</v>
      </c>
      <c r="AX191" s="40">
        <v>1508.21</v>
      </c>
      <c r="AY191" s="40">
        <v>125.0</v>
      </c>
      <c r="AZ191" s="40">
        <v>291.0</v>
      </c>
      <c r="BA191" s="40">
        <v>1083.24</v>
      </c>
      <c r="BB191" s="40">
        <v>9320.34</v>
      </c>
      <c r="BC191" s="40">
        <v>1398.05</v>
      </c>
      <c r="BD191" s="40">
        <v>10718.39</v>
      </c>
      <c r="BE191" s="39">
        <v>45748.0</v>
      </c>
      <c r="BF191" s="39">
        <v>45838.0</v>
      </c>
      <c r="BG191" s="37">
        <v>77564.0</v>
      </c>
      <c r="BH191" s="37">
        <v>83081.0</v>
      </c>
      <c r="BI191" s="37">
        <v>5517.0</v>
      </c>
      <c r="BJ191" s="37">
        <v>7500.0</v>
      </c>
      <c r="BK191" s="37">
        <v>-1983.0</v>
      </c>
      <c r="BL191" s="40">
        <v>0.7</v>
      </c>
      <c r="BM191" s="40">
        <v>1.95</v>
      </c>
      <c r="BN191" s="40">
        <v>0.0</v>
      </c>
      <c r="BO191" s="40">
        <v>0.0</v>
      </c>
      <c r="BP191" s="40">
        <v>0.0</v>
      </c>
      <c r="BQ191" s="40">
        <v>-178.47</v>
      </c>
      <c r="BR191" s="40">
        <v>0.0</v>
      </c>
      <c r="BS191" s="40">
        <v>0.0</v>
      </c>
      <c r="BT191" s="40">
        <v>0.0</v>
      </c>
      <c r="BU191" s="40">
        <v>0.0</v>
      </c>
      <c r="BV191" s="40">
        <v>0.0</v>
      </c>
      <c r="BW191" s="40">
        <v>0.0</v>
      </c>
      <c r="BX191" s="40">
        <v>0.0</v>
      </c>
      <c r="BY191" s="40">
        <v>3883.57</v>
      </c>
      <c r="BZ191" s="37">
        <v>0.0</v>
      </c>
      <c r="CA191" s="40">
        <v>0.0</v>
      </c>
      <c r="CB191" s="37">
        <v>0.0</v>
      </c>
      <c r="CC191" s="40">
        <v>0.0</v>
      </c>
      <c r="CD191" s="40">
        <v>0.0</v>
      </c>
      <c r="CE191" s="40">
        <v>0.0</v>
      </c>
      <c r="CF191" s="40">
        <v>0.0</v>
      </c>
      <c r="CG191" s="40">
        <v>0.0</v>
      </c>
      <c r="CH191" s="40">
        <v>9350.12</v>
      </c>
      <c r="CI191" s="40">
        <v>1219.58</v>
      </c>
      <c r="CJ191" s="40">
        <v>8130.54</v>
      </c>
      <c r="CK191" s="40">
        <v>5.18</v>
      </c>
      <c r="CL191" s="37">
        <v>0.0</v>
      </c>
      <c r="CM191" s="37">
        <v>0.0</v>
      </c>
      <c r="CN191" s="37">
        <v>0.0</v>
      </c>
      <c r="CO191" s="37">
        <v>100.0</v>
      </c>
      <c r="CP191" s="39"/>
      <c r="CQ191" s="37">
        <v>0.0</v>
      </c>
      <c r="CR191" s="37">
        <v>0.0</v>
      </c>
      <c r="CS191" s="37">
        <v>0.0</v>
      </c>
      <c r="CT191" s="37">
        <v>-29355.0</v>
      </c>
      <c r="CU191" s="39">
        <v>46326.0</v>
      </c>
      <c r="CV191" s="39">
        <v>46326.0</v>
      </c>
      <c r="CW191" s="37">
        <v>150382.0</v>
      </c>
      <c r="CX191" s="37" t="s">
        <v>122</v>
      </c>
      <c r="CY191" s="37" t="s">
        <v>123</v>
      </c>
      <c r="CZ191" s="40">
        <v>0.0</v>
      </c>
      <c r="DA191" s="40">
        <v>0.0</v>
      </c>
      <c r="DB191" s="40">
        <v>-6181.8</v>
      </c>
      <c r="DC191" s="40">
        <v>0.6</v>
      </c>
      <c r="DD191" s="40">
        <v>-1189.8</v>
      </c>
      <c r="DE191" s="40">
        <v>-1368.27</v>
      </c>
      <c r="DF191" s="37"/>
    </row>
    <row r="192" ht="13.5" customHeight="1">
      <c r="A192" s="37" t="s">
        <v>144</v>
      </c>
      <c r="B192" s="38">
        <v>44013.0</v>
      </c>
      <c r="C192" s="37" t="s">
        <v>109</v>
      </c>
      <c r="D192" s="37" t="s">
        <v>137</v>
      </c>
      <c r="E192" s="37" t="s">
        <v>138</v>
      </c>
      <c r="F192" s="37" t="s">
        <v>176</v>
      </c>
      <c r="G192" s="37" t="s">
        <v>140</v>
      </c>
      <c r="H192" s="37" t="s">
        <v>114</v>
      </c>
      <c r="I192" s="39">
        <v>44023.0</v>
      </c>
      <c r="J192" s="39">
        <v>44030.0</v>
      </c>
      <c r="K192" s="37">
        <f t="shared" si="1"/>
        <v>7</v>
      </c>
      <c r="L192" s="37">
        <v>1.0</v>
      </c>
      <c r="M192" s="37">
        <f t="shared" si="2"/>
        <v>6</v>
      </c>
      <c r="N192" s="39">
        <v>44037.0</v>
      </c>
      <c r="O192" s="39">
        <v>44169.0</v>
      </c>
      <c r="P192" s="37">
        <f t="shared" si="3"/>
        <v>132</v>
      </c>
      <c r="Q192" s="37">
        <v>90.0</v>
      </c>
      <c r="R192" s="37">
        <f t="shared" si="4"/>
        <v>42</v>
      </c>
      <c r="S192" s="37" t="s">
        <v>587</v>
      </c>
      <c r="T192" s="37" t="s">
        <v>588</v>
      </c>
      <c r="U192" s="37" t="s">
        <v>117</v>
      </c>
      <c r="V192" s="37" t="s">
        <v>536</v>
      </c>
      <c r="W192" s="37" t="s">
        <v>133</v>
      </c>
      <c r="X192" s="37" t="s">
        <v>589</v>
      </c>
      <c r="Y192" s="37">
        <v>2023.0</v>
      </c>
      <c r="Z192" s="37" t="s">
        <v>135</v>
      </c>
      <c r="AA192" s="37">
        <v>2998.0</v>
      </c>
      <c r="AB192" s="37">
        <v>16.0</v>
      </c>
      <c r="AC192" s="37">
        <v>0.0</v>
      </c>
      <c r="AD192" s="40">
        <v>597478.26</v>
      </c>
      <c r="AE192" s="40">
        <v>71923.26</v>
      </c>
      <c r="AF192" s="41">
        <v>0.12</v>
      </c>
      <c r="AG192" s="40">
        <v>33806.95</v>
      </c>
      <c r="AH192" s="40">
        <v>2603.0</v>
      </c>
      <c r="AI192" s="37">
        <v>7.75</v>
      </c>
      <c r="AJ192" s="40">
        <v>246969.03</v>
      </c>
      <c r="AK192" s="37">
        <v>52.34</v>
      </c>
      <c r="AL192" s="39">
        <v>44169.0</v>
      </c>
      <c r="AM192" s="39">
        <v>45995.0</v>
      </c>
      <c r="AN192" s="37">
        <v>60.0</v>
      </c>
      <c r="AO192" s="37">
        <v>1500.0</v>
      </c>
      <c r="AP192" s="37">
        <v>87962.0</v>
      </c>
      <c r="AQ192" s="39">
        <v>46234.0</v>
      </c>
      <c r="AR192" s="37">
        <v>24375.0</v>
      </c>
      <c r="AS192" s="37">
        <v>25482.0</v>
      </c>
      <c r="AT192" s="37">
        <v>1107.0</v>
      </c>
      <c r="AU192" s="37">
        <v>24894.0</v>
      </c>
      <c r="AV192" s="37">
        <v>1185.0</v>
      </c>
      <c r="AW192" s="40">
        <v>9174.75</v>
      </c>
      <c r="AX192" s="40">
        <v>1200.0</v>
      </c>
      <c r="AY192" s="40">
        <v>125.0</v>
      </c>
      <c r="AZ192" s="40">
        <v>290.99</v>
      </c>
      <c r="BA192" s="40">
        <v>1522.99</v>
      </c>
      <c r="BB192" s="40">
        <v>12313.73</v>
      </c>
      <c r="BC192" s="40">
        <v>1847.06</v>
      </c>
      <c r="BD192" s="40">
        <v>14160.79</v>
      </c>
      <c r="BE192" s="39">
        <v>45748.0</v>
      </c>
      <c r="BF192" s="39">
        <v>45838.0</v>
      </c>
      <c r="BG192" s="37">
        <v>21583.0</v>
      </c>
      <c r="BH192" s="37">
        <v>25482.0</v>
      </c>
      <c r="BI192" s="37">
        <v>3899.0</v>
      </c>
      <c r="BJ192" s="37">
        <v>4500.0</v>
      </c>
      <c r="BK192" s="37">
        <v>-601.0</v>
      </c>
      <c r="BL192" s="40">
        <v>0.83</v>
      </c>
      <c r="BM192" s="40">
        <v>3.94</v>
      </c>
      <c r="BN192" s="40">
        <v>0.0</v>
      </c>
      <c r="BO192" s="40">
        <v>0.0</v>
      </c>
      <c r="BP192" s="40">
        <v>0.0</v>
      </c>
      <c r="BQ192" s="40">
        <v>-72.12</v>
      </c>
      <c r="BR192" s="40">
        <v>0.0</v>
      </c>
      <c r="BS192" s="40">
        <v>0.0</v>
      </c>
      <c r="BT192" s="40">
        <v>0.0</v>
      </c>
      <c r="BU192" s="40">
        <v>0.0</v>
      </c>
      <c r="BV192" s="40">
        <v>0.0</v>
      </c>
      <c r="BW192" s="40">
        <v>0.0</v>
      </c>
      <c r="BX192" s="40">
        <v>0.0</v>
      </c>
      <c r="BY192" s="40">
        <v>3451.4</v>
      </c>
      <c r="BZ192" s="37">
        <v>0.0</v>
      </c>
      <c r="CA192" s="40">
        <v>0.0</v>
      </c>
      <c r="CB192" s="37">
        <v>0.0</v>
      </c>
      <c r="CC192" s="40">
        <v>0.0</v>
      </c>
      <c r="CD192" s="40">
        <v>0.0</v>
      </c>
      <c r="CE192" s="40">
        <v>0.0</v>
      </c>
      <c r="CF192" s="40">
        <v>0.0</v>
      </c>
      <c r="CG192" s="40">
        <v>0.0</v>
      </c>
      <c r="CH192" s="40">
        <v>13607.87</v>
      </c>
      <c r="CI192" s="40">
        <v>1774.94</v>
      </c>
      <c r="CJ192" s="40">
        <v>11832.93</v>
      </c>
      <c r="CK192" s="40">
        <v>10.69</v>
      </c>
      <c r="CL192" s="37">
        <v>0.0</v>
      </c>
      <c r="CM192" s="37">
        <v>0.0</v>
      </c>
      <c r="CN192" s="37">
        <v>0.0</v>
      </c>
      <c r="CO192" s="37">
        <v>100.0</v>
      </c>
      <c r="CP192" s="39"/>
      <c r="CQ192" s="37">
        <v>0.0</v>
      </c>
      <c r="CR192" s="37">
        <v>0.0</v>
      </c>
      <c r="CS192" s="37">
        <v>0.0</v>
      </c>
      <c r="CT192" s="37">
        <v>-22901.0</v>
      </c>
      <c r="CU192" s="39">
        <v>47026.0</v>
      </c>
      <c r="CV192" s="39">
        <v>47026.0</v>
      </c>
      <c r="CW192" s="37">
        <v>88550.0</v>
      </c>
      <c r="CX192" s="37" t="s">
        <v>122</v>
      </c>
      <c r="CY192" s="37" t="s">
        <v>123</v>
      </c>
      <c r="CZ192" s="40">
        <v>0.0</v>
      </c>
      <c r="DA192" s="40">
        <v>0.0</v>
      </c>
      <c r="DB192" s="40">
        <v>-7210.72</v>
      </c>
      <c r="DC192" s="40">
        <v>0.8</v>
      </c>
      <c r="DD192" s="40">
        <v>-480.8</v>
      </c>
      <c r="DE192" s="40">
        <v>-552.92</v>
      </c>
      <c r="DF192" s="37"/>
    </row>
    <row r="193" ht="13.5" customHeight="1">
      <c r="A193" s="37" t="s">
        <v>157</v>
      </c>
      <c r="B193" s="38">
        <v>44013.0</v>
      </c>
      <c r="C193" s="37" t="s">
        <v>124</v>
      </c>
      <c r="D193" s="37" t="s">
        <v>110</v>
      </c>
      <c r="E193" s="37" t="s">
        <v>111</v>
      </c>
      <c r="F193" s="37" t="s">
        <v>176</v>
      </c>
      <c r="G193" s="37" t="s">
        <v>140</v>
      </c>
      <c r="H193" s="37" t="s">
        <v>129</v>
      </c>
      <c r="I193" s="39">
        <v>44024.0</v>
      </c>
      <c r="J193" s="39">
        <v>44025.0</v>
      </c>
      <c r="K193" s="37">
        <f t="shared" si="1"/>
        <v>1</v>
      </c>
      <c r="L193" s="37">
        <v>1.0</v>
      </c>
      <c r="M193" s="37">
        <f t="shared" si="2"/>
        <v>0</v>
      </c>
      <c r="N193" s="39">
        <v>44038.0</v>
      </c>
      <c r="O193" s="39">
        <v>44048.0</v>
      </c>
      <c r="P193" s="37">
        <f t="shared" si="3"/>
        <v>10</v>
      </c>
      <c r="Q193" s="37">
        <v>90.0</v>
      </c>
      <c r="R193" s="37">
        <f t="shared" si="4"/>
        <v>-80</v>
      </c>
      <c r="S193" s="37" t="s">
        <v>590</v>
      </c>
      <c r="T193" s="37" t="s">
        <v>591</v>
      </c>
      <c r="U193" s="37" t="s">
        <v>117</v>
      </c>
      <c r="V193" s="37" t="s">
        <v>147</v>
      </c>
      <c r="W193" s="37" t="s">
        <v>133</v>
      </c>
      <c r="X193" s="37" t="s">
        <v>168</v>
      </c>
      <c r="Y193" s="37">
        <v>2021.0</v>
      </c>
      <c r="Z193" s="37" t="s">
        <v>135</v>
      </c>
      <c r="AA193" s="37">
        <v>2498.0</v>
      </c>
      <c r="AB193" s="37">
        <v>16.0</v>
      </c>
      <c r="AC193" s="37">
        <v>12.0</v>
      </c>
      <c r="AD193" s="40">
        <v>400956.52</v>
      </c>
      <c r="AE193" s="40">
        <v>69496.3</v>
      </c>
      <c r="AF193" s="41">
        <v>0.17</v>
      </c>
      <c r="AG193" s="40">
        <v>36133.57</v>
      </c>
      <c r="AH193" s="40">
        <v>2191.0</v>
      </c>
      <c r="AI193" s="37">
        <v>7.75</v>
      </c>
      <c r="AJ193" s="40">
        <v>168402.0</v>
      </c>
      <c r="AK193" s="37">
        <v>42.0</v>
      </c>
      <c r="AL193" s="39">
        <v>44048.0</v>
      </c>
      <c r="AM193" s="39">
        <v>45874.0</v>
      </c>
      <c r="AN193" s="37">
        <v>60.0</v>
      </c>
      <c r="AO193" s="37">
        <v>2500.0</v>
      </c>
      <c r="AP193" s="37">
        <v>150000.0</v>
      </c>
      <c r="AQ193" s="39">
        <v>46234.0</v>
      </c>
      <c r="AR193" s="37">
        <v>117790.0</v>
      </c>
      <c r="AS193" s="37">
        <v>120892.0</v>
      </c>
      <c r="AT193" s="37">
        <v>3102.0</v>
      </c>
      <c r="AU193" s="37">
        <v>120154.0</v>
      </c>
      <c r="AV193" s="37">
        <v>2670.0</v>
      </c>
      <c r="AW193" s="40">
        <v>5927.39</v>
      </c>
      <c r="AX193" s="40">
        <v>1242.05</v>
      </c>
      <c r="AY193" s="40">
        <v>125.0</v>
      </c>
      <c r="AZ193" s="40">
        <v>291.0</v>
      </c>
      <c r="BA193" s="40">
        <v>1083.24</v>
      </c>
      <c r="BB193" s="40">
        <v>8668.68</v>
      </c>
      <c r="BC193" s="40">
        <v>1300.3</v>
      </c>
      <c r="BD193" s="40">
        <v>9968.98</v>
      </c>
      <c r="BE193" s="39">
        <v>45748.0</v>
      </c>
      <c r="BF193" s="39">
        <v>45838.0</v>
      </c>
      <c r="BG193" s="37">
        <v>111511.0</v>
      </c>
      <c r="BH193" s="37">
        <v>120892.0</v>
      </c>
      <c r="BI193" s="37">
        <v>9381.0</v>
      </c>
      <c r="BJ193" s="37">
        <v>7500.0</v>
      </c>
      <c r="BK193" s="37">
        <v>1881.0</v>
      </c>
      <c r="BL193" s="40">
        <v>0.57</v>
      </c>
      <c r="BM193" s="40">
        <v>1.83</v>
      </c>
      <c r="BN193" s="40">
        <v>1072.17</v>
      </c>
      <c r="BO193" s="40">
        <v>3442.23</v>
      </c>
      <c r="BP193" s="40">
        <v>4514.4</v>
      </c>
      <c r="BQ193" s="40">
        <v>677.16</v>
      </c>
      <c r="BR193" s="40">
        <v>5191.56</v>
      </c>
      <c r="BS193" s="40">
        <v>0.0</v>
      </c>
      <c r="BT193" s="40">
        <v>0.0</v>
      </c>
      <c r="BU193" s="40">
        <v>0.0</v>
      </c>
      <c r="BV193" s="40">
        <v>0.0</v>
      </c>
      <c r="BW193" s="40">
        <v>0.0</v>
      </c>
      <c r="BX193" s="40">
        <v>0.0</v>
      </c>
      <c r="BY193" s="40">
        <v>8153.47</v>
      </c>
      <c r="BZ193" s="37">
        <v>0.0</v>
      </c>
      <c r="CA193" s="40">
        <v>0.0</v>
      </c>
      <c r="CB193" s="37">
        <v>0.0</v>
      </c>
      <c r="CC193" s="40">
        <v>0.0</v>
      </c>
      <c r="CD193" s="40">
        <v>0.0</v>
      </c>
      <c r="CE193" s="40">
        <v>0.0</v>
      </c>
      <c r="CF193" s="40">
        <v>0.0</v>
      </c>
      <c r="CG193" s="40">
        <v>0.0</v>
      </c>
      <c r="CH193" s="40">
        <v>15160.54</v>
      </c>
      <c r="CI193" s="40">
        <v>1977.46</v>
      </c>
      <c r="CJ193" s="40">
        <v>13183.08</v>
      </c>
      <c r="CK193" s="40">
        <v>4.25</v>
      </c>
      <c r="CL193" s="37">
        <v>0.0</v>
      </c>
      <c r="CM193" s="37">
        <v>0.0</v>
      </c>
      <c r="CN193" s="37">
        <v>0.0</v>
      </c>
      <c r="CO193" s="37">
        <v>100.0</v>
      </c>
      <c r="CP193" s="39"/>
      <c r="CQ193" s="37">
        <v>0.0</v>
      </c>
      <c r="CR193" s="37">
        <v>0.0</v>
      </c>
      <c r="CS193" s="37">
        <v>0.0</v>
      </c>
      <c r="CT193" s="37">
        <v>6175.0</v>
      </c>
      <c r="CU193" s="39">
        <v>46295.0</v>
      </c>
      <c r="CV193" s="39">
        <v>46295.0</v>
      </c>
      <c r="CW193" s="37">
        <v>150738.0</v>
      </c>
      <c r="CX193" s="37" t="s">
        <v>122</v>
      </c>
      <c r="CY193" s="37" t="s">
        <v>123</v>
      </c>
      <c r="CZ193" s="40">
        <v>2595.21</v>
      </c>
      <c r="DA193" s="40">
        <v>8331.99</v>
      </c>
      <c r="DB193" s="40">
        <v>-968.24</v>
      </c>
      <c r="DC193" s="40">
        <v>0.49</v>
      </c>
      <c r="DD193" s="40">
        <v>0.0</v>
      </c>
      <c r="DE193" s="40">
        <v>0.0</v>
      </c>
      <c r="DF193" s="37"/>
    </row>
    <row r="194" ht="13.5" customHeight="1">
      <c r="A194" s="37" t="s">
        <v>157</v>
      </c>
      <c r="B194" s="38">
        <v>44013.0</v>
      </c>
      <c r="C194" s="37" t="s">
        <v>136</v>
      </c>
      <c r="D194" s="37" t="s">
        <v>125</v>
      </c>
      <c r="E194" s="37" t="s">
        <v>126</v>
      </c>
      <c r="F194" s="37" t="s">
        <v>176</v>
      </c>
      <c r="G194" s="37" t="s">
        <v>140</v>
      </c>
      <c r="H194" s="37" t="s">
        <v>141</v>
      </c>
      <c r="I194" s="39">
        <v>44025.0</v>
      </c>
      <c r="J194" s="39">
        <v>44026.0</v>
      </c>
      <c r="K194" s="37">
        <f t="shared" si="1"/>
        <v>1</v>
      </c>
      <c r="L194" s="37">
        <v>1.0</v>
      </c>
      <c r="M194" s="37">
        <f t="shared" si="2"/>
        <v>0</v>
      </c>
      <c r="N194" s="39">
        <v>44039.0</v>
      </c>
      <c r="O194" s="39">
        <v>44049.0</v>
      </c>
      <c r="P194" s="37">
        <f t="shared" si="3"/>
        <v>10</v>
      </c>
      <c r="Q194" s="37">
        <v>90.0</v>
      </c>
      <c r="R194" s="37">
        <f t="shared" si="4"/>
        <v>-80</v>
      </c>
      <c r="S194" s="37" t="s">
        <v>592</v>
      </c>
      <c r="T194" s="37" t="s">
        <v>593</v>
      </c>
      <c r="U194" s="37" t="s">
        <v>117</v>
      </c>
      <c r="V194" s="37" t="s">
        <v>132</v>
      </c>
      <c r="W194" s="37" t="s">
        <v>133</v>
      </c>
      <c r="X194" s="37" t="s">
        <v>594</v>
      </c>
      <c r="Y194" s="37">
        <v>2023.0</v>
      </c>
      <c r="Z194" s="37" t="s">
        <v>135</v>
      </c>
      <c r="AA194" s="37">
        <v>1898.0</v>
      </c>
      <c r="AB194" s="37">
        <v>16.0</v>
      </c>
      <c r="AC194" s="37">
        <v>2.0</v>
      </c>
      <c r="AD194" s="40">
        <v>366260.87</v>
      </c>
      <c r="AE194" s="40">
        <v>66869.7</v>
      </c>
      <c r="AF194" s="41">
        <v>0.18</v>
      </c>
      <c r="AG194" s="40">
        <v>119293.81</v>
      </c>
      <c r="AH194" s="40">
        <v>2346.5</v>
      </c>
      <c r="AI194" s="37">
        <v>7.75</v>
      </c>
      <c r="AJ194" s="40">
        <v>164817.0</v>
      </c>
      <c r="AK194" s="37">
        <v>45.0</v>
      </c>
      <c r="AL194" s="39">
        <v>44049.0</v>
      </c>
      <c r="AM194" s="39">
        <v>45875.0</v>
      </c>
      <c r="AN194" s="37">
        <v>60.0</v>
      </c>
      <c r="AO194" s="37">
        <v>2500.0</v>
      </c>
      <c r="AP194" s="37">
        <v>150000.0</v>
      </c>
      <c r="AQ194" s="39">
        <v>45930.0</v>
      </c>
      <c r="AR194" s="37">
        <v>35372.0</v>
      </c>
      <c r="AS194" s="37">
        <v>36690.0</v>
      </c>
      <c r="AT194" s="37">
        <v>1318.0</v>
      </c>
      <c r="AU194" s="37">
        <v>36031.0</v>
      </c>
      <c r="AV194" s="37">
        <v>1716.0</v>
      </c>
      <c r="AW194" s="40">
        <v>7027.5</v>
      </c>
      <c r="AX194" s="40">
        <v>1493.4</v>
      </c>
      <c r="AY194" s="40">
        <v>125.0</v>
      </c>
      <c r="AZ194" s="40">
        <v>290.99</v>
      </c>
      <c r="BA194" s="40">
        <v>1083.24</v>
      </c>
      <c r="BB194" s="40">
        <v>10020.13</v>
      </c>
      <c r="BC194" s="40">
        <v>1503.02</v>
      </c>
      <c r="BD194" s="40">
        <v>11523.15</v>
      </c>
      <c r="BE194" s="39">
        <v>45748.0</v>
      </c>
      <c r="BF194" s="39">
        <v>45838.0</v>
      </c>
      <c r="BG194" s="37">
        <v>32254.0</v>
      </c>
      <c r="BH194" s="37">
        <v>36690.0</v>
      </c>
      <c r="BI194" s="37">
        <v>4436.0</v>
      </c>
      <c r="BJ194" s="37">
        <v>7500.0</v>
      </c>
      <c r="BK194" s="37">
        <v>-3064.0</v>
      </c>
      <c r="BL194" s="40">
        <v>0.7</v>
      </c>
      <c r="BM194" s="40">
        <v>1.4</v>
      </c>
      <c r="BN194" s="40">
        <v>0.0</v>
      </c>
      <c r="BO194" s="40">
        <v>0.0</v>
      </c>
      <c r="BP194" s="40">
        <v>0.0</v>
      </c>
      <c r="BQ194" s="40">
        <v>-275.76</v>
      </c>
      <c r="BR194" s="40">
        <v>0.0</v>
      </c>
      <c r="BS194" s="40">
        <v>0.0</v>
      </c>
      <c r="BT194" s="40">
        <v>0.0</v>
      </c>
      <c r="BU194" s="40">
        <v>0.0</v>
      </c>
      <c r="BV194" s="40">
        <v>0.0</v>
      </c>
      <c r="BW194" s="40">
        <v>0.0</v>
      </c>
      <c r="BX194" s="40">
        <v>0.0</v>
      </c>
      <c r="BY194" s="40">
        <v>2588.33</v>
      </c>
      <c r="BZ194" s="37">
        <v>0.0</v>
      </c>
      <c r="CA194" s="40">
        <v>0.0</v>
      </c>
      <c r="CB194" s="37">
        <v>0.0</v>
      </c>
      <c r="CC194" s="40">
        <v>0.0</v>
      </c>
      <c r="CD194" s="40">
        <v>0.0</v>
      </c>
      <c r="CE194" s="40">
        <v>0.0</v>
      </c>
      <c r="CF194" s="40">
        <v>0.0</v>
      </c>
      <c r="CG194" s="40">
        <v>0.0</v>
      </c>
      <c r="CH194" s="40">
        <v>9408.99</v>
      </c>
      <c r="CI194" s="40">
        <v>1227.26</v>
      </c>
      <c r="CJ194" s="40">
        <v>8181.73</v>
      </c>
      <c r="CK194" s="40">
        <v>6.21</v>
      </c>
      <c r="CL194" s="37">
        <v>0.0</v>
      </c>
      <c r="CM194" s="37">
        <v>0.0</v>
      </c>
      <c r="CN194" s="37">
        <v>0.0</v>
      </c>
      <c r="CO194" s="37">
        <v>100.0</v>
      </c>
      <c r="CP194" s="39"/>
      <c r="CQ194" s="37">
        <v>0.0</v>
      </c>
      <c r="CR194" s="37">
        <v>0.0</v>
      </c>
      <c r="CS194" s="37">
        <v>0.0</v>
      </c>
      <c r="CT194" s="37">
        <v>-18030.0</v>
      </c>
      <c r="CU194" s="39">
        <v>47026.0</v>
      </c>
      <c r="CV194" s="39">
        <v>47026.0</v>
      </c>
      <c r="CW194" s="37">
        <v>150659.0</v>
      </c>
      <c r="CX194" s="37" t="s">
        <v>122</v>
      </c>
      <c r="CY194" s="37" t="s">
        <v>123</v>
      </c>
      <c r="CZ194" s="40">
        <v>0.0</v>
      </c>
      <c r="DA194" s="40">
        <v>0.0</v>
      </c>
      <c r="DB194" s="40">
        <v>-7000.8</v>
      </c>
      <c r="DC194" s="40">
        <v>0.6</v>
      </c>
      <c r="DD194" s="40">
        <v>-1838.4</v>
      </c>
      <c r="DE194" s="40">
        <v>-2114.16</v>
      </c>
      <c r="DF194" s="37"/>
    </row>
    <row r="195" ht="13.5" customHeight="1">
      <c r="A195" s="37" t="s">
        <v>157</v>
      </c>
      <c r="B195" s="38">
        <v>44013.0</v>
      </c>
      <c r="C195" s="37" t="s">
        <v>109</v>
      </c>
      <c r="D195" s="37" t="s">
        <v>137</v>
      </c>
      <c r="E195" s="37" t="s">
        <v>138</v>
      </c>
      <c r="F195" s="37" t="s">
        <v>176</v>
      </c>
      <c r="G195" s="37" t="s">
        <v>140</v>
      </c>
      <c r="H195" s="37" t="s">
        <v>114</v>
      </c>
      <c r="I195" s="39">
        <v>44026.0</v>
      </c>
      <c r="J195" s="39">
        <v>44030.0</v>
      </c>
      <c r="K195" s="37">
        <f t="shared" si="1"/>
        <v>4</v>
      </c>
      <c r="L195" s="37">
        <v>1.0</v>
      </c>
      <c r="M195" s="37">
        <f t="shared" si="2"/>
        <v>3</v>
      </c>
      <c r="N195" s="39">
        <v>44040.0</v>
      </c>
      <c r="O195" s="39">
        <v>44050.0</v>
      </c>
      <c r="P195" s="37">
        <f t="shared" si="3"/>
        <v>10</v>
      </c>
      <c r="Q195" s="37">
        <v>90.0</v>
      </c>
      <c r="R195" s="37">
        <f t="shared" si="4"/>
        <v>-80</v>
      </c>
      <c r="S195" s="37" t="s">
        <v>595</v>
      </c>
      <c r="T195" s="37" t="s">
        <v>596</v>
      </c>
      <c r="U195" s="37" t="s">
        <v>117</v>
      </c>
      <c r="V195" s="37" t="s">
        <v>147</v>
      </c>
      <c r="W195" s="37" t="s">
        <v>133</v>
      </c>
      <c r="X195" s="37" t="s">
        <v>168</v>
      </c>
      <c r="Y195" s="37">
        <v>2021.0</v>
      </c>
      <c r="Z195" s="37" t="s">
        <v>135</v>
      </c>
      <c r="AA195" s="37">
        <v>2498.0</v>
      </c>
      <c r="AB195" s="37">
        <v>16.0</v>
      </c>
      <c r="AC195" s="37">
        <v>8.0</v>
      </c>
      <c r="AD195" s="40">
        <v>400956.52</v>
      </c>
      <c r="AE195" s="40">
        <v>69496.3</v>
      </c>
      <c r="AF195" s="41">
        <v>0.17</v>
      </c>
      <c r="AG195" s="40">
        <v>50615.9</v>
      </c>
      <c r="AH195" s="40">
        <v>2112.0</v>
      </c>
      <c r="AI195" s="37">
        <v>7.75</v>
      </c>
      <c r="AJ195" s="40">
        <v>168402.0</v>
      </c>
      <c r="AK195" s="37">
        <v>42.0</v>
      </c>
      <c r="AL195" s="39">
        <v>44050.0</v>
      </c>
      <c r="AM195" s="39">
        <v>45876.0</v>
      </c>
      <c r="AN195" s="37">
        <v>60.0</v>
      </c>
      <c r="AO195" s="37">
        <v>1750.0</v>
      </c>
      <c r="AP195" s="37">
        <v>105000.0</v>
      </c>
      <c r="AQ195" s="39">
        <v>46234.0</v>
      </c>
      <c r="AR195" s="37">
        <v>69965.0</v>
      </c>
      <c r="AS195" s="37">
        <v>72026.0</v>
      </c>
      <c r="AT195" s="37">
        <v>2061.0</v>
      </c>
      <c r="AU195" s="37">
        <v>71421.0</v>
      </c>
      <c r="AV195" s="37">
        <v>1587.0</v>
      </c>
      <c r="AW195" s="40">
        <v>6216.12</v>
      </c>
      <c r="AX195" s="40">
        <v>1076.46</v>
      </c>
      <c r="AY195" s="40">
        <v>125.0</v>
      </c>
      <c r="AZ195" s="40">
        <v>291.0</v>
      </c>
      <c r="BA195" s="40">
        <v>1083.24</v>
      </c>
      <c r="BB195" s="40">
        <v>8791.82</v>
      </c>
      <c r="BC195" s="40">
        <v>1318.77</v>
      </c>
      <c r="BD195" s="40">
        <v>10110.59</v>
      </c>
      <c r="BE195" s="39">
        <v>45748.0</v>
      </c>
      <c r="BF195" s="39">
        <v>45838.0</v>
      </c>
      <c r="BG195" s="37">
        <v>65441.0</v>
      </c>
      <c r="BH195" s="37">
        <v>72026.0</v>
      </c>
      <c r="BI195" s="37">
        <v>6585.0</v>
      </c>
      <c r="BJ195" s="37">
        <v>5250.0</v>
      </c>
      <c r="BK195" s="37">
        <v>1335.0</v>
      </c>
      <c r="BL195" s="40">
        <v>0.7</v>
      </c>
      <c r="BM195" s="40">
        <v>2.62</v>
      </c>
      <c r="BN195" s="40">
        <v>934.5</v>
      </c>
      <c r="BO195" s="40">
        <v>3497.7</v>
      </c>
      <c r="BP195" s="40">
        <v>4432.2</v>
      </c>
      <c r="BQ195" s="40">
        <v>664.83</v>
      </c>
      <c r="BR195" s="40">
        <v>5097.03</v>
      </c>
      <c r="BS195" s="40">
        <v>0.0</v>
      </c>
      <c r="BT195" s="40">
        <v>0.0</v>
      </c>
      <c r="BU195" s="40">
        <v>0.0</v>
      </c>
      <c r="BV195" s="40">
        <v>0.0</v>
      </c>
      <c r="BW195" s="40">
        <v>0.0</v>
      </c>
      <c r="BX195" s="40">
        <v>0.0</v>
      </c>
      <c r="BY195" s="40">
        <v>0.0</v>
      </c>
      <c r="BZ195" s="37">
        <v>0.0</v>
      </c>
      <c r="CA195" s="40">
        <v>0.0</v>
      </c>
      <c r="CB195" s="37">
        <v>0.0</v>
      </c>
      <c r="CC195" s="40">
        <v>0.0</v>
      </c>
      <c r="CD195" s="40">
        <v>0.0</v>
      </c>
      <c r="CE195" s="40">
        <v>0.0</v>
      </c>
      <c r="CF195" s="40">
        <v>0.0</v>
      </c>
      <c r="CG195" s="40">
        <v>0.0</v>
      </c>
      <c r="CH195" s="40">
        <v>15207.62</v>
      </c>
      <c r="CI195" s="40">
        <v>1983.6</v>
      </c>
      <c r="CJ195" s="40">
        <v>13224.02</v>
      </c>
      <c r="CK195" s="40">
        <v>6.42</v>
      </c>
      <c r="CL195" s="37">
        <v>0.0</v>
      </c>
      <c r="CM195" s="37">
        <v>0.0</v>
      </c>
      <c r="CN195" s="37">
        <v>0.0</v>
      </c>
      <c r="CO195" s="37">
        <v>100.0</v>
      </c>
      <c r="CP195" s="39"/>
      <c r="CQ195" s="37">
        <v>0.0</v>
      </c>
      <c r="CR195" s="37">
        <v>0.0</v>
      </c>
      <c r="CS195" s="37">
        <v>0.0</v>
      </c>
      <c r="CT195" s="37">
        <v>-8192.0</v>
      </c>
      <c r="CU195" s="39">
        <v>46295.0</v>
      </c>
      <c r="CV195" s="39">
        <v>46295.0</v>
      </c>
      <c r="CW195" s="37">
        <v>105605.0</v>
      </c>
      <c r="CX195" s="37" t="s">
        <v>122</v>
      </c>
      <c r="CY195" s="37" t="s">
        <v>123</v>
      </c>
      <c r="CZ195" s="40">
        <v>3988.6</v>
      </c>
      <c r="DA195" s="40">
        <v>14928.76</v>
      </c>
      <c r="DB195" s="40">
        <v>0.0</v>
      </c>
      <c r="DC195" s="40">
        <v>0.61</v>
      </c>
      <c r="DD195" s="40">
        <v>0.0</v>
      </c>
      <c r="DE195" s="40">
        <v>0.0</v>
      </c>
      <c r="DF195" s="37"/>
    </row>
    <row r="196" ht="13.5" customHeight="1">
      <c r="A196" s="37" t="s">
        <v>157</v>
      </c>
      <c r="B196" s="38">
        <v>44013.0</v>
      </c>
      <c r="C196" s="37" t="s">
        <v>124</v>
      </c>
      <c r="D196" s="37" t="s">
        <v>110</v>
      </c>
      <c r="E196" s="37" t="s">
        <v>111</v>
      </c>
      <c r="F196" s="37" t="s">
        <v>176</v>
      </c>
      <c r="G196" s="37" t="s">
        <v>140</v>
      </c>
      <c r="H196" s="37" t="s">
        <v>129</v>
      </c>
      <c r="I196" s="39">
        <v>44027.0</v>
      </c>
      <c r="J196" s="39">
        <v>44028.0</v>
      </c>
      <c r="K196" s="37">
        <f t="shared" si="1"/>
        <v>1</v>
      </c>
      <c r="L196" s="37">
        <v>1.0</v>
      </c>
      <c r="M196" s="37">
        <f t="shared" si="2"/>
        <v>0</v>
      </c>
      <c r="N196" s="39">
        <v>44041.0</v>
      </c>
      <c r="O196" s="39">
        <v>44051.0</v>
      </c>
      <c r="P196" s="37">
        <f t="shared" si="3"/>
        <v>10</v>
      </c>
      <c r="Q196" s="37">
        <v>90.0</v>
      </c>
      <c r="R196" s="37">
        <f t="shared" si="4"/>
        <v>-80</v>
      </c>
      <c r="S196" s="37" t="s">
        <v>597</v>
      </c>
      <c r="T196" s="37" t="s">
        <v>598</v>
      </c>
      <c r="U196" s="37" t="s">
        <v>117</v>
      </c>
      <c r="V196" s="37" t="s">
        <v>132</v>
      </c>
      <c r="W196" s="37" t="s">
        <v>133</v>
      </c>
      <c r="X196" s="37" t="s">
        <v>164</v>
      </c>
      <c r="Y196" s="37">
        <v>2022.0</v>
      </c>
      <c r="Z196" s="37" t="s">
        <v>135</v>
      </c>
      <c r="AA196" s="37">
        <v>2498.0</v>
      </c>
      <c r="AB196" s="37">
        <v>16.0</v>
      </c>
      <c r="AC196" s="37">
        <v>1.0</v>
      </c>
      <c r="AD196" s="40">
        <v>334260.87</v>
      </c>
      <c r="AE196" s="40">
        <v>62442.22</v>
      </c>
      <c r="AF196" s="41">
        <v>0.19</v>
      </c>
      <c r="AG196" s="40">
        <v>34120.69</v>
      </c>
      <c r="AH196" s="40">
        <v>2272.5</v>
      </c>
      <c r="AI196" s="37">
        <v>7.75</v>
      </c>
      <c r="AJ196" s="40">
        <v>150417.0</v>
      </c>
      <c r="AK196" s="37">
        <v>45.0</v>
      </c>
      <c r="AL196" s="39">
        <v>44051.0</v>
      </c>
      <c r="AM196" s="39">
        <v>45877.0</v>
      </c>
      <c r="AN196" s="37">
        <v>60.0</v>
      </c>
      <c r="AO196" s="37">
        <v>1500.0</v>
      </c>
      <c r="AP196" s="37">
        <v>90000.0</v>
      </c>
      <c r="AQ196" s="39">
        <v>46234.0</v>
      </c>
      <c r="AR196" s="37">
        <v>20823.0</v>
      </c>
      <c r="AS196" s="37">
        <v>21052.0</v>
      </c>
      <c r="AT196" s="37">
        <v>229.0</v>
      </c>
      <c r="AU196" s="37">
        <v>20457.0</v>
      </c>
      <c r="AV196" s="37">
        <v>620.0</v>
      </c>
      <c r="AW196" s="40">
        <v>4935.18</v>
      </c>
      <c r="AX196" s="40">
        <v>1031.8</v>
      </c>
      <c r="AY196" s="40">
        <v>125.0</v>
      </c>
      <c r="AZ196" s="40">
        <v>291.0</v>
      </c>
      <c r="BA196" s="40">
        <v>1083.24</v>
      </c>
      <c r="BB196" s="40">
        <v>7466.22</v>
      </c>
      <c r="BC196" s="40">
        <v>1119.93</v>
      </c>
      <c r="BD196" s="40">
        <v>8586.15</v>
      </c>
      <c r="BE196" s="39">
        <v>45748.0</v>
      </c>
      <c r="BF196" s="39">
        <v>45838.0</v>
      </c>
      <c r="BG196" s="37">
        <v>20655.0</v>
      </c>
      <c r="BH196" s="37">
        <v>21052.0</v>
      </c>
      <c r="BI196" s="37">
        <v>397.0</v>
      </c>
      <c r="BJ196" s="37">
        <v>4500.0</v>
      </c>
      <c r="BK196" s="37">
        <v>-4103.0</v>
      </c>
      <c r="BL196" s="40">
        <v>0.78</v>
      </c>
      <c r="BM196" s="40">
        <v>2.31</v>
      </c>
      <c r="BN196" s="40">
        <v>0.0</v>
      </c>
      <c r="BO196" s="40">
        <v>0.0</v>
      </c>
      <c r="BP196" s="40">
        <v>0.0</v>
      </c>
      <c r="BQ196" s="40">
        <v>-418.51</v>
      </c>
      <c r="BR196" s="40">
        <v>0.0</v>
      </c>
      <c r="BS196" s="40">
        <v>0.0</v>
      </c>
      <c r="BT196" s="40">
        <v>0.0</v>
      </c>
      <c r="BU196" s="40">
        <v>0.0</v>
      </c>
      <c r="BV196" s="40">
        <v>0.0</v>
      </c>
      <c r="BW196" s="40">
        <v>0.0</v>
      </c>
      <c r="BX196" s="40">
        <v>0.0</v>
      </c>
      <c r="BY196" s="40">
        <v>1494.22</v>
      </c>
      <c r="BZ196" s="37">
        <v>0.0</v>
      </c>
      <c r="CA196" s="40">
        <v>0.0</v>
      </c>
      <c r="CB196" s="37">
        <v>0.0</v>
      </c>
      <c r="CC196" s="40">
        <v>0.0</v>
      </c>
      <c r="CD196" s="40">
        <v>0.0</v>
      </c>
      <c r="CE196" s="40">
        <v>0.0</v>
      </c>
      <c r="CF196" s="40">
        <v>0.0</v>
      </c>
      <c r="CG196" s="40">
        <v>0.0</v>
      </c>
      <c r="CH196" s="40">
        <v>5377.6</v>
      </c>
      <c r="CI196" s="40">
        <v>701.42</v>
      </c>
      <c r="CJ196" s="40">
        <v>4676.18</v>
      </c>
      <c r="CK196" s="40">
        <v>20.42</v>
      </c>
      <c r="CL196" s="37">
        <v>0.0</v>
      </c>
      <c r="CM196" s="37">
        <v>0.0</v>
      </c>
      <c r="CN196" s="37">
        <v>0.0</v>
      </c>
      <c r="CO196" s="37">
        <v>100.0</v>
      </c>
      <c r="CP196" s="39"/>
      <c r="CQ196" s="37">
        <v>0.0</v>
      </c>
      <c r="CR196" s="37">
        <v>0.0</v>
      </c>
      <c r="CS196" s="37">
        <v>0.0</v>
      </c>
      <c r="CT196" s="37">
        <v>-29536.0</v>
      </c>
      <c r="CU196" s="39">
        <v>46660.0</v>
      </c>
      <c r="CV196" s="39">
        <v>46660.0</v>
      </c>
      <c r="CW196" s="37">
        <v>90595.0</v>
      </c>
      <c r="CX196" s="37" t="s">
        <v>122</v>
      </c>
      <c r="CY196" s="37" t="s">
        <v>123</v>
      </c>
      <c r="CZ196" s="40">
        <v>0.0</v>
      </c>
      <c r="DA196" s="40">
        <v>0.0</v>
      </c>
      <c r="DB196" s="40">
        <v>-8345.64</v>
      </c>
      <c r="DC196" s="40">
        <v>0.68</v>
      </c>
      <c r="DD196" s="40">
        <v>-2790.04</v>
      </c>
      <c r="DE196" s="40">
        <v>-3208.55</v>
      </c>
      <c r="DF196" s="37"/>
    </row>
    <row r="197" ht="13.5" customHeight="1">
      <c r="A197" s="37" t="s">
        <v>157</v>
      </c>
      <c r="B197" s="38">
        <v>44013.0</v>
      </c>
      <c r="C197" s="37" t="s">
        <v>136</v>
      </c>
      <c r="D197" s="37" t="s">
        <v>125</v>
      </c>
      <c r="E197" s="37" t="s">
        <v>126</v>
      </c>
      <c r="F197" s="37" t="s">
        <v>176</v>
      </c>
      <c r="G197" s="37" t="s">
        <v>140</v>
      </c>
      <c r="H197" s="37" t="s">
        <v>141</v>
      </c>
      <c r="I197" s="39">
        <v>44028.0</v>
      </c>
      <c r="J197" s="39">
        <v>44029.0</v>
      </c>
      <c r="K197" s="37">
        <f t="shared" si="1"/>
        <v>1</v>
      </c>
      <c r="L197" s="37">
        <v>1.0</v>
      </c>
      <c r="M197" s="37">
        <f t="shared" si="2"/>
        <v>0</v>
      </c>
      <c r="N197" s="39">
        <v>44042.0</v>
      </c>
      <c r="O197" s="39">
        <v>44052.0</v>
      </c>
      <c r="P197" s="37">
        <f t="shared" si="3"/>
        <v>10</v>
      </c>
      <c r="Q197" s="37">
        <v>90.0</v>
      </c>
      <c r="R197" s="37">
        <f t="shared" si="4"/>
        <v>-80</v>
      </c>
      <c r="S197" s="37" t="s">
        <v>599</v>
      </c>
      <c r="T197" s="37" t="s">
        <v>600</v>
      </c>
      <c r="U197" s="37" t="s">
        <v>117</v>
      </c>
      <c r="V197" s="37" t="s">
        <v>147</v>
      </c>
      <c r="W197" s="37" t="s">
        <v>133</v>
      </c>
      <c r="X197" s="37" t="s">
        <v>168</v>
      </c>
      <c r="Y197" s="37">
        <v>2021.0</v>
      </c>
      <c r="Z197" s="37" t="s">
        <v>135</v>
      </c>
      <c r="AA197" s="37">
        <v>2498.0</v>
      </c>
      <c r="AB197" s="37">
        <v>16.0</v>
      </c>
      <c r="AC197" s="37">
        <v>5.0</v>
      </c>
      <c r="AD197" s="40">
        <v>400956.52</v>
      </c>
      <c r="AE197" s="40">
        <v>69496.3</v>
      </c>
      <c r="AF197" s="41">
        <v>0.17</v>
      </c>
      <c r="AG197" s="40">
        <v>20092.43</v>
      </c>
      <c r="AH197" s="40">
        <v>2112.0</v>
      </c>
      <c r="AI197" s="37">
        <v>7.75</v>
      </c>
      <c r="AJ197" s="40">
        <v>168402.0</v>
      </c>
      <c r="AK197" s="37">
        <v>42.0</v>
      </c>
      <c r="AL197" s="39">
        <v>44052.0</v>
      </c>
      <c r="AM197" s="39">
        <v>45878.0</v>
      </c>
      <c r="AN197" s="37">
        <v>60.0</v>
      </c>
      <c r="AO197" s="37">
        <v>1500.0</v>
      </c>
      <c r="AP197" s="37">
        <v>90000.0</v>
      </c>
      <c r="AQ197" s="39">
        <v>46234.0</v>
      </c>
      <c r="AR197" s="37">
        <v>37273.0</v>
      </c>
      <c r="AS197" s="37">
        <v>38211.0</v>
      </c>
      <c r="AT197" s="37">
        <v>938.0</v>
      </c>
      <c r="AU197" s="37">
        <v>37230.0</v>
      </c>
      <c r="AV197" s="37">
        <v>827.0</v>
      </c>
      <c r="AW197" s="40">
        <v>5587.47</v>
      </c>
      <c r="AX197" s="40">
        <v>1029.13</v>
      </c>
      <c r="AY197" s="40">
        <v>125.0</v>
      </c>
      <c r="AZ197" s="40">
        <v>291.0</v>
      </c>
      <c r="BA197" s="40">
        <v>1083.24</v>
      </c>
      <c r="BB197" s="40">
        <v>8115.84</v>
      </c>
      <c r="BC197" s="40">
        <v>1217.38</v>
      </c>
      <c r="BD197" s="40">
        <v>9333.22</v>
      </c>
      <c r="BE197" s="39">
        <v>45748.0</v>
      </c>
      <c r="BF197" s="39">
        <v>45838.0</v>
      </c>
      <c r="BG197" s="37">
        <v>35634.0</v>
      </c>
      <c r="BH197" s="37">
        <v>38211.0</v>
      </c>
      <c r="BI197" s="37">
        <v>2577.0</v>
      </c>
      <c r="BJ197" s="37">
        <v>4500.0</v>
      </c>
      <c r="BK197" s="37">
        <v>-1923.0</v>
      </c>
      <c r="BL197" s="40">
        <v>0.79</v>
      </c>
      <c r="BM197" s="40">
        <v>3.06</v>
      </c>
      <c r="BN197" s="40">
        <v>0.0</v>
      </c>
      <c r="BO197" s="40">
        <v>0.0</v>
      </c>
      <c r="BP197" s="40">
        <v>0.0</v>
      </c>
      <c r="BQ197" s="40">
        <v>-196.15</v>
      </c>
      <c r="BR197" s="40">
        <v>0.0</v>
      </c>
      <c r="BS197" s="40">
        <v>0.0</v>
      </c>
      <c r="BT197" s="40">
        <v>0.0</v>
      </c>
      <c r="BU197" s="40">
        <v>0.0</v>
      </c>
      <c r="BV197" s="40">
        <v>0.0</v>
      </c>
      <c r="BW197" s="40">
        <v>0.0</v>
      </c>
      <c r="BX197" s="40">
        <v>0.0</v>
      </c>
      <c r="BY197" s="40">
        <v>0.0</v>
      </c>
      <c r="BZ197" s="37">
        <v>0.0</v>
      </c>
      <c r="CA197" s="40">
        <v>0.0</v>
      </c>
      <c r="CB197" s="37">
        <v>0.0</v>
      </c>
      <c r="CC197" s="40">
        <v>0.0</v>
      </c>
      <c r="CD197" s="40">
        <v>0.0</v>
      </c>
      <c r="CE197" s="40">
        <v>0.0</v>
      </c>
      <c r="CF197" s="40">
        <v>0.0</v>
      </c>
      <c r="CG197" s="40">
        <v>0.0</v>
      </c>
      <c r="CH197" s="40">
        <v>7829.43</v>
      </c>
      <c r="CI197" s="40">
        <v>1021.23</v>
      </c>
      <c r="CJ197" s="40">
        <v>6808.2</v>
      </c>
      <c r="CK197" s="40">
        <v>7.26</v>
      </c>
      <c r="CL197" s="37">
        <v>0.0</v>
      </c>
      <c r="CM197" s="37">
        <v>0.0</v>
      </c>
      <c r="CN197" s="37">
        <v>0.0</v>
      </c>
      <c r="CO197" s="37">
        <v>100.0</v>
      </c>
      <c r="CP197" s="39"/>
      <c r="CQ197" s="37">
        <v>0.0</v>
      </c>
      <c r="CR197" s="37">
        <v>0.0</v>
      </c>
      <c r="CS197" s="37">
        <v>0.0</v>
      </c>
      <c r="CT197" s="37">
        <v>-30812.0</v>
      </c>
      <c r="CU197" s="39">
        <v>46295.0</v>
      </c>
      <c r="CV197" s="39">
        <v>46295.0</v>
      </c>
      <c r="CW197" s="37">
        <v>90981.0</v>
      </c>
      <c r="CX197" s="37" t="s">
        <v>122</v>
      </c>
      <c r="CY197" s="37" t="s">
        <v>123</v>
      </c>
      <c r="CZ197" s="40">
        <v>0.0</v>
      </c>
      <c r="DA197" s="40">
        <v>0.0</v>
      </c>
      <c r="DB197" s="40">
        <v>-5882.0</v>
      </c>
      <c r="DC197" s="40">
        <v>0.68</v>
      </c>
      <c r="DD197" s="40">
        <v>-1307.64</v>
      </c>
      <c r="DE197" s="40">
        <v>-1503.79</v>
      </c>
      <c r="DF197" s="37"/>
    </row>
    <row r="198" ht="13.5" customHeight="1">
      <c r="A198" s="37" t="s">
        <v>175</v>
      </c>
      <c r="B198" s="38">
        <v>44013.0</v>
      </c>
      <c r="C198" s="37" t="s">
        <v>109</v>
      </c>
      <c r="D198" s="37" t="s">
        <v>137</v>
      </c>
      <c r="E198" s="37" t="s">
        <v>138</v>
      </c>
      <c r="F198" s="37" t="s">
        <v>179</v>
      </c>
      <c r="G198" s="37" t="s">
        <v>140</v>
      </c>
      <c r="H198" s="37" t="s">
        <v>114</v>
      </c>
      <c r="I198" s="39">
        <v>44029.0</v>
      </c>
      <c r="J198" s="39">
        <v>44030.0</v>
      </c>
      <c r="K198" s="37">
        <f t="shared" si="1"/>
        <v>1</v>
      </c>
      <c r="L198" s="37">
        <v>1.0</v>
      </c>
      <c r="M198" s="37">
        <f t="shared" si="2"/>
        <v>0</v>
      </c>
      <c r="N198" s="39">
        <v>44043.0</v>
      </c>
      <c r="O198" s="39">
        <v>44114.0</v>
      </c>
      <c r="P198" s="37">
        <f t="shared" si="3"/>
        <v>71</v>
      </c>
      <c r="Q198" s="37">
        <v>90.0</v>
      </c>
      <c r="R198" s="37">
        <f t="shared" si="4"/>
        <v>-19</v>
      </c>
      <c r="S198" s="37" t="s">
        <v>601</v>
      </c>
      <c r="T198" s="37" t="s">
        <v>602</v>
      </c>
      <c r="U198" s="37" t="s">
        <v>117</v>
      </c>
      <c r="V198" s="37" t="s">
        <v>207</v>
      </c>
      <c r="W198" s="37" t="s">
        <v>199</v>
      </c>
      <c r="X198" s="37" t="s">
        <v>225</v>
      </c>
      <c r="Y198" s="37">
        <v>2021.0</v>
      </c>
      <c r="Z198" s="37" t="s">
        <v>135</v>
      </c>
      <c r="AA198" s="37">
        <v>2498.0</v>
      </c>
      <c r="AB198" s="37">
        <v>16.0</v>
      </c>
      <c r="AC198" s="37">
        <v>13.0</v>
      </c>
      <c r="AD198" s="40">
        <v>400956.52</v>
      </c>
      <c r="AE198" s="40">
        <v>69496.3</v>
      </c>
      <c r="AF198" s="41">
        <v>0.17</v>
      </c>
      <c r="AG198" s="40">
        <v>14145.7</v>
      </c>
      <c r="AH198" s="40">
        <v>2848.0</v>
      </c>
      <c r="AI198" s="37">
        <v>7.75</v>
      </c>
      <c r="AJ198" s="40">
        <v>248348.0</v>
      </c>
      <c r="AK198" s="37">
        <v>48.0</v>
      </c>
      <c r="AL198" s="39">
        <v>44114.0</v>
      </c>
      <c r="AM198" s="39">
        <v>45940.0</v>
      </c>
      <c r="AN198" s="37">
        <v>60.0</v>
      </c>
      <c r="AO198" s="37">
        <v>3000.0</v>
      </c>
      <c r="AP198" s="37">
        <v>180000.0</v>
      </c>
      <c r="AQ198" s="39">
        <v>45869.0</v>
      </c>
      <c r="AR198" s="37">
        <v>139264.0</v>
      </c>
      <c r="AS198" s="37">
        <v>139966.0</v>
      </c>
      <c r="AT198" s="37">
        <v>702.0</v>
      </c>
      <c r="AU198" s="37">
        <v>139541.0</v>
      </c>
      <c r="AV198" s="37">
        <v>3101.0</v>
      </c>
      <c r="AW198" s="40">
        <v>7365.63</v>
      </c>
      <c r="AX198" s="40">
        <v>1845.33</v>
      </c>
      <c r="AY198" s="40">
        <v>190.0</v>
      </c>
      <c r="AZ198" s="40">
        <v>291.0</v>
      </c>
      <c r="BA198" s="40">
        <v>1522.99</v>
      </c>
      <c r="BB198" s="40">
        <v>11214.95</v>
      </c>
      <c r="BC198" s="40">
        <v>1682.24</v>
      </c>
      <c r="BD198" s="40">
        <v>12897.19</v>
      </c>
      <c r="BE198" s="39">
        <v>45748.0</v>
      </c>
      <c r="BF198" s="39">
        <v>45838.0</v>
      </c>
      <c r="BG198" s="37">
        <v>134437.0</v>
      </c>
      <c r="BH198" s="37">
        <v>139966.0</v>
      </c>
      <c r="BI198" s="37">
        <v>5529.0</v>
      </c>
      <c r="BJ198" s="37">
        <v>9000.0</v>
      </c>
      <c r="BK198" s="37">
        <v>-3471.0</v>
      </c>
      <c r="BL198" s="40">
        <v>0.71</v>
      </c>
      <c r="BM198" s="40">
        <v>1.76</v>
      </c>
      <c r="BN198" s="40">
        <v>0.0</v>
      </c>
      <c r="BO198" s="40">
        <v>0.0</v>
      </c>
      <c r="BP198" s="40">
        <v>0.0</v>
      </c>
      <c r="BQ198" s="40">
        <v>-317.6</v>
      </c>
      <c r="BR198" s="40">
        <v>0.0</v>
      </c>
      <c r="BS198" s="40">
        <v>0.0</v>
      </c>
      <c r="BT198" s="40">
        <v>0.0</v>
      </c>
      <c r="BU198" s="40">
        <v>0.0</v>
      </c>
      <c r="BV198" s="40">
        <v>0.0</v>
      </c>
      <c r="BW198" s="40">
        <v>0.0</v>
      </c>
      <c r="BX198" s="40">
        <v>0.0</v>
      </c>
      <c r="BY198" s="40">
        <v>962.04</v>
      </c>
      <c r="BZ198" s="37">
        <v>0.0</v>
      </c>
      <c r="CA198" s="40">
        <v>0.0</v>
      </c>
      <c r="CB198" s="37">
        <v>0.0</v>
      </c>
      <c r="CC198" s="40">
        <v>0.0</v>
      </c>
      <c r="CD198" s="40">
        <v>0.0</v>
      </c>
      <c r="CE198" s="40">
        <v>0.0</v>
      </c>
      <c r="CF198" s="40">
        <v>0.0</v>
      </c>
      <c r="CG198" s="40">
        <v>0.0</v>
      </c>
      <c r="CH198" s="40">
        <v>10462.28</v>
      </c>
      <c r="CI198" s="40">
        <v>1364.64</v>
      </c>
      <c r="CJ198" s="40">
        <v>9097.64</v>
      </c>
      <c r="CK198" s="40">
        <v>12.96</v>
      </c>
      <c r="CL198" s="37">
        <v>0.0</v>
      </c>
      <c r="CM198" s="37">
        <v>0.0</v>
      </c>
      <c r="CN198" s="37">
        <v>0.0</v>
      </c>
      <c r="CO198" s="37">
        <v>100.0</v>
      </c>
      <c r="CP198" s="39"/>
      <c r="CQ198" s="37">
        <v>0.0</v>
      </c>
      <c r="CR198" s="37">
        <v>0.0</v>
      </c>
      <c r="CS198" s="37">
        <v>0.0</v>
      </c>
      <c r="CT198" s="37">
        <v>1681.0</v>
      </c>
      <c r="CU198" s="39">
        <v>46295.0</v>
      </c>
      <c r="CV198" s="39">
        <v>46295.0</v>
      </c>
      <c r="CW198" s="37">
        <v>180425.0</v>
      </c>
      <c r="CX198" s="37" t="s">
        <v>122</v>
      </c>
      <c r="CY198" s="37" t="s">
        <v>123</v>
      </c>
      <c r="CZ198" s="40">
        <v>2781.07</v>
      </c>
      <c r="DA198" s="40">
        <v>6893.92</v>
      </c>
      <c r="DB198" s="40">
        <v>-2117.31</v>
      </c>
      <c r="DC198" s="40">
        <v>0.61</v>
      </c>
      <c r="DD198" s="40">
        <v>-2117.31</v>
      </c>
      <c r="DE198" s="40">
        <v>-2434.91</v>
      </c>
      <c r="DF198" s="37"/>
    </row>
    <row r="199" ht="13.5" customHeight="1">
      <c r="A199" s="37" t="s">
        <v>175</v>
      </c>
      <c r="B199" s="38">
        <v>44013.0</v>
      </c>
      <c r="C199" s="37" t="s">
        <v>124</v>
      </c>
      <c r="D199" s="37" t="s">
        <v>110</v>
      </c>
      <c r="E199" s="37" t="s">
        <v>111</v>
      </c>
      <c r="F199" s="37" t="s">
        <v>179</v>
      </c>
      <c r="G199" s="37" t="s">
        <v>140</v>
      </c>
      <c r="H199" s="37" t="s">
        <v>129</v>
      </c>
      <c r="I199" s="39">
        <v>44030.0</v>
      </c>
      <c r="J199" s="39">
        <v>44041.0</v>
      </c>
      <c r="K199" s="37">
        <f t="shared" si="1"/>
        <v>11</v>
      </c>
      <c r="L199" s="37">
        <v>1.0</v>
      </c>
      <c r="M199" s="37">
        <f t="shared" si="2"/>
        <v>10</v>
      </c>
      <c r="N199" s="39">
        <v>44044.0</v>
      </c>
      <c r="O199" s="39">
        <v>44054.0</v>
      </c>
      <c r="P199" s="37">
        <f t="shared" si="3"/>
        <v>10</v>
      </c>
      <c r="Q199" s="37">
        <v>90.0</v>
      </c>
      <c r="R199" s="37">
        <f t="shared" si="4"/>
        <v>-80</v>
      </c>
      <c r="S199" s="37" t="s">
        <v>603</v>
      </c>
      <c r="T199" s="37" t="s">
        <v>604</v>
      </c>
      <c r="U199" s="37" t="s">
        <v>117</v>
      </c>
      <c r="V199" s="37" t="s">
        <v>207</v>
      </c>
      <c r="W199" s="37" t="s">
        <v>199</v>
      </c>
      <c r="X199" s="37" t="s">
        <v>225</v>
      </c>
      <c r="Y199" s="37">
        <v>2021.0</v>
      </c>
      <c r="Z199" s="37" t="s">
        <v>135</v>
      </c>
      <c r="AA199" s="37">
        <v>2498.0</v>
      </c>
      <c r="AB199" s="37">
        <v>16.0</v>
      </c>
      <c r="AC199" s="37">
        <v>16.0</v>
      </c>
      <c r="AD199" s="40">
        <v>400956.52</v>
      </c>
      <c r="AE199" s="40">
        <v>69496.3</v>
      </c>
      <c r="AF199" s="41">
        <v>0.17</v>
      </c>
      <c r="AG199" s="40">
        <v>14128.58</v>
      </c>
      <c r="AH199" s="40">
        <v>2298.0</v>
      </c>
      <c r="AI199" s="37">
        <v>7.75</v>
      </c>
      <c r="AJ199" s="40">
        <v>248348.0</v>
      </c>
      <c r="AK199" s="37">
        <v>48.0</v>
      </c>
      <c r="AL199" s="39">
        <v>44054.0</v>
      </c>
      <c r="AM199" s="39">
        <v>45880.0</v>
      </c>
      <c r="AN199" s="37">
        <v>60.0</v>
      </c>
      <c r="AO199" s="37">
        <v>3000.0</v>
      </c>
      <c r="AP199" s="37">
        <v>180000.0</v>
      </c>
      <c r="AQ199" s="39">
        <v>45900.0</v>
      </c>
      <c r="AR199" s="37">
        <v>179232.0</v>
      </c>
      <c r="AS199" s="37">
        <v>184838.0</v>
      </c>
      <c r="AT199" s="37">
        <v>5606.0</v>
      </c>
      <c r="AU199" s="37">
        <v>184387.0</v>
      </c>
      <c r="AV199" s="37">
        <v>4097.0</v>
      </c>
      <c r="AW199" s="40">
        <v>7354.25</v>
      </c>
      <c r="AX199" s="40">
        <v>1845.33</v>
      </c>
      <c r="AY199" s="40">
        <v>190.0</v>
      </c>
      <c r="AZ199" s="40">
        <v>291.0</v>
      </c>
      <c r="BA199" s="40">
        <v>1522.99</v>
      </c>
      <c r="BB199" s="40">
        <v>11203.57</v>
      </c>
      <c r="BC199" s="40">
        <v>1680.54</v>
      </c>
      <c r="BD199" s="40">
        <v>12884.11</v>
      </c>
      <c r="BE199" s="39">
        <v>45748.0</v>
      </c>
      <c r="BF199" s="39">
        <v>45838.0</v>
      </c>
      <c r="BG199" s="37">
        <v>170271.0</v>
      </c>
      <c r="BH199" s="37">
        <v>184838.0</v>
      </c>
      <c r="BI199" s="37">
        <v>14567.0</v>
      </c>
      <c r="BJ199" s="37">
        <v>9000.0</v>
      </c>
      <c r="BK199" s="37">
        <v>5567.0</v>
      </c>
      <c r="BL199" s="40">
        <v>0.71</v>
      </c>
      <c r="BM199" s="40">
        <v>1.76</v>
      </c>
      <c r="BN199" s="40">
        <v>3952.57</v>
      </c>
      <c r="BO199" s="40">
        <v>9797.92</v>
      </c>
      <c r="BP199" s="40">
        <v>13750.49</v>
      </c>
      <c r="BQ199" s="40">
        <v>2062.57</v>
      </c>
      <c r="BR199" s="40">
        <v>15813.06</v>
      </c>
      <c r="BS199" s="40">
        <v>0.0</v>
      </c>
      <c r="BT199" s="40">
        <v>0.0</v>
      </c>
      <c r="BU199" s="40">
        <v>0.0</v>
      </c>
      <c r="BV199" s="40">
        <v>0.0</v>
      </c>
      <c r="BW199" s="40">
        <v>0.0</v>
      </c>
      <c r="BX199" s="40">
        <v>0.0</v>
      </c>
      <c r="BY199" s="40">
        <v>9798.4</v>
      </c>
      <c r="BZ199" s="37">
        <v>0.0</v>
      </c>
      <c r="CA199" s="40">
        <v>0.0</v>
      </c>
      <c r="CB199" s="37">
        <v>0.0</v>
      </c>
      <c r="CC199" s="40">
        <v>0.0</v>
      </c>
      <c r="CD199" s="40">
        <v>0.0</v>
      </c>
      <c r="CE199" s="40">
        <v>0.0</v>
      </c>
      <c r="CF199" s="40">
        <v>0.0</v>
      </c>
      <c r="CG199" s="40">
        <v>0.0</v>
      </c>
      <c r="CH199" s="40">
        <v>28697.17</v>
      </c>
      <c r="CI199" s="40">
        <v>3743.11</v>
      </c>
      <c r="CJ199" s="40">
        <v>24954.06</v>
      </c>
      <c r="CK199" s="40">
        <v>4.45</v>
      </c>
      <c r="CL199" s="37">
        <v>0.0</v>
      </c>
      <c r="CM199" s="37">
        <v>0.0</v>
      </c>
      <c r="CN199" s="37">
        <v>0.0</v>
      </c>
      <c r="CO199" s="37">
        <v>100.0</v>
      </c>
      <c r="CP199" s="39"/>
      <c r="CQ199" s="37">
        <v>0.0</v>
      </c>
      <c r="CR199" s="37">
        <v>0.0</v>
      </c>
      <c r="CS199" s="37">
        <v>0.0</v>
      </c>
      <c r="CT199" s="37">
        <v>47218.0</v>
      </c>
      <c r="CU199" s="39">
        <v>46295.0</v>
      </c>
      <c r="CV199" s="39">
        <v>46295.0</v>
      </c>
      <c r="CW199" s="37">
        <v>180451.0</v>
      </c>
      <c r="CX199" s="37" t="s">
        <v>122</v>
      </c>
      <c r="CY199" s="37" t="s">
        <v>123</v>
      </c>
      <c r="CZ199" s="40">
        <v>15901.16</v>
      </c>
      <c r="DA199" s="40">
        <v>39416.96</v>
      </c>
      <c r="DB199" s="40">
        <v>0.0</v>
      </c>
      <c r="DC199" s="40">
        <v>0.61</v>
      </c>
      <c r="DD199" s="40">
        <v>0.0</v>
      </c>
      <c r="DE199" s="40">
        <v>0.0</v>
      </c>
      <c r="DF199" s="37"/>
    </row>
    <row r="200" ht="13.5" customHeight="1">
      <c r="A200" s="37" t="s">
        <v>175</v>
      </c>
      <c r="B200" s="38">
        <v>44013.0</v>
      </c>
      <c r="C200" s="37" t="s">
        <v>136</v>
      </c>
      <c r="D200" s="37" t="s">
        <v>125</v>
      </c>
      <c r="E200" s="37" t="s">
        <v>126</v>
      </c>
      <c r="F200" s="37" t="s">
        <v>176</v>
      </c>
      <c r="G200" s="37" t="s">
        <v>140</v>
      </c>
      <c r="H200" s="37" t="s">
        <v>141</v>
      </c>
      <c r="I200" s="39">
        <v>44031.0</v>
      </c>
      <c r="J200" s="39">
        <v>44032.0</v>
      </c>
      <c r="K200" s="37">
        <f t="shared" si="1"/>
        <v>1</v>
      </c>
      <c r="L200" s="37">
        <v>1.0</v>
      </c>
      <c r="M200" s="37">
        <f t="shared" si="2"/>
        <v>0</v>
      </c>
      <c r="N200" s="39">
        <v>44045.0</v>
      </c>
      <c r="O200" s="39">
        <v>44055.0</v>
      </c>
      <c r="P200" s="37">
        <f t="shared" si="3"/>
        <v>10</v>
      </c>
      <c r="Q200" s="37">
        <v>90.0</v>
      </c>
      <c r="R200" s="37">
        <f t="shared" si="4"/>
        <v>-80</v>
      </c>
      <c r="S200" s="37" t="s">
        <v>605</v>
      </c>
      <c r="T200" s="37" t="s">
        <v>606</v>
      </c>
      <c r="U200" s="37" t="s">
        <v>117</v>
      </c>
      <c r="V200" s="37" t="s">
        <v>147</v>
      </c>
      <c r="W200" s="37" t="s">
        <v>182</v>
      </c>
      <c r="X200" s="37" t="s">
        <v>259</v>
      </c>
      <c r="Y200" s="37">
        <v>2024.0</v>
      </c>
      <c r="Z200" s="37" t="s">
        <v>135</v>
      </c>
      <c r="AA200" s="37">
        <v>1998.0</v>
      </c>
      <c r="AB200" s="37">
        <v>16.0</v>
      </c>
      <c r="AC200" s="37">
        <v>0.0</v>
      </c>
      <c r="AD200" s="40">
        <v>453264.78</v>
      </c>
      <c r="AE200" s="40">
        <v>19222.07</v>
      </c>
      <c r="AF200" s="41">
        <v>0.04</v>
      </c>
      <c r="AG200" s="40">
        <v>53744.59</v>
      </c>
      <c r="AH200" s="40">
        <v>2633.0</v>
      </c>
      <c r="AI200" s="37">
        <v>7.75</v>
      </c>
      <c r="AJ200" s="40">
        <v>234700.0</v>
      </c>
      <c r="AK200" s="37">
        <v>51.78</v>
      </c>
      <c r="AL200" s="39">
        <v>44055.0</v>
      </c>
      <c r="AM200" s="39">
        <v>45881.0</v>
      </c>
      <c r="AN200" s="37">
        <v>60.0</v>
      </c>
      <c r="AO200" s="37">
        <v>4000.0</v>
      </c>
      <c r="AP200" s="37">
        <v>220000.0</v>
      </c>
      <c r="AQ200" s="39">
        <v>45869.0</v>
      </c>
      <c r="AR200" s="37">
        <v>26182.0</v>
      </c>
      <c r="AS200" s="37">
        <v>29142.0</v>
      </c>
      <c r="AT200" s="37">
        <v>2960.0</v>
      </c>
      <c r="AU200" s="37">
        <v>28519.0</v>
      </c>
      <c r="AV200" s="37">
        <v>2852.0</v>
      </c>
      <c r="AW200" s="40">
        <v>8071.0</v>
      </c>
      <c r="AX200" s="40">
        <v>2440.0</v>
      </c>
      <c r="AY200" s="40">
        <v>125.0</v>
      </c>
      <c r="AZ200" s="40">
        <v>291.0</v>
      </c>
      <c r="BA200" s="40">
        <v>1522.99</v>
      </c>
      <c r="BB200" s="40">
        <v>12449.99</v>
      </c>
      <c r="BC200" s="40">
        <v>1867.5</v>
      </c>
      <c r="BD200" s="40">
        <v>14317.49</v>
      </c>
      <c r="BE200" s="39">
        <v>45748.0</v>
      </c>
      <c r="BF200" s="39">
        <v>45838.0</v>
      </c>
      <c r="BG200" s="37">
        <v>19965.0</v>
      </c>
      <c r="BH200" s="37">
        <v>29142.0</v>
      </c>
      <c r="BI200" s="37">
        <v>9177.0</v>
      </c>
      <c r="BJ200" s="37">
        <v>12000.0</v>
      </c>
      <c r="BK200" s="37">
        <v>-2823.0</v>
      </c>
      <c r="BL200" s="40">
        <v>0.7</v>
      </c>
      <c r="BM200" s="40">
        <v>0.99</v>
      </c>
      <c r="BN200" s="40">
        <v>0.0</v>
      </c>
      <c r="BO200" s="40">
        <v>0.0</v>
      </c>
      <c r="BP200" s="40">
        <v>0.0</v>
      </c>
      <c r="BQ200" s="40">
        <v>-258.3</v>
      </c>
      <c r="BR200" s="40">
        <v>0.0</v>
      </c>
      <c r="BS200" s="40">
        <v>0.0</v>
      </c>
      <c r="BT200" s="40">
        <v>0.0</v>
      </c>
      <c r="BU200" s="40">
        <v>0.0</v>
      </c>
      <c r="BV200" s="40">
        <v>0.0</v>
      </c>
      <c r="BW200" s="40">
        <v>0.0</v>
      </c>
      <c r="BX200" s="40">
        <v>0.0</v>
      </c>
      <c r="BY200" s="40">
        <v>6016.51</v>
      </c>
      <c r="BZ200" s="37">
        <v>0.0</v>
      </c>
      <c r="CA200" s="40">
        <v>0.0</v>
      </c>
      <c r="CB200" s="37">
        <v>0.0</v>
      </c>
      <c r="CC200" s="40">
        <v>0.0</v>
      </c>
      <c r="CD200" s="40">
        <v>0.0</v>
      </c>
      <c r="CE200" s="40">
        <v>0.0</v>
      </c>
      <c r="CF200" s="40">
        <v>0.0</v>
      </c>
      <c r="CG200" s="40">
        <v>0.0</v>
      </c>
      <c r="CH200" s="40">
        <v>12337.16</v>
      </c>
      <c r="CI200" s="40">
        <v>1609.2</v>
      </c>
      <c r="CJ200" s="40">
        <v>10727.96</v>
      </c>
      <c r="CK200" s="40">
        <v>3.62</v>
      </c>
      <c r="CL200" s="37">
        <v>0.0</v>
      </c>
      <c r="CM200" s="37">
        <v>0.0</v>
      </c>
      <c r="CN200" s="37">
        <v>0.0</v>
      </c>
      <c r="CO200" s="37">
        <v>100.0</v>
      </c>
      <c r="CP200" s="39"/>
      <c r="CQ200" s="37">
        <v>0.0</v>
      </c>
      <c r="CR200" s="37">
        <v>0.0</v>
      </c>
      <c r="CS200" s="37">
        <v>0.0</v>
      </c>
      <c r="CT200" s="37">
        <v>-11875.0</v>
      </c>
      <c r="CU200" s="39">
        <v>47208.0</v>
      </c>
      <c r="CV200" s="39">
        <v>47208.0</v>
      </c>
      <c r="CW200" s="37">
        <v>220623.0</v>
      </c>
      <c r="CX200" s="37" t="s">
        <v>122</v>
      </c>
      <c r="CY200" s="37" t="s">
        <v>123</v>
      </c>
      <c r="CZ200" s="40">
        <v>0.0</v>
      </c>
      <c r="DA200" s="40">
        <v>0.0</v>
      </c>
      <c r="DB200" s="40">
        <v>-7243.75</v>
      </c>
      <c r="DC200" s="40">
        <v>0.61</v>
      </c>
      <c r="DD200" s="40">
        <v>-1722.03</v>
      </c>
      <c r="DE200" s="40">
        <v>-1980.33</v>
      </c>
      <c r="DF200" s="37"/>
    </row>
    <row r="201" ht="13.5" customHeight="1">
      <c r="A201" s="37" t="s">
        <v>175</v>
      </c>
      <c r="B201" s="38">
        <v>44013.0</v>
      </c>
      <c r="C201" s="37" t="s">
        <v>109</v>
      </c>
      <c r="D201" s="37" t="s">
        <v>137</v>
      </c>
      <c r="E201" s="37" t="s">
        <v>138</v>
      </c>
      <c r="F201" s="37" t="s">
        <v>332</v>
      </c>
      <c r="G201" s="37" t="s">
        <v>140</v>
      </c>
      <c r="H201" s="37" t="s">
        <v>114</v>
      </c>
      <c r="I201" s="39">
        <v>44032.0</v>
      </c>
      <c r="J201" s="39">
        <v>44033.0</v>
      </c>
      <c r="K201" s="37">
        <f t="shared" si="1"/>
        <v>1</v>
      </c>
      <c r="L201" s="37">
        <v>1.0</v>
      </c>
      <c r="M201" s="37">
        <f t="shared" si="2"/>
        <v>0</v>
      </c>
      <c r="N201" s="39">
        <v>44046.0</v>
      </c>
      <c r="O201" s="39">
        <v>44056.0</v>
      </c>
      <c r="P201" s="37">
        <f t="shared" si="3"/>
        <v>10</v>
      </c>
      <c r="Q201" s="37">
        <v>90.0</v>
      </c>
      <c r="R201" s="37">
        <f t="shared" si="4"/>
        <v>-80</v>
      </c>
      <c r="S201" s="37" t="s">
        <v>607</v>
      </c>
      <c r="T201" s="37" t="s">
        <v>608</v>
      </c>
      <c r="U201" s="37" t="s">
        <v>117</v>
      </c>
      <c r="V201" s="37" t="s">
        <v>147</v>
      </c>
      <c r="W201" s="37" t="s">
        <v>182</v>
      </c>
      <c r="X201" s="37" t="s">
        <v>183</v>
      </c>
      <c r="Y201" s="37">
        <v>2024.0</v>
      </c>
      <c r="Z201" s="37" t="s">
        <v>135</v>
      </c>
      <c r="AA201" s="37">
        <v>1998.0</v>
      </c>
      <c r="AB201" s="37">
        <v>16.0</v>
      </c>
      <c r="AC201" s="37">
        <v>1.0</v>
      </c>
      <c r="AD201" s="40">
        <v>491833.91</v>
      </c>
      <c r="AE201" s="40">
        <v>37910.0</v>
      </c>
      <c r="AF201" s="41">
        <v>0.08</v>
      </c>
      <c r="AG201" s="40">
        <v>41760.38</v>
      </c>
      <c r="AH201" s="40">
        <v>2724.0</v>
      </c>
      <c r="AI201" s="37">
        <v>7.75</v>
      </c>
      <c r="AJ201" s="40">
        <v>254362.0</v>
      </c>
      <c r="AK201" s="37">
        <v>51.72</v>
      </c>
      <c r="AL201" s="39">
        <v>44056.0</v>
      </c>
      <c r="AM201" s="39">
        <v>45882.0</v>
      </c>
      <c r="AN201" s="37">
        <v>60.0</v>
      </c>
      <c r="AO201" s="37">
        <v>4000.0</v>
      </c>
      <c r="AP201" s="37">
        <v>220000.0</v>
      </c>
      <c r="AQ201" s="39">
        <v>46234.0</v>
      </c>
      <c r="AR201" s="37">
        <v>36245.0</v>
      </c>
      <c r="AS201" s="37">
        <v>40155.0</v>
      </c>
      <c r="AT201" s="37">
        <v>3910.0</v>
      </c>
      <c r="AU201" s="37">
        <v>39390.0</v>
      </c>
      <c r="AV201" s="37">
        <v>3939.0</v>
      </c>
      <c r="AW201" s="40">
        <v>7828.54</v>
      </c>
      <c r="AX201" s="40">
        <v>2440.0</v>
      </c>
      <c r="AY201" s="40">
        <v>125.0</v>
      </c>
      <c r="AZ201" s="40">
        <v>290.99</v>
      </c>
      <c r="BA201" s="40">
        <v>1522.99</v>
      </c>
      <c r="BB201" s="40">
        <v>12207.52</v>
      </c>
      <c r="BC201" s="40">
        <v>1831.13</v>
      </c>
      <c r="BD201" s="40">
        <v>14038.65</v>
      </c>
      <c r="BE201" s="39">
        <v>45748.0</v>
      </c>
      <c r="BF201" s="39">
        <v>45838.0</v>
      </c>
      <c r="BG201" s="37">
        <v>26568.0</v>
      </c>
      <c r="BH201" s="37">
        <v>40155.0</v>
      </c>
      <c r="BI201" s="37">
        <v>13587.0</v>
      </c>
      <c r="BJ201" s="37">
        <v>12000.0</v>
      </c>
      <c r="BK201" s="37">
        <v>1587.0</v>
      </c>
      <c r="BL201" s="40">
        <v>0.7</v>
      </c>
      <c r="BM201" s="40">
        <v>1.08</v>
      </c>
      <c r="BN201" s="40">
        <v>1110.9</v>
      </c>
      <c r="BO201" s="40">
        <v>1713.96</v>
      </c>
      <c r="BP201" s="40">
        <v>2824.86</v>
      </c>
      <c r="BQ201" s="40">
        <v>423.73</v>
      </c>
      <c r="BR201" s="40">
        <v>3248.59</v>
      </c>
      <c r="BS201" s="40">
        <v>0.0</v>
      </c>
      <c r="BT201" s="40">
        <v>0.0</v>
      </c>
      <c r="BU201" s="40">
        <v>0.0</v>
      </c>
      <c r="BV201" s="40">
        <v>0.0</v>
      </c>
      <c r="BW201" s="40">
        <v>0.0</v>
      </c>
      <c r="BX201" s="40">
        <v>0.0</v>
      </c>
      <c r="BY201" s="40">
        <v>7500.89</v>
      </c>
      <c r="BZ201" s="37">
        <v>0.0</v>
      </c>
      <c r="CA201" s="40">
        <v>60.0</v>
      </c>
      <c r="CB201" s="37">
        <v>0.0</v>
      </c>
      <c r="CC201" s="40">
        <v>0.0</v>
      </c>
      <c r="CD201" s="40">
        <v>0.0</v>
      </c>
      <c r="CE201" s="40">
        <v>0.0</v>
      </c>
      <c r="CF201" s="40">
        <v>0.0</v>
      </c>
      <c r="CG201" s="40">
        <v>0.0</v>
      </c>
      <c r="CH201" s="40">
        <v>17287.24</v>
      </c>
      <c r="CI201" s="40">
        <v>2254.86</v>
      </c>
      <c r="CJ201" s="40">
        <v>15032.38</v>
      </c>
      <c r="CK201" s="40">
        <v>3.84</v>
      </c>
      <c r="CL201" s="37">
        <v>0.0</v>
      </c>
      <c r="CM201" s="37">
        <v>0.0</v>
      </c>
      <c r="CN201" s="37">
        <v>0.0</v>
      </c>
      <c r="CO201" s="37">
        <v>100.0</v>
      </c>
      <c r="CP201" s="39"/>
      <c r="CQ201" s="37">
        <v>0.0</v>
      </c>
      <c r="CR201" s="37">
        <v>0.0</v>
      </c>
      <c r="CS201" s="37">
        <v>0.0</v>
      </c>
      <c r="CT201" s="37">
        <v>-2056.0</v>
      </c>
      <c r="CU201" s="39">
        <v>47208.0</v>
      </c>
      <c r="CV201" s="39">
        <v>47208.0</v>
      </c>
      <c r="CW201" s="37">
        <v>220765.0</v>
      </c>
      <c r="CX201" s="37" t="s">
        <v>122</v>
      </c>
      <c r="CY201" s="37" t="s">
        <v>123</v>
      </c>
      <c r="CZ201" s="40">
        <v>1110.9</v>
      </c>
      <c r="DA201" s="40">
        <v>1713.96</v>
      </c>
      <c r="DB201" s="40">
        <v>-2247.24</v>
      </c>
      <c r="DC201" s="40">
        <v>0.61</v>
      </c>
      <c r="DD201" s="40">
        <v>0.0</v>
      </c>
      <c r="DE201" s="40">
        <v>0.0</v>
      </c>
      <c r="DF201" s="37"/>
    </row>
    <row r="202" ht="13.5" customHeight="1">
      <c r="A202" s="37" t="s">
        <v>175</v>
      </c>
      <c r="B202" s="38">
        <v>44013.0</v>
      </c>
      <c r="C202" s="37" t="s">
        <v>124</v>
      </c>
      <c r="D202" s="37" t="s">
        <v>110</v>
      </c>
      <c r="E202" s="37" t="s">
        <v>111</v>
      </c>
      <c r="F202" s="37" t="s">
        <v>172</v>
      </c>
      <c r="G202" s="37" t="s">
        <v>140</v>
      </c>
      <c r="H202" s="37" t="s">
        <v>129</v>
      </c>
      <c r="I202" s="39">
        <v>44033.0</v>
      </c>
      <c r="J202" s="39">
        <v>44034.0</v>
      </c>
      <c r="K202" s="37">
        <f t="shared" si="1"/>
        <v>1</v>
      </c>
      <c r="L202" s="37">
        <v>1.0</v>
      </c>
      <c r="M202" s="37">
        <f t="shared" si="2"/>
        <v>0</v>
      </c>
      <c r="N202" s="39">
        <v>44047.0</v>
      </c>
      <c r="O202" s="39">
        <v>44149.0</v>
      </c>
      <c r="P202" s="37">
        <f t="shared" si="3"/>
        <v>102</v>
      </c>
      <c r="Q202" s="37">
        <v>90.0</v>
      </c>
      <c r="R202" s="37">
        <f t="shared" si="4"/>
        <v>12</v>
      </c>
      <c r="S202" s="37" t="s">
        <v>609</v>
      </c>
      <c r="T202" s="37" t="s">
        <v>610</v>
      </c>
      <c r="U202" s="37" t="s">
        <v>117</v>
      </c>
      <c r="V202" s="37" t="s">
        <v>147</v>
      </c>
      <c r="W202" s="37" t="s">
        <v>182</v>
      </c>
      <c r="X202" s="37" t="s">
        <v>259</v>
      </c>
      <c r="Y202" s="37">
        <v>2024.0</v>
      </c>
      <c r="Z202" s="37" t="s">
        <v>135</v>
      </c>
      <c r="AA202" s="37">
        <v>1998.0</v>
      </c>
      <c r="AB202" s="37">
        <v>16.0</v>
      </c>
      <c r="AC202" s="37">
        <v>1.99</v>
      </c>
      <c r="AD202" s="40">
        <v>453264.78</v>
      </c>
      <c r="AE202" s="40">
        <v>19222.07</v>
      </c>
      <c r="AF202" s="41">
        <v>0.04</v>
      </c>
      <c r="AG202" s="40">
        <v>42802.75</v>
      </c>
      <c r="AH202" s="40">
        <v>2322.0</v>
      </c>
      <c r="AI202" s="37">
        <v>7.75</v>
      </c>
      <c r="AJ202" s="40">
        <v>234700.0</v>
      </c>
      <c r="AK202" s="37">
        <v>51.78</v>
      </c>
      <c r="AL202" s="39">
        <v>44149.0</v>
      </c>
      <c r="AM202" s="39">
        <v>45975.0</v>
      </c>
      <c r="AN202" s="37">
        <v>60.0</v>
      </c>
      <c r="AO202" s="37">
        <v>3500.0</v>
      </c>
      <c r="AP202" s="37">
        <v>210000.0</v>
      </c>
      <c r="AQ202" s="39">
        <v>46234.0</v>
      </c>
      <c r="AR202" s="37">
        <v>28793.0</v>
      </c>
      <c r="AS202" s="37">
        <v>31788.0</v>
      </c>
      <c r="AT202" s="37">
        <v>2995.0</v>
      </c>
      <c r="AU202" s="37">
        <v>31181.0</v>
      </c>
      <c r="AV202" s="37">
        <v>3465.0</v>
      </c>
      <c r="AW202" s="40">
        <v>7304.7</v>
      </c>
      <c r="AX202" s="40">
        <v>1995.0</v>
      </c>
      <c r="AY202" s="40">
        <v>125.0</v>
      </c>
      <c r="AZ202" s="40">
        <v>291.0</v>
      </c>
      <c r="BA202" s="40">
        <v>1522.99</v>
      </c>
      <c r="BB202" s="40">
        <v>11238.69</v>
      </c>
      <c r="BC202" s="40">
        <v>1685.8</v>
      </c>
      <c r="BD202" s="40">
        <v>12924.49</v>
      </c>
      <c r="BE202" s="39">
        <v>45748.0</v>
      </c>
      <c r="BF202" s="39">
        <v>45838.0</v>
      </c>
      <c r="BG202" s="37">
        <v>22740.0</v>
      </c>
      <c r="BH202" s="37">
        <v>31788.0</v>
      </c>
      <c r="BI202" s="37">
        <v>9048.0</v>
      </c>
      <c r="BJ202" s="37">
        <v>10500.0</v>
      </c>
      <c r="BK202" s="37">
        <v>-1452.0</v>
      </c>
      <c r="BL202" s="40">
        <v>0.66</v>
      </c>
      <c r="BM202" s="40">
        <v>1.04</v>
      </c>
      <c r="BN202" s="40">
        <v>0.0</v>
      </c>
      <c r="BO202" s="40">
        <v>0.0</v>
      </c>
      <c r="BP202" s="40">
        <v>0.0</v>
      </c>
      <c r="BQ202" s="40">
        <v>-124.15</v>
      </c>
      <c r="BR202" s="40">
        <v>0.0</v>
      </c>
      <c r="BS202" s="40">
        <v>0.0</v>
      </c>
      <c r="BT202" s="40">
        <v>0.0</v>
      </c>
      <c r="BU202" s="40">
        <v>0.0</v>
      </c>
      <c r="BV202" s="40">
        <v>0.0</v>
      </c>
      <c r="BW202" s="40">
        <v>0.0</v>
      </c>
      <c r="BX202" s="40">
        <v>0.0</v>
      </c>
      <c r="BY202" s="40">
        <v>5190.02</v>
      </c>
      <c r="BZ202" s="37">
        <v>0.0</v>
      </c>
      <c r="CA202" s="40">
        <v>0.0</v>
      </c>
      <c r="CB202" s="37">
        <v>0.0</v>
      </c>
      <c r="CC202" s="40">
        <v>0.0</v>
      </c>
      <c r="CD202" s="40">
        <v>0.0</v>
      </c>
      <c r="CE202" s="40">
        <v>0.0</v>
      </c>
      <c r="CF202" s="40">
        <v>0.0</v>
      </c>
      <c r="CG202" s="40">
        <v>0.0</v>
      </c>
      <c r="CH202" s="40">
        <v>11972.7</v>
      </c>
      <c r="CI202" s="40">
        <v>1561.65</v>
      </c>
      <c r="CJ202" s="40">
        <v>10411.05</v>
      </c>
      <c r="CK202" s="40">
        <v>3.48</v>
      </c>
      <c r="CL202" s="37">
        <v>0.0</v>
      </c>
      <c r="CM202" s="37">
        <v>0.0</v>
      </c>
      <c r="CN202" s="37">
        <v>0.0</v>
      </c>
      <c r="CO202" s="37">
        <v>100.0</v>
      </c>
      <c r="CP202" s="39"/>
      <c r="CQ202" s="37">
        <v>0.0</v>
      </c>
      <c r="CR202" s="37">
        <v>0.0</v>
      </c>
      <c r="CS202" s="37">
        <v>0.0</v>
      </c>
      <c r="CT202" s="37">
        <v>-3655.0</v>
      </c>
      <c r="CU202" s="39">
        <v>47391.0</v>
      </c>
      <c r="CV202" s="39">
        <v>47391.0</v>
      </c>
      <c r="CW202" s="37">
        <v>210607.0</v>
      </c>
      <c r="CX202" s="37" t="s">
        <v>122</v>
      </c>
      <c r="CY202" s="37" t="s">
        <v>123</v>
      </c>
      <c r="CZ202" s="40">
        <v>4332.21</v>
      </c>
      <c r="DA202" s="40">
        <v>3868.8</v>
      </c>
      <c r="DB202" s="40">
        <v>-6080.76</v>
      </c>
      <c r="DC202" s="40">
        <v>0.57</v>
      </c>
      <c r="DD202" s="40">
        <v>-827.64</v>
      </c>
      <c r="DE202" s="40">
        <v>-951.79</v>
      </c>
      <c r="DF202" s="37"/>
    </row>
    <row r="203" ht="13.5" customHeight="1">
      <c r="A203" s="37" t="s">
        <v>175</v>
      </c>
      <c r="B203" s="38">
        <v>44013.0</v>
      </c>
      <c r="C203" s="37" t="s">
        <v>136</v>
      </c>
      <c r="D203" s="37" t="s">
        <v>125</v>
      </c>
      <c r="E203" s="37" t="s">
        <v>126</v>
      </c>
      <c r="F203" s="37" t="s">
        <v>172</v>
      </c>
      <c r="G203" s="37" t="s">
        <v>140</v>
      </c>
      <c r="H203" s="37" t="s">
        <v>141</v>
      </c>
      <c r="I203" s="39">
        <v>44034.0</v>
      </c>
      <c r="J203" s="39">
        <v>44035.0</v>
      </c>
      <c r="K203" s="37">
        <f t="shared" si="1"/>
        <v>1</v>
      </c>
      <c r="L203" s="37">
        <v>1.0</v>
      </c>
      <c r="M203" s="37">
        <f t="shared" si="2"/>
        <v>0</v>
      </c>
      <c r="N203" s="39">
        <v>44048.0</v>
      </c>
      <c r="O203" s="39">
        <v>44058.0</v>
      </c>
      <c r="P203" s="37">
        <f t="shared" si="3"/>
        <v>10</v>
      </c>
      <c r="Q203" s="37">
        <v>90.0</v>
      </c>
      <c r="R203" s="37">
        <f t="shared" si="4"/>
        <v>-80</v>
      </c>
      <c r="S203" s="37" t="s">
        <v>611</v>
      </c>
      <c r="T203" s="37" t="s">
        <v>612</v>
      </c>
      <c r="U203" s="37" t="s">
        <v>117</v>
      </c>
      <c r="V203" s="37" t="s">
        <v>147</v>
      </c>
      <c r="W203" s="37" t="s">
        <v>182</v>
      </c>
      <c r="X203" s="37" t="s">
        <v>259</v>
      </c>
      <c r="Y203" s="37">
        <v>2024.0</v>
      </c>
      <c r="Z203" s="37" t="s">
        <v>135</v>
      </c>
      <c r="AA203" s="37">
        <v>1998.0</v>
      </c>
      <c r="AB203" s="37">
        <v>16.0</v>
      </c>
      <c r="AC203" s="37">
        <v>6.0</v>
      </c>
      <c r="AD203" s="40">
        <v>453264.78</v>
      </c>
      <c r="AE203" s="40">
        <v>19222.07</v>
      </c>
      <c r="AF203" s="41">
        <v>0.04</v>
      </c>
      <c r="AG203" s="40">
        <v>41557.53</v>
      </c>
      <c r="AH203" s="40">
        <v>2322.0</v>
      </c>
      <c r="AI203" s="37">
        <v>7.75</v>
      </c>
      <c r="AJ203" s="40">
        <v>242487.0</v>
      </c>
      <c r="AK203" s="37">
        <v>53.5</v>
      </c>
      <c r="AL203" s="39">
        <v>44058.0</v>
      </c>
      <c r="AM203" s="39">
        <v>45884.0</v>
      </c>
      <c r="AN203" s="37">
        <v>60.0</v>
      </c>
      <c r="AO203" s="37">
        <v>4500.0</v>
      </c>
      <c r="AP203" s="37">
        <v>216000.0</v>
      </c>
      <c r="AQ203" s="39">
        <v>46234.0</v>
      </c>
      <c r="AR203" s="37">
        <v>31938.0</v>
      </c>
      <c r="AS203" s="37">
        <v>35436.0</v>
      </c>
      <c r="AT203" s="37">
        <v>3498.0</v>
      </c>
      <c r="AU203" s="37">
        <v>34800.0</v>
      </c>
      <c r="AV203" s="37">
        <v>3480.0</v>
      </c>
      <c r="AW203" s="40">
        <v>8154.65</v>
      </c>
      <c r="AX203" s="40">
        <v>2790.0</v>
      </c>
      <c r="AY203" s="40">
        <v>125.0</v>
      </c>
      <c r="AZ203" s="40">
        <v>291.0</v>
      </c>
      <c r="BA203" s="40">
        <v>1538.21</v>
      </c>
      <c r="BB203" s="40">
        <v>12898.86</v>
      </c>
      <c r="BC203" s="40">
        <v>1934.83</v>
      </c>
      <c r="BD203" s="40">
        <v>14833.69</v>
      </c>
      <c r="BE203" s="39">
        <v>45748.0</v>
      </c>
      <c r="BF203" s="39">
        <v>45838.0</v>
      </c>
      <c r="BG203" s="37">
        <v>24494.0</v>
      </c>
      <c r="BH203" s="37">
        <v>35436.0</v>
      </c>
      <c r="BI203" s="37">
        <v>10942.0</v>
      </c>
      <c r="BJ203" s="37">
        <v>13500.0</v>
      </c>
      <c r="BK203" s="37">
        <v>-2558.0</v>
      </c>
      <c r="BL203" s="40">
        <v>0.71</v>
      </c>
      <c r="BM203" s="40">
        <v>0.98</v>
      </c>
      <c r="BN203" s="40">
        <v>0.0</v>
      </c>
      <c r="BO203" s="40">
        <v>0.0</v>
      </c>
      <c r="BP203" s="40">
        <v>0.0</v>
      </c>
      <c r="BQ203" s="40">
        <v>-237.89</v>
      </c>
      <c r="BR203" s="40">
        <v>0.0</v>
      </c>
      <c r="BS203" s="40">
        <v>0.0</v>
      </c>
      <c r="BT203" s="40">
        <v>0.0</v>
      </c>
      <c r="BU203" s="40">
        <v>0.0</v>
      </c>
      <c r="BV203" s="40">
        <v>0.0</v>
      </c>
      <c r="BW203" s="40">
        <v>0.0</v>
      </c>
      <c r="BX203" s="40">
        <v>0.0</v>
      </c>
      <c r="BY203" s="40">
        <v>6428.75</v>
      </c>
      <c r="BZ203" s="37">
        <v>0.0</v>
      </c>
      <c r="CA203" s="40">
        <v>80.0</v>
      </c>
      <c r="CB203" s="37">
        <v>0.0</v>
      </c>
      <c r="CC203" s="40">
        <v>0.0</v>
      </c>
      <c r="CD203" s="40">
        <v>0.0</v>
      </c>
      <c r="CE203" s="40">
        <v>0.0</v>
      </c>
      <c r="CF203" s="40">
        <v>0.0</v>
      </c>
      <c r="CG203" s="40">
        <v>0.0</v>
      </c>
      <c r="CH203" s="40">
        <v>13009.84</v>
      </c>
      <c r="CI203" s="40">
        <v>1696.94</v>
      </c>
      <c r="CJ203" s="40">
        <v>11312.9</v>
      </c>
      <c r="CK203" s="40">
        <v>3.23</v>
      </c>
      <c r="CL203" s="37">
        <v>0.0</v>
      </c>
      <c r="CM203" s="37">
        <v>0.0</v>
      </c>
      <c r="CN203" s="37">
        <v>0.0</v>
      </c>
      <c r="CO203" s="37">
        <v>100.0</v>
      </c>
      <c r="CP203" s="39"/>
      <c r="CQ203" s="37">
        <v>0.0</v>
      </c>
      <c r="CR203" s="37">
        <v>0.0</v>
      </c>
      <c r="CS203" s="37">
        <v>0.0</v>
      </c>
      <c r="CT203" s="37">
        <v>-10495.0</v>
      </c>
      <c r="CU203" s="39">
        <v>46996.0</v>
      </c>
      <c r="CV203" s="39">
        <v>46996.0</v>
      </c>
      <c r="CW203" s="37">
        <v>216636.0</v>
      </c>
      <c r="CX203" s="37" t="s">
        <v>122</v>
      </c>
      <c r="CY203" s="37" t="s">
        <v>123</v>
      </c>
      <c r="CZ203" s="40">
        <v>1323.7</v>
      </c>
      <c r="DA203" s="40">
        <v>0.0</v>
      </c>
      <c r="DB203" s="40">
        <v>-7830.6</v>
      </c>
      <c r="DC203" s="40">
        <v>0.62</v>
      </c>
      <c r="DD203" s="40">
        <v>-1585.96</v>
      </c>
      <c r="DE203" s="40">
        <v>-1823.85</v>
      </c>
      <c r="DF203" s="37"/>
    </row>
    <row r="204" ht="13.5" customHeight="1">
      <c r="A204" s="37" t="s">
        <v>175</v>
      </c>
      <c r="B204" s="38">
        <v>44013.0</v>
      </c>
      <c r="C204" s="37" t="s">
        <v>109</v>
      </c>
      <c r="D204" s="37" t="s">
        <v>137</v>
      </c>
      <c r="E204" s="37" t="s">
        <v>138</v>
      </c>
      <c r="F204" s="37" t="s">
        <v>172</v>
      </c>
      <c r="G204" s="37" t="s">
        <v>140</v>
      </c>
      <c r="H204" s="37" t="s">
        <v>114</v>
      </c>
      <c r="I204" s="39">
        <v>44035.0</v>
      </c>
      <c r="J204" s="39">
        <v>44036.0</v>
      </c>
      <c r="K204" s="37">
        <f t="shared" si="1"/>
        <v>1</v>
      </c>
      <c r="L204" s="37">
        <v>1.0</v>
      </c>
      <c r="M204" s="37">
        <f t="shared" si="2"/>
        <v>0</v>
      </c>
      <c r="N204" s="39">
        <v>44049.0</v>
      </c>
      <c r="O204" s="39">
        <v>44059.0</v>
      </c>
      <c r="P204" s="37">
        <f t="shared" si="3"/>
        <v>10</v>
      </c>
      <c r="Q204" s="37">
        <v>90.0</v>
      </c>
      <c r="R204" s="37">
        <f t="shared" si="4"/>
        <v>-80</v>
      </c>
      <c r="S204" s="37" t="s">
        <v>613</v>
      </c>
      <c r="T204" s="37" t="s">
        <v>614</v>
      </c>
      <c r="U204" s="37" t="s">
        <v>117</v>
      </c>
      <c r="V204" s="37" t="s">
        <v>147</v>
      </c>
      <c r="W204" s="37" t="s">
        <v>182</v>
      </c>
      <c r="X204" s="37" t="s">
        <v>259</v>
      </c>
      <c r="Y204" s="37">
        <v>2024.0</v>
      </c>
      <c r="Z204" s="37" t="s">
        <v>135</v>
      </c>
      <c r="AA204" s="37">
        <v>1998.0</v>
      </c>
      <c r="AB204" s="37">
        <v>16.0</v>
      </c>
      <c r="AC204" s="37">
        <v>3.0</v>
      </c>
      <c r="AD204" s="40">
        <v>453264.78</v>
      </c>
      <c r="AE204" s="40">
        <v>19222.07</v>
      </c>
      <c r="AF204" s="41">
        <v>0.04</v>
      </c>
      <c r="AG204" s="40">
        <v>41662.59</v>
      </c>
      <c r="AH204" s="40">
        <v>2448.0</v>
      </c>
      <c r="AI204" s="37">
        <v>7.75</v>
      </c>
      <c r="AJ204" s="40">
        <v>234700.0</v>
      </c>
      <c r="AK204" s="37">
        <v>51.78</v>
      </c>
      <c r="AL204" s="39">
        <v>44059.0</v>
      </c>
      <c r="AM204" s="39">
        <v>45885.0</v>
      </c>
      <c r="AN204" s="37">
        <v>60.0</v>
      </c>
      <c r="AO204" s="37">
        <v>4000.0</v>
      </c>
      <c r="AP204" s="37">
        <v>220000.0</v>
      </c>
      <c r="AQ204" s="39">
        <v>46234.0</v>
      </c>
      <c r="AR204" s="37">
        <v>33657.0</v>
      </c>
      <c r="AS204" s="37">
        <v>39570.0</v>
      </c>
      <c r="AT204" s="37">
        <v>5913.0</v>
      </c>
      <c r="AU204" s="37">
        <v>38927.0</v>
      </c>
      <c r="AV204" s="37">
        <v>3893.0</v>
      </c>
      <c r="AW204" s="40">
        <v>7654.09</v>
      </c>
      <c r="AX204" s="40">
        <v>2440.0</v>
      </c>
      <c r="AY204" s="40">
        <v>125.0</v>
      </c>
      <c r="AZ204" s="40">
        <v>291.0</v>
      </c>
      <c r="BA204" s="40">
        <v>1522.99</v>
      </c>
      <c r="BB204" s="40">
        <v>12033.08</v>
      </c>
      <c r="BC204" s="40">
        <v>1804.96</v>
      </c>
      <c r="BD204" s="40">
        <v>13838.04</v>
      </c>
      <c r="BE204" s="39">
        <v>45748.0</v>
      </c>
      <c r="BF204" s="39">
        <v>45838.0</v>
      </c>
      <c r="BG204" s="37">
        <v>24445.0</v>
      </c>
      <c r="BH204" s="37">
        <v>39570.0</v>
      </c>
      <c r="BI204" s="37">
        <v>15125.0</v>
      </c>
      <c r="BJ204" s="37">
        <v>12000.0</v>
      </c>
      <c r="BK204" s="37">
        <v>3125.0</v>
      </c>
      <c r="BL204" s="40">
        <v>0.7</v>
      </c>
      <c r="BM204" s="40">
        <v>0.99</v>
      </c>
      <c r="BN204" s="40">
        <v>2187.5</v>
      </c>
      <c r="BO204" s="40">
        <v>3093.75</v>
      </c>
      <c r="BP204" s="40">
        <v>5281.25</v>
      </c>
      <c r="BQ204" s="40">
        <v>792.19</v>
      </c>
      <c r="BR204" s="40">
        <v>6073.44</v>
      </c>
      <c r="BS204" s="40">
        <v>0.0</v>
      </c>
      <c r="BT204" s="40">
        <v>0.0</v>
      </c>
      <c r="BU204" s="40">
        <v>0.0</v>
      </c>
      <c r="BV204" s="40">
        <v>0.0</v>
      </c>
      <c r="BW204" s="40">
        <v>0.0</v>
      </c>
      <c r="BX204" s="40">
        <v>0.0</v>
      </c>
      <c r="BY204" s="40">
        <v>12306.55</v>
      </c>
      <c r="BZ204" s="37">
        <v>0.0</v>
      </c>
      <c r="CA204" s="40">
        <v>0.0</v>
      </c>
      <c r="CB204" s="37">
        <v>0.0</v>
      </c>
      <c r="CC204" s="40">
        <v>0.0</v>
      </c>
      <c r="CD204" s="40">
        <v>0.0</v>
      </c>
      <c r="CE204" s="40">
        <v>0.0</v>
      </c>
      <c r="CF204" s="40">
        <v>0.0</v>
      </c>
      <c r="CG204" s="40">
        <v>0.0</v>
      </c>
      <c r="CH204" s="40">
        <v>19911.48</v>
      </c>
      <c r="CI204" s="40">
        <v>2597.15</v>
      </c>
      <c r="CJ204" s="40">
        <v>17314.33</v>
      </c>
      <c r="CK204" s="40">
        <v>2.93</v>
      </c>
      <c r="CL204" s="37">
        <v>0.0</v>
      </c>
      <c r="CM204" s="37">
        <v>0.0</v>
      </c>
      <c r="CN204" s="37">
        <v>0.0</v>
      </c>
      <c r="CO204" s="37">
        <v>100.0</v>
      </c>
      <c r="CP204" s="39"/>
      <c r="CQ204" s="37">
        <v>0.0</v>
      </c>
      <c r="CR204" s="37">
        <v>0.0</v>
      </c>
      <c r="CS204" s="37">
        <v>0.0</v>
      </c>
      <c r="CT204" s="37">
        <v>-1336.0</v>
      </c>
      <c r="CU204" s="39">
        <v>47208.0</v>
      </c>
      <c r="CV204" s="39">
        <v>47208.0</v>
      </c>
      <c r="CW204" s="37">
        <v>220643.0</v>
      </c>
      <c r="CX204" s="37" t="s">
        <v>122</v>
      </c>
      <c r="CY204" s="37" t="s">
        <v>123</v>
      </c>
      <c r="CZ204" s="40">
        <v>2187.5</v>
      </c>
      <c r="DA204" s="40">
        <v>3093.75</v>
      </c>
      <c r="DB204" s="40">
        <v>-2846.87</v>
      </c>
      <c r="DC204" s="40">
        <v>0.61</v>
      </c>
      <c r="DD204" s="40">
        <v>0.0</v>
      </c>
      <c r="DE204" s="40">
        <v>0.0</v>
      </c>
      <c r="DF204" s="37"/>
    </row>
    <row r="205" ht="13.5" customHeight="1">
      <c r="A205" s="37" t="s">
        <v>175</v>
      </c>
      <c r="B205" s="38">
        <v>44013.0</v>
      </c>
      <c r="C205" s="37" t="s">
        <v>124</v>
      </c>
      <c r="D205" s="37" t="s">
        <v>110</v>
      </c>
      <c r="E205" s="37" t="s">
        <v>111</v>
      </c>
      <c r="F205" s="37" t="s">
        <v>172</v>
      </c>
      <c r="G205" s="37" t="s">
        <v>140</v>
      </c>
      <c r="H205" s="37" t="s">
        <v>129</v>
      </c>
      <c r="I205" s="39">
        <v>44036.0</v>
      </c>
      <c r="J205" s="39">
        <v>44037.0</v>
      </c>
      <c r="K205" s="37">
        <f t="shared" si="1"/>
        <v>1</v>
      </c>
      <c r="L205" s="37">
        <v>1.0</v>
      </c>
      <c r="M205" s="37">
        <f t="shared" si="2"/>
        <v>0</v>
      </c>
      <c r="N205" s="39">
        <v>44050.0</v>
      </c>
      <c r="O205" s="39">
        <v>44060.0</v>
      </c>
      <c r="P205" s="37">
        <f t="shared" si="3"/>
        <v>10</v>
      </c>
      <c r="Q205" s="37">
        <v>90.0</v>
      </c>
      <c r="R205" s="37">
        <f t="shared" si="4"/>
        <v>-80</v>
      </c>
      <c r="S205" s="37" t="s">
        <v>615</v>
      </c>
      <c r="T205" s="37" t="s">
        <v>616</v>
      </c>
      <c r="U205" s="37" t="s">
        <v>117</v>
      </c>
      <c r="V205" s="37" t="s">
        <v>147</v>
      </c>
      <c r="W205" s="37" t="s">
        <v>182</v>
      </c>
      <c r="X205" s="37" t="s">
        <v>259</v>
      </c>
      <c r="Y205" s="37">
        <v>2024.0</v>
      </c>
      <c r="Z205" s="37" t="s">
        <v>135</v>
      </c>
      <c r="AA205" s="37">
        <v>1998.0</v>
      </c>
      <c r="AB205" s="37">
        <v>16.0</v>
      </c>
      <c r="AC205" s="37">
        <v>2.0</v>
      </c>
      <c r="AD205" s="40">
        <v>453264.78</v>
      </c>
      <c r="AE205" s="40">
        <v>19222.07</v>
      </c>
      <c r="AF205" s="41">
        <v>0.04</v>
      </c>
      <c r="AG205" s="40">
        <v>42547.54</v>
      </c>
      <c r="AH205" s="40">
        <v>2448.0</v>
      </c>
      <c r="AI205" s="37">
        <v>7.75</v>
      </c>
      <c r="AJ205" s="40">
        <v>234700.0</v>
      </c>
      <c r="AK205" s="37">
        <v>51.78</v>
      </c>
      <c r="AL205" s="39">
        <v>44060.0</v>
      </c>
      <c r="AM205" s="39">
        <v>45886.0</v>
      </c>
      <c r="AN205" s="37">
        <v>60.0</v>
      </c>
      <c r="AO205" s="37">
        <v>4000.0</v>
      </c>
      <c r="AP205" s="37">
        <v>220000.0</v>
      </c>
      <c r="AQ205" s="39">
        <v>46234.0</v>
      </c>
      <c r="AR205" s="37">
        <v>37144.0</v>
      </c>
      <c r="AS205" s="37">
        <v>42095.0</v>
      </c>
      <c r="AT205" s="37">
        <v>4951.0</v>
      </c>
      <c r="AU205" s="37">
        <v>41452.0</v>
      </c>
      <c r="AV205" s="37">
        <v>4145.0</v>
      </c>
      <c r="AW205" s="40">
        <v>7673.28</v>
      </c>
      <c r="AX205" s="40">
        <v>2440.0</v>
      </c>
      <c r="AY205" s="40">
        <v>125.0</v>
      </c>
      <c r="AZ205" s="40">
        <v>291.0</v>
      </c>
      <c r="BA205" s="40">
        <v>1522.99</v>
      </c>
      <c r="BB205" s="40">
        <v>12052.27</v>
      </c>
      <c r="BC205" s="40">
        <v>1807.84</v>
      </c>
      <c r="BD205" s="40">
        <v>13860.11</v>
      </c>
      <c r="BE205" s="39">
        <v>45748.0</v>
      </c>
      <c r="BF205" s="39">
        <v>45838.0</v>
      </c>
      <c r="BG205" s="37">
        <v>29686.0</v>
      </c>
      <c r="BH205" s="37">
        <v>42095.0</v>
      </c>
      <c r="BI205" s="37">
        <v>12409.0</v>
      </c>
      <c r="BJ205" s="37">
        <v>12000.0</v>
      </c>
      <c r="BK205" s="37">
        <v>409.0</v>
      </c>
      <c r="BL205" s="40">
        <v>0.7</v>
      </c>
      <c r="BM205" s="40">
        <v>0.99</v>
      </c>
      <c r="BN205" s="40">
        <v>0.0</v>
      </c>
      <c r="BO205" s="40">
        <v>0.0</v>
      </c>
      <c r="BP205" s="40">
        <v>0.0</v>
      </c>
      <c r="BQ205" s="40">
        <v>0.0</v>
      </c>
      <c r="BR205" s="40">
        <v>0.0</v>
      </c>
      <c r="BS205" s="40">
        <v>0.0</v>
      </c>
      <c r="BT205" s="40">
        <v>0.0</v>
      </c>
      <c r="BU205" s="40">
        <v>0.0</v>
      </c>
      <c r="BV205" s="40">
        <v>0.0</v>
      </c>
      <c r="BW205" s="40">
        <v>0.0</v>
      </c>
      <c r="BX205" s="40">
        <v>0.0</v>
      </c>
      <c r="BY205" s="40">
        <v>8093.07</v>
      </c>
      <c r="BZ205" s="37">
        <v>0.0</v>
      </c>
      <c r="CA205" s="40">
        <v>0.0</v>
      </c>
      <c r="CB205" s="37">
        <v>0.0</v>
      </c>
      <c r="CC205" s="40">
        <v>0.0</v>
      </c>
      <c r="CD205" s="40">
        <v>0.0</v>
      </c>
      <c r="CE205" s="40">
        <v>0.0</v>
      </c>
      <c r="CF205" s="40">
        <v>0.0</v>
      </c>
      <c r="CG205" s="40">
        <v>0.0</v>
      </c>
      <c r="CH205" s="40">
        <v>13860.11</v>
      </c>
      <c r="CI205" s="40">
        <v>1807.84</v>
      </c>
      <c r="CJ205" s="40">
        <v>12052.27</v>
      </c>
      <c r="CK205" s="40">
        <v>2.43</v>
      </c>
      <c r="CL205" s="37">
        <v>0.0</v>
      </c>
      <c r="CM205" s="37">
        <v>0.0</v>
      </c>
      <c r="CN205" s="37">
        <v>0.0</v>
      </c>
      <c r="CO205" s="37">
        <v>100.0</v>
      </c>
      <c r="CP205" s="39"/>
      <c r="CQ205" s="37">
        <v>0.0</v>
      </c>
      <c r="CR205" s="37">
        <v>0.0</v>
      </c>
      <c r="CS205" s="37">
        <v>0.0</v>
      </c>
      <c r="CT205" s="37">
        <v>1189.0</v>
      </c>
      <c r="CU205" s="39">
        <v>47208.0</v>
      </c>
      <c r="CV205" s="39">
        <v>47208.0</v>
      </c>
      <c r="CW205" s="37">
        <v>220643.0</v>
      </c>
      <c r="CX205" s="37" t="s">
        <v>122</v>
      </c>
      <c r="CY205" s="37" t="s">
        <v>123</v>
      </c>
      <c r="CZ205" s="40">
        <v>2173.31</v>
      </c>
      <c r="DA205" s="40">
        <v>2555.19</v>
      </c>
      <c r="DB205" s="40">
        <v>-1465.22</v>
      </c>
      <c r="DC205" s="40">
        <v>0.61</v>
      </c>
      <c r="DD205" s="40">
        <v>0.0</v>
      </c>
      <c r="DE205" s="40">
        <v>0.0</v>
      </c>
      <c r="DF205" s="37"/>
    </row>
    <row r="206" ht="13.5" customHeight="1">
      <c r="A206" s="37" t="s">
        <v>203</v>
      </c>
      <c r="B206" s="38">
        <v>44013.0</v>
      </c>
      <c r="C206" s="37" t="s">
        <v>136</v>
      </c>
      <c r="D206" s="37" t="s">
        <v>125</v>
      </c>
      <c r="E206" s="37" t="s">
        <v>126</v>
      </c>
      <c r="F206" s="37" t="s">
        <v>176</v>
      </c>
      <c r="G206" s="37" t="s">
        <v>140</v>
      </c>
      <c r="H206" s="37" t="s">
        <v>141</v>
      </c>
      <c r="I206" s="39">
        <v>44037.0</v>
      </c>
      <c r="J206" s="39">
        <v>44041.0</v>
      </c>
      <c r="K206" s="37">
        <f t="shared" si="1"/>
        <v>4</v>
      </c>
      <c r="L206" s="37">
        <v>1.0</v>
      </c>
      <c r="M206" s="37">
        <f t="shared" si="2"/>
        <v>3</v>
      </c>
      <c r="N206" s="39">
        <v>44051.0</v>
      </c>
      <c r="O206" s="39">
        <v>44061.0</v>
      </c>
      <c r="P206" s="37">
        <f t="shared" si="3"/>
        <v>10</v>
      </c>
      <c r="Q206" s="37">
        <v>90.0</v>
      </c>
      <c r="R206" s="37">
        <f t="shared" si="4"/>
        <v>-80</v>
      </c>
      <c r="S206" s="37" t="s">
        <v>617</v>
      </c>
      <c r="T206" s="37" t="s">
        <v>618</v>
      </c>
      <c r="U206" s="37" t="s">
        <v>117</v>
      </c>
      <c r="V206" s="37" t="s">
        <v>190</v>
      </c>
      <c r="W206" s="37" t="s">
        <v>199</v>
      </c>
      <c r="X206" s="37" t="s">
        <v>619</v>
      </c>
      <c r="Y206" s="37">
        <v>2024.0</v>
      </c>
      <c r="Z206" s="37" t="s">
        <v>121</v>
      </c>
      <c r="AA206" s="37">
        <v>1798.0</v>
      </c>
      <c r="AB206" s="37">
        <v>16.0</v>
      </c>
      <c r="AC206" s="37">
        <v>0.0</v>
      </c>
      <c r="AD206" s="40">
        <v>312783.0</v>
      </c>
      <c r="AE206" s="40">
        <v>25022.64</v>
      </c>
      <c r="AF206" s="41">
        <v>0.08</v>
      </c>
      <c r="AG206" s="40">
        <v>7129.12</v>
      </c>
      <c r="AH206" s="40">
        <v>2033.0</v>
      </c>
      <c r="AI206" s="37">
        <v>7.75</v>
      </c>
      <c r="AJ206" s="40">
        <v>153264.0</v>
      </c>
      <c r="AK206" s="37">
        <v>49.0</v>
      </c>
      <c r="AL206" s="39">
        <v>44061.0</v>
      </c>
      <c r="AM206" s="39">
        <v>45887.0</v>
      </c>
      <c r="AN206" s="37">
        <v>60.0</v>
      </c>
      <c r="AO206" s="37">
        <v>1500.0</v>
      </c>
      <c r="AP206" s="37">
        <v>90000.0</v>
      </c>
      <c r="AQ206" s="39">
        <v>46234.0</v>
      </c>
      <c r="AR206" s="37">
        <v>9721.0</v>
      </c>
      <c r="AS206" s="37">
        <v>10905.0</v>
      </c>
      <c r="AT206" s="37">
        <v>1184.0</v>
      </c>
      <c r="AU206" s="37">
        <v>10301.0</v>
      </c>
      <c r="AV206" s="37">
        <v>1030.0</v>
      </c>
      <c r="AW206" s="40">
        <v>4639.22</v>
      </c>
      <c r="AX206" s="40">
        <v>855.0</v>
      </c>
      <c r="AY206" s="40">
        <v>125.0</v>
      </c>
      <c r="AZ206" s="40">
        <v>277.66</v>
      </c>
      <c r="BA206" s="40">
        <v>1522.99</v>
      </c>
      <c r="BB206" s="40">
        <v>7419.87</v>
      </c>
      <c r="BC206" s="40">
        <v>1112.98</v>
      </c>
      <c r="BD206" s="40">
        <v>8532.85</v>
      </c>
      <c r="BE206" s="39">
        <v>45748.0</v>
      </c>
      <c r="BF206" s="39">
        <v>45838.0</v>
      </c>
      <c r="BG206" s="37">
        <v>7073.0</v>
      </c>
      <c r="BH206" s="37">
        <v>10905.0</v>
      </c>
      <c r="BI206" s="37">
        <v>3832.0</v>
      </c>
      <c r="BJ206" s="37">
        <v>4500.0</v>
      </c>
      <c r="BK206" s="37">
        <v>-668.0</v>
      </c>
      <c r="BL206" s="40">
        <v>0.66</v>
      </c>
      <c r="BM206" s="40">
        <v>1.77</v>
      </c>
      <c r="BN206" s="40">
        <v>0.0</v>
      </c>
      <c r="BO206" s="40">
        <v>0.0</v>
      </c>
      <c r="BP206" s="40">
        <v>0.0</v>
      </c>
      <c r="BQ206" s="40">
        <v>-57.11</v>
      </c>
      <c r="BR206" s="40">
        <v>0.0</v>
      </c>
      <c r="BS206" s="40">
        <v>0.0</v>
      </c>
      <c r="BT206" s="40">
        <v>0.0</v>
      </c>
      <c r="BU206" s="40">
        <v>0.0</v>
      </c>
      <c r="BV206" s="40">
        <v>0.0</v>
      </c>
      <c r="BW206" s="40">
        <v>0.0</v>
      </c>
      <c r="BX206" s="40">
        <v>0.0</v>
      </c>
      <c r="BY206" s="40">
        <v>2248.57</v>
      </c>
      <c r="BZ206" s="37">
        <v>0.0</v>
      </c>
      <c r="CA206" s="40">
        <v>0.0</v>
      </c>
      <c r="CB206" s="37">
        <v>0.0</v>
      </c>
      <c r="CC206" s="40">
        <v>0.0</v>
      </c>
      <c r="CD206" s="40">
        <v>0.0</v>
      </c>
      <c r="CE206" s="40">
        <v>0.0</v>
      </c>
      <c r="CF206" s="40">
        <v>0.0</v>
      </c>
      <c r="CG206" s="40">
        <v>0.0</v>
      </c>
      <c r="CH206" s="40">
        <v>8094.98</v>
      </c>
      <c r="CI206" s="40">
        <v>1055.87</v>
      </c>
      <c r="CJ206" s="40">
        <v>7039.11</v>
      </c>
      <c r="CK206" s="40">
        <v>5.95</v>
      </c>
      <c r="CL206" s="37">
        <v>0.0</v>
      </c>
      <c r="CM206" s="37">
        <v>0.0</v>
      </c>
      <c r="CN206" s="37">
        <v>0.0</v>
      </c>
      <c r="CO206" s="37">
        <v>100.0</v>
      </c>
      <c r="CP206" s="39"/>
      <c r="CQ206" s="37">
        <v>0.0</v>
      </c>
      <c r="CR206" s="37">
        <v>0.0</v>
      </c>
      <c r="CS206" s="37">
        <v>0.0</v>
      </c>
      <c r="CT206" s="37">
        <v>-4846.0</v>
      </c>
      <c r="CU206" s="39">
        <v>47361.0</v>
      </c>
      <c r="CV206" s="39">
        <v>47361.0</v>
      </c>
      <c r="CW206" s="37">
        <v>90604.0</v>
      </c>
      <c r="CX206" s="37" t="s">
        <v>122</v>
      </c>
      <c r="CY206" s="37" t="s">
        <v>123</v>
      </c>
      <c r="CZ206" s="40">
        <v>0.0</v>
      </c>
      <c r="DA206" s="40">
        <v>0.0</v>
      </c>
      <c r="DB206" s="40">
        <v>-2639.67</v>
      </c>
      <c r="DC206" s="40">
        <v>0.57</v>
      </c>
      <c r="DD206" s="40">
        <v>-380.76</v>
      </c>
      <c r="DE206" s="40">
        <v>-437.87</v>
      </c>
      <c r="DF206" s="37"/>
    </row>
    <row r="207" ht="13.5" customHeight="1">
      <c r="A207" s="37" t="s">
        <v>203</v>
      </c>
      <c r="B207" s="38">
        <v>44013.0</v>
      </c>
      <c r="C207" s="37" t="s">
        <v>109</v>
      </c>
      <c r="D207" s="37" t="s">
        <v>137</v>
      </c>
      <c r="E207" s="37" t="s">
        <v>138</v>
      </c>
      <c r="F207" s="37" t="s">
        <v>172</v>
      </c>
      <c r="G207" s="37" t="s">
        <v>140</v>
      </c>
      <c r="H207" s="37" t="s">
        <v>114</v>
      </c>
      <c r="I207" s="39">
        <v>44038.0</v>
      </c>
      <c r="J207" s="39">
        <v>44039.0</v>
      </c>
      <c r="K207" s="37">
        <f t="shared" si="1"/>
        <v>1</v>
      </c>
      <c r="L207" s="37">
        <v>1.0</v>
      </c>
      <c r="M207" s="37">
        <f t="shared" si="2"/>
        <v>0</v>
      </c>
      <c r="N207" s="39">
        <v>44052.0</v>
      </c>
      <c r="O207" s="39">
        <v>44062.0</v>
      </c>
      <c r="P207" s="37">
        <f t="shared" si="3"/>
        <v>10</v>
      </c>
      <c r="Q207" s="37">
        <v>90.0</v>
      </c>
      <c r="R207" s="37">
        <f t="shared" si="4"/>
        <v>-80</v>
      </c>
      <c r="S207" s="37" t="s">
        <v>620</v>
      </c>
      <c r="T207" s="37" t="s">
        <v>621</v>
      </c>
      <c r="U207" s="37" t="s">
        <v>117</v>
      </c>
      <c r="V207" s="37" t="s">
        <v>147</v>
      </c>
      <c r="W207" s="37" t="s">
        <v>182</v>
      </c>
      <c r="X207" s="37" t="s">
        <v>259</v>
      </c>
      <c r="Y207" s="37">
        <v>2024.0</v>
      </c>
      <c r="Z207" s="37" t="s">
        <v>135</v>
      </c>
      <c r="AA207" s="37">
        <v>1998.0</v>
      </c>
      <c r="AB207" s="37">
        <v>16.0</v>
      </c>
      <c r="AC207" s="37">
        <v>6.0</v>
      </c>
      <c r="AD207" s="40">
        <v>453264.78</v>
      </c>
      <c r="AE207" s="40">
        <v>19222.07</v>
      </c>
      <c r="AF207" s="41">
        <v>0.04</v>
      </c>
      <c r="AG207" s="40">
        <v>41764.14</v>
      </c>
      <c r="AH207" s="40">
        <v>2448.0</v>
      </c>
      <c r="AI207" s="37">
        <v>7.75</v>
      </c>
      <c r="AJ207" s="40">
        <v>234700.0</v>
      </c>
      <c r="AK207" s="37">
        <v>51.78</v>
      </c>
      <c r="AL207" s="39">
        <v>44062.0</v>
      </c>
      <c r="AM207" s="39">
        <v>45888.0</v>
      </c>
      <c r="AN207" s="37">
        <v>60.0</v>
      </c>
      <c r="AO207" s="37">
        <v>4000.0</v>
      </c>
      <c r="AP207" s="37">
        <v>220000.0</v>
      </c>
      <c r="AQ207" s="39">
        <v>46234.0</v>
      </c>
      <c r="AR207" s="37">
        <v>31972.0</v>
      </c>
      <c r="AS207" s="37">
        <v>36525.0</v>
      </c>
      <c r="AT207" s="37">
        <v>4553.0</v>
      </c>
      <c r="AU207" s="37">
        <v>35881.0</v>
      </c>
      <c r="AV207" s="37">
        <v>3588.0</v>
      </c>
      <c r="AW207" s="40">
        <v>7656.29</v>
      </c>
      <c r="AX207" s="40">
        <v>2440.0</v>
      </c>
      <c r="AY207" s="40">
        <v>125.0</v>
      </c>
      <c r="AZ207" s="40">
        <v>291.0</v>
      </c>
      <c r="BA207" s="40">
        <v>1522.99</v>
      </c>
      <c r="BB207" s="40">
        <v>12035.28</v>
      </c>
      <c r="BC207" s="40">
        <v>1805.29</v>
      </c>
      <c r="BD207" s="40">
        <v>13840.57</v>
      </c>
      <c r="BE207" s="39">
        <v>45748.0</v>
      </c>
      <c r="BF207" s="39">
        <v>45838.0</v>
      </c>
      <c r="BG207" s="37">
        <v>26902.0</v>
      </c>
      <c r="BH207" s="37">
        <v>36525.0</v>
      </c>
      <c r="BI207" s="37">
        <v>9623.0</v>
      </c>
      <c r="BJ207" s="37">
        <v>12000.0</v>
      </c>
      <c r="BK207" s="37">
        <v>-2377.0</v>
      </c>
      <c r="BL207" s="40">
        <v>0.7</v>
      </c>
      <c r="BM207" s="40">
        <v>0.99</v>
      </c>
      <c r="BN207" s="40">
        <v>0.0</v>
      </c>
      <c r="BO207" s="40">
        <v>0.0</v>
      </c>
      <c r="BP207" s="40">
        <v>0.0</v>
      </c>
      <c r="BQ207" s="40">
        <v>-217.5</v>
      </c>
      <c r="BR207" s="40">
        <v>0.0</v>
      </c>
      <c r="BS207" s="40">
        <v>0.0</v>
      </c>
      <c r="BT207" s="40">
        <v>0.0</v>
      </c>
      <c r="BU207" s="40">
        <v>0.0</v>
      </c>
      <c r="BV207" s="40">
        <v>0.0</v>
      </c>
      <c r="BW207" s="40">
        <v>0.0</v>
      </c>
      <c r="BX207" s="40">
        <v>0.0</v>
      </c>
      <c r="BY207" s="40">
        <v>7584.11</v>
      </c>
      <c r="BZ207" s="37">
        <v>0.0</v>
      </c>
      <c r="CA207" s="40">
        <v>0.0</v>
      </c>
      <c r="CB207" s="37">
        <v>0.0</v>
      </c>
      <c r="CC207" s="40">
        <v>0.0</v>
      </c>
      <c r="CD207" s="40">
        <v>0.0</v>
      </c>
      <c r="CE207" s="40">
        <v>0.0</v>
      </c>
      <c r="CF207" s="40">
        <v>0.0</v>
      </c>
      <c r="CG207" s="40">
        <v>0.0</v>
      </c>
      <c r="CH207" s="40">
        <v>12173.1</v>
      </c>
      <c r="CI207" s="40">
        <v>1587.79</v>
      </c>
      <c r="CJ207" s="40">
        <v>10585.31</v>
      </c>
      <c r="CK207" s="40">
        <v>2.32</v>
      </c>
      <c r="CL207" s="37">
        <v>0.0</v>
      </c>
      <c r="CM207" s="37">
        <v>0.0</v>
      </c>
      <c r="CN207" s="37">
        <v>0.0</v>
      </c>
      <c r="CO207" s="37">
        <v>100.0</v>
      </c>
      <c r="CP207" s="39"/>
      <c r="CQ207" s="37">
        <v>0.0</v>
      </c>
      <c r="CR207" s="37">
        <v>0.0</v>
      </c>
      <c r="CS207" s="37">
        <v>0.0</v>
      </c>
      <c r="CT207" s="37">
        <v>-4382.0</v>
      </c>
      <c r="CU207" s="39">
        <v>47208.0</v>
      </c>
      <c r="CV207" s="39">
        <v>47208.0</v>
      </c>
      <c r="CW207" s="37">
        <v>220644.0</v>
      </c>
      <c r="CX207" s="37" t="s">
        <v>122</v>
      </c>
      <c r="CY207" s="37" t="s">
        <v>123</v>
      </c>
      <c r="CZ207" s="40">
        <v>0.0</v>
      </c>
      <c r="DA207" s="40">
        <v>0.0</v>
      </c>
      <c r="DB207" s="40">
        <v>-2843.82</v>
      </c>
      <c r="DC207" s="40">
        <v>0.61</v>
      </c>
      <c r="DD207" s="40">
        <v>-1449.97</v>
      </c>
      <c r="DE207" s="40">
        <v>-1667.47</v>
      </c>
      <c r="DF207" s="37"/>
    </row>
    <row r="208" ht="13.5" customHeight="1">
      <c r="A208" s="37" t="s">
        <v>203</v>
      </c>
      <c r="B208" s="38">
        <v>44013.0</v>
      </c>
      <c r="C208" s="37" t="s">
        <v>124</v>
      </c>
      <c r="D208" s="37" t="s">
        <v>110</v>
      </c>
      <c r="E208" s="37" t="s">
        <v>111</v>
      </c>
      <c r="F208" s="37" t="s">
        <v>172</v>
      </c>
      <c r="G208" s="37" t="s">
        <v>140</v>
      </c>
      <c r="H208" s="37" t="s">
        <v>129</v>
      </c>
      <c r="I208" s="39">
        <v>44039.0</v>
      </c>
      <c r="J208" s="39">
        <v>44040.0</v>
      </c>
      <c r="K208" s="37">
        <f t="shared" si="1"/>
        <v>1</v>
      </c>
      <c r="L208" s="37">
        <v>1.0</v>
      </c>
      <c r="M208" s="37">
        <f t="shared" si="2"/>
        <v>0</v>
      </c>
      <c r="N208" s="39">
        <v>44053.0</v>
      </c>
      <c r="O208" s="39">
        <v>44063.0</v>
      </c>
      <c r="P208" s="37">
        <f t="shared" si="3"/>
        <v>10</v>
      </c>
      <c r="Q208" s="37">
        <v>90.0</v>
      </c>
      <c r="R208" s="37">
        <f t="shared" si="4"/>
        <v>-80</v>
      </c>
      <c r="S208" s="37" t="s">
        <v>622</v>
      </c>
      <c r="T208" s="37" t="s">
        <v>623</v>
      </c>
      <c r="U208" s="37" t="s">
        <v>117</v>
      </c>
      <c r="V208" s="37" t="s">
        <v>147</v>
      </c>
      <c r="W208" s="37" t="s">
        <v>182</v>
      </c>
      <c r="X208" s="37" t="s">
        <v>259</v>
      </c>
      <c r="Y208" s="37">
        <v>2024.0</v>
      </c>
      <c r="Z208" s="37" t="s">
        <v>135</v>
      </c>
      <c r="AA208" s="37">
        <v>1998.0</v>
      </c>
      <c r="AB208" s="37">
        <v>16.0</v>
      </c>
      <c r="AC208" s="37">
        <v>0.0</v>
      </c>
      <c r="AD208" s="40">
        <v>453264.78</v>
      </c>
      <c r="AE208" s="40">
        <v>19222.07</v>
      </c>
      <c r="AF208" s="41">
        <v>0.04</v>
      </c>
      <c r="AG208" s="40">
        <v>42747.12</v>
      </c>
      <c r="AH208" s="40">
        <v>2322.0</v>
      </c>
      <c r="AI208" s="37">
        <v>7.75</v>
      </c>
      <c r="AJ208" s="40">
        <v>234700.0</v>
      </c>
      <c r="AK208" s="37">
        <v>51.78</v>
      </c>
      <c r="AL208" s="39">
        <v>44063.0</v>
      </c>
      <c r="AM208" s="39">
        <v>45889.0</v>
      </c>
      <c r="AN208" s="37">
        <v>60.0</v>
      </c>
      <c r="AO208" s="37">
        <v>4000.0</v>
      </c>
      <c r="AP208" s="37">
        <v>220000.0</v>
      </c>
      <c r="AQ208" s="39">
        <v>46234.0</v>
      </c>
      <c r="AR208" s="37">
        <v>32380.0</v>
      </c>
      <c r="AS208" s="37">
        <v>35377.0</v>
      </c>
      <c r="AT208" s="37">
        <v>2997.0</v>
      </c>
      <c r="AU208" s="37">
        <v>34771.0</v>
      </c>
      <c r="AV208" s="37">
        <v>3477.0</v>
      </c>
      <c r="AW208" s="40">
        <v>7674.88</v>
      </c>
      <c r="AX208" s="40">
        <v>2440.0</v>
      </c>
      <c r="AY208" s="40">
        <v>125.0</v>
      </c>
      <c r="AZ208" s="40">
        <v>291.0</v>
      </c>
      <c r="BA208" s="40">
        <v>1522.99</v>
      </c>
      <c r="BB208" s="40">
        <v>12053.87</v>
      </c>
      <c r="BC208" s="40">
        <v>1808.08</v>
      </c>
      <c r="BD208" s="40">
        <v>13861.95</v>
      </c>
      <c r="BE208" s="39">
        <v>45748.0</v>
      </c>
      <c r="BF208" s="39">
        <v>45838.0</v>
      </c>
      <c r="BG208" s="37">
        <v>26036.0</v>
      </c>
      <c r="BH208" s="37">
        <v>35377.0</v>
      </c>
      <c r="BI208" s="37">
        <v>9341.0</v>
      </c>
      <c r="BJ208" s="37">
        <v>12000.0</v>
      </c>
      <c r="BK208" s="37">
        <v>-2659.0</v>
      </c>
      <c r="BL208" s="40">
        <v>0.7</v>
      </c>
      <c r="BM208" s="40">
        <v>0.99</v>
      </c>
      <c r="BN208" s="40">
        <v>0.0</v>
      </c>
      <c r="BO208" s="40">
        <v>0.0</v>
      </c>
      <c r="BP208" s="40">
        <v>0.0</v>
      </c>
      <c r="BQ208" s="40">
        <v>-243.3</v>
      </c>
      <c r="BR208" s="40">
        <v>0.0</v>
      </c>
      <c r="BS208" s="40">
        <v>0.0</v>
      </c>
      <c r="BT208" s="40">
        <v>0.0</v>
      </c>
      <c r="BU208" s="40">
        <v>0.0</v>
      </c>
      <c r="BV208" s="40">
        <v>0.0</v>
      </c>
      <c r="BW208" s="40">
        <v>0.0</v>
      </c>
      <c r="BX208" s="40">
        <v>0.0</v>
      </c>
      <c r="BY208" s="40">
        <v>4081.26</v>
      </c>
      <c r="BZ208" s="37">
        <v>0.0</v>
      </c>
      <c r="CA208" s="40">
        <v>0.0</v>
      </c>
      <c r="CB208" s="37">
        <v>0.0</v>
      </c>
      <c r="CC208" s="40">
        <v>0.0</v>
      </c>
      <c r="CD208" s="40">
        <v>0.0</v>
      </c>
      <c r="CE208" s="40">
        <v>0.0</v>
      </c>
      <c r="CF208" s="40">
        <v>0.0</v>
      </c>
      <c r="CG208" s="40">
        <v>0.0</v>
      </c>
      <c r="CH208" s="40">
        <v>11996.66</v>
      </c>
      <c r="CI208" s="40">
        <v>1564.78</v>
      </c>
      <c r="CJ208" s="40">
        <v>10431.88</v>
      </c>
      <c r="CK208" s="40">
        <v>3.48</v>
      </c>
      <c r="CL208" s="37">
        <v>0.0</v>
      </c>
      <c r="CM208" s="37">
        <v>0.0</v>
      </c>
      <c r="CN208" s="37">
        <v>0.0</v>
      </c>
      <c r="CO208" s="37">
        <v>100.0</v>
      </c>
      <c r="CP208" s="39"/>
      <c r="CQ208" s="37">
        <v>0.0</v>
      </c>
      <c r="CR208" s="37">
        <v>0.0</v>
      </c>
      <c r="CS208" s="37">
        <v>0.0</v>
      </c>
      <c r="CT208" s="37">
        <v>-5492.0</v>
      </c>
      <c r="CU208" s="39">
        <v>47208.0</v>
      </c>
      <c r="CV208" s="39">
        <v>47208.0</v>
      </c>
      <c r="CW208" s="37">
        <v>220606.0</v>
      </c>
      <c r="CX208" s="37" t="s">
        <v>122</v>
      </c>
      <c r="CY208" s="37" t="s">
        <v>123</v>
      </c>
      <c r="CZ208" s="40">
        <v>3779.26</v>
      </c>
      <c r="DA208" s="40">
        <v>2794.77</v>
      </c>
      <c r="DB208" s="40">
        <v>-6875.31</v>
      </c>
      <c r="DC208" s="40">
        <v>0.61</v>
      </c>
      <c r="DD208" s="40">
        <v>-1621.99</v>
      </c>
      <c r="DE208" s="40">
        <v>-1865.29</v>
      </c>
      <c r="DF208" s="37"/>
    </row>
    <row r="209" ht="13.5" customHeight="1">
      <c r="A209" s="37" t="s">
        <v>203</v>
      </c>
      <c r="B209" s="38">
        <v>44013.0</v>
      </c>
      <c r="C209" s="37" t="s">
        <v>136</v>
      </c>
      <c r="D209" s="37" t="s">
        <v>125</v>
      </c>
      <c r="E209" s="37" t="s">
        <v>126</v>
      </c>
      <c r="F209" s="37" t="s">
        <v>172</v>
      </c>
      <c r="G209" s="37" t="s">
        <v>140</v>
      </c>
      <c r="H209" s="37" t="s">
        <v>141</v>
      </c>
      <c r="I209" s="39">
        <v>44040.0</v>
      </c>
      <c r="J209" s="39">
        <v>44041.0</v>
      </c>
      <c r="K209" s="37">
        <f t="shared" si="1"/>
        <v>1</v>
      </c>
      <c r="L209" s="37">
        <v>1.0</v>
      </c>
      <c r="M209" s="37">
        <f t="shared" si="2"/>
        <v>0</v>
      </c>
      <c r="N209" s="39">
        <v>44054.0</v>
      </c>
      <c r="O209" s="39">
        <v>44064.0</v>
      </c>
      <c r="P209" s="37">
        <f t="shared" si="3"/>
        <v>10</v>
      </c>
      <c r="Q209" s="37">
        <v>90.0</v>
      </c>
      <c r="R209" s="37">
        <f t="shared" si="4"/>
        <v>-80</v>
      </c>
      <c r="S209" s="37" t="s">
        <v>624</v>
      </c>
      <c r="T209" s="37" t="s">
        <v>625</v>
      </c>
      <c r="U209" s="37" t="s">
        <v>117</v>
      </c>
      <c r="V209" s="37" t="s">
        <v>147</v>
      </c>
      <c r="W209" s="37" t="s">
        <v>182</v>
      </c>
      <c r="X209" s="37" t="s">
        <v>259</v>
      </c>
      <c r="Y209" s="37">
        <v>2024.0</v>
      </c>
      <c r="Z209" s="37" t="s">
        <v>135</v>
      </c>
      <c r="AA209" s="37">
        <v>1998.0</v>
      </c>
      <c r="AB209" s="37">
        <v>16.0</v>
      </c>
      <c r="AC209" s="37">
        <v>3.0</v>
      </c>
      <c r="AD209" s="40">
        <v>453264.78</v>
      </c>
      <c r="AE209" s="40">
        <v>19222.07</v>
      </c>
      <c r="AF209" s="41">
        <v>0.04</v>
      </c>
      <c r="AG209" s="40">
        <v>40805.97</v>
      </c>
      <c r="AH209" s="40">
        <v>2322.0</v>
      </c>
      <c r="AI209" s="37">
        <v>7.75</v>
      </c>
      <c r="AJ209" s="40">
        <v>234700.0</v>
      </c>
      <c r="AK209" s="37">
        <v>51.78</v>
      </c>
      <c r="AL209" s="39">
        <v>44064.0</v>
      </c>
      <c r="AM209" s="39">
        <v>45890.0</v>
      </c>
      <c r="AN209" s="37">
        <v>60.0</v>
      </c>
      <c r="AO209" s="37">
        <v>2500.0</v>
      </c>
      <c r="AP209" s="37">
        <v>150000.0</v>
      </c>
      <c r="AQ209" s="39">
        <v>46234.0</v>
      </c>
      <c r="AR209" s="37">
        <v>24670.0</v>
      </c>
      <c r="AS209" s="37">
        <v>28452.0</v>
      </c>
      <c r="AT209" s="37">
        <v>3782.0</v>
      </c>
      <c r="AU209" s="37">
        <v>27845.0</v>
      </c>
      <c r="AV209" s="37">
        <v>2785.0</v>
      </c>
      <c r="AW209" s="40">
        <v>7266.17</v>
      </c>
      <c r="AX209" s="40">
        <v>1800.0</v>
      </c>
      <c r="AY209" s="40">
        <v>125.0</v>
      </c>
      <c r="AZ209" s="40">
        <v>291.0</v>
      </c>
      <c r="BA209" s="40">
        <v>1522.99</v>
      </c>
      <c r="BB209" s="40">
        <v>11005.16</v>
      </c>
      <c r="BC209" s="40">
        <v>1650.77</v>
      </c>
      <c r="BD209" s="40">
        <v>12655.93</v>
      </c>
      <c r="BE209" s="39">
        <v>45748.0</v>
      </c>
      <c r="BF209" s="39">
        <v>45838.0</v>
      </c>
      <c r="BG209" s="37">
        <v>18405.0</v>
      </c>
      <c r="BH209" s="37">
        <v>28452.0</v>
      </c>
      <c r="BI209" s="37">
        <v>10047.0</v>
      </c>
      <c r="BJ209" s="37">
        <v>7500.0</v>
      </c>
      <c r="BK209" s="37">
        <v>2547.0</v>
      </c>
      <c r="BL209" s="40">
        <v>0.83</v>
      </c>
      <c r="BM209" s="40">
        <v>1.46</v>
      </c>
      <c r="BN209" s="40">
        <v>2114.01</v>
      </c>
      <c r="BO209" s="40">
        <v>3718.62</v>
      </c>
      <c r="BP209" s="40">
        <v>5832.63</v>
      </c>
      <c r="BQ209" s="40">
        <v>874.89</v>
      </c>
      <c r="BR209" s="40">
        <v>6707.52</v>
      </c>
      <c r="BS209" s="40">
        <v>0.0</v>
      </c>
      <c r="BT209" s="40">
        <v>0.0</v>
      </c>
      <c r="BU209" s="40">
        <v>0.0</v>
      </c>
      <c r="BV209" s="40">
        <v>0.0</v>
      </c>
      <c r="BW209" s="40">
        <v>0.0</v>
      </c>
      <c r="BX209" s="40">
        <v>0.0</v>
      </c>
      <c r="BY209" s="40">
        <v>5124.36</v>
      </c>
      <c r="BZ209" s="37">
        <v>0.0</v>
      </c>
      <c r="CA209" s="40">
        <v>0.0</v>
      </c>
      <c r="CB209" s="37">
        <v>0.0</v>
      </c>
      <c r="CC209" s="40">
        <v>0.0</v>
      </c>
      <c r="CD209" s="40">
        <v>0.0</v>
      </c>
      <c r="CE209" s="40">
        <v>0.0</v>
      </c>
      <c r="CF209" s="40">
        <v>0.0</v>
      </c>
      <c r="CG209" s="40">
        <v>0.0</v>
      </c>
      <c r="CH209" s="40">
        <v>19363.45</v>
      </c>
      <c r="CI209" s="40">
        <v>2525.66</v>
      </c>
      <c r="CJ209" s="40">
        <v>16837.79</v>
      </c>
      <c r="CK209" s="40">
        <v>4.45</v>
      </c>
      <c r="CL209" s="37">
        <v>0.0</v>
      </c>
      <c r="CM209" s="37">
        <v>0.0</v>
      </c>
      <c r="CN209" s="37">
        <v>0.0</v>
      </c>
      <c r="CO209" s="37">
        <v>100.0</v>
      </c>
      <c r="CP209" s="39"/>
      <c r="CQ209" s="37">
        <v>0.0</v>
      </c>
      <c r="CR209" s="37">
        <v>0.0</v>
      </c>
      <c r="CS209" s="37">
        <v>0.0</v>
      </c>
      <c r="CT209" s="37">
        <v>2681.0</v>
      </c>
      <c r="CU209" s="39">
        <v>47361.0</v>
      </c>
      <c r="CV209" s="39">
        <v>47361.0</v>
      </c>
      <c r="CW209" s="37">
        <v>150607.0</v>
      </c>
      <c r="CX209" s="37" t="s">
        <v>122</v>
      </c>
      <c r="CY209" s="37" t="s">
        <v>123</v>
      </c>
      <c r="CZ209" s="40">
        <v>6447.84</v>
      </c>
      <c r="DA209" s="40">
        <v>8164.32</v>
      </c>
      <c r="DB209" s="40">
        <v>-3872.16</v>
      </c>
      <c r="DC209" s="40">
        <v>0.72</v>
      </c>
      <c r="DD209" s="40">
        <v>0.0</v>
      </c>
      <c r="DE209" s="40">
        <v>0.0</v>
      </c>
      <c r="DF209" s="37"/>
    </row>
    <row r="210" ht="13.5" customHeight="1">
      <c r="A210" s="37" t="s">
        <v>203</v>
      </c>
      <c r="B210" s="38">
        <v>44013.0</v>
      </c>
      <c r="C210" s="37" t="s">
        <v>109</v>
      </c>
      <c r="D210" s="37" t="s">
        <v>110</v>
      </c>
      <c r="E210" s="37" t="s">
        <v>111</v>
      </c>
      <c r="F210" s="37" t="s">
        <v>172</v>
      </c>
      <c r="G210" s="37" t="s">
        <v>140</v>
      </c>
      <c r="H210" s="37" t="s">
        <v>114</v>
      </c>
      <c r="I210" s="39">
        <v>44041.0</v>
      </c>
      <c r="J210" s="39">
        <v>44042.0</v>
      </c>
      <c r="K210" s="37">
        <f t="shared" si="1"/>
        <v>1</v>
      </c>
      <c r="L210" s="37">
        <v>1.0</v>
      </c>
      <c r="M210" s="37">
        <f t="shared" si="2"/>
        <v>0</v>
      </c>
      <c r="N210" s="39">
        <v>44055.0</v>
      </c>
      <c r="O210" s="39">
        <v>44096.0</v>
      </c>
      <c r="P210" s="37">
        <f t="shared" si="3"/>
        <v>41</v>
      </c>
      <c r="Q210" s="37">
        <v>90.0</v>
      </c>
      <c r="R210" s="37">
        <f t="shared" si="4"/>
        <v>-49</v>
      </c>
      <c r="S210" s="37" t="s">
        <v>626</v>
      </c>
      <c r="T210" s="37" t="s">
        <v>627</v>
      </c>
      <c r="U210" s="37" t="s">
        <v>117</v>
      </c>
      <c r="V210" s="37" t="s">
        <v>207</v>
      </c>
      <c r="W210" s="37" t="s">
        <v>199</v>
      </c>
      <c r="X210" s="37" t="s">
        <v>628</v>
      </c>
      <c r="Y210" s="37">
        <v>2024.0</v>
      </c>
      <c r="Z210" s="37" t="s">
        <v>135</v>
      </c>
      <c r="AA210" s="37">
        <v>2798.0</v>
      </c>
      <c r="AB210" s="37">
        <v>16.0</v>
      </c>
      <c r="AC210" s="37">
        <v>1.0</v>
      </c>
      <c r="AD210" s="40">
        <v>733479.0</v>
      </c>
      <c r="AE210" s="40">
        <v>86550.52</v>
      </c>
      <c r="AF210" s="41">
        <v>0.12</v>
      </c>
      <c r="AG210" s="40">
        <v>33258.91</v>
      </c>
      <c r="AH210" s="40">
        <v>3151.0</v>
      </c>
      <c r="AI210" s="37">
        <v>7.75</v>
      </c>
      <c r="AJ210" s="40">
        <v>293507.0</v>
      </c>
      <c r="AK210" s="37">
        <v>40.02</v>
      </c>
      <c r="AL210" s="39">
        <v>44096.0</v>
      </c>
      <c r="AM210" s="39">
        <v>45922.0</v>
      </c>
      <c r="AN210" s="37">
        <v>60.0</v>
      </c>
      <c r="AO210" s="37">
        <v>2200.0</v>
      </c>
      <c r="AP210" s="37">
        <v>132000.0</v>
      </c>
      <c r="AQ210" s="39">
        <v>45869.0</v>
      </c>
      <c r="AR210" s="37">
        <v>25865.0</v>
      </c>
      <c r="AS210" s="37">
        <v>26839.0</v>
      </c>
      <c r="AT210" s="37">
        <v>974.0</v>
      </c>
      <c r="AU210" s="37">
        <v>26061.0</v>
      </c>
      <c r="AV210" s="37">
        <v>2896.0</v>
      </c>
      <c r="AW210" s="40">
        <v>10747.79</v>
      </c>
      <c r="AX210" s="40">
        <v>1562.0</v>
      </c>
      <c r="AY210" s="40">
        <v>190.0</v>
      </c>
      <c r="AZ210" s="40">
        <v>291.0</v>
      </c>
      <c r="BA210" s="40">
        <v>1522.99</v>
      </c>
      <c r="BB210" s="40">
        <v>14313.78</v>
      </c>
      <c r="BC210" s="40">
        <v>2147.07</v>
      </c>
      <c r="BD210" s="40">
        <v>16460.85</v>
      </c>
      <c r="BE210" s="39">
        <v>45748.0</v>
      </c>
      <c r="BF210" s="39">
        <v>45838.0</v>
      </c>
      <c r="BG210" s="37">
        <v>20929.0</v>
      </c>
      <c r="BH210" s="37">
        <v>26839.0</v>
      </c>
      <c r="BI210" s="37">
        <v>5910.0</v>
      </c>
      <c r="BJ210" s="37">
        <v>6600.0</v>
      </c>
      <c r="BK210" s="37">
        <v>-690.0</v>
      </c>
      <c r="BL210" s="40">
        <v>0.82</v>
      </c>
      <c r="BM210" s="40">
        <v>3.33</v>
      </c>
      <c r="BN210" s="40">
        <v>0.0</v>
      </c>
      <c r="BO210" s="40">
        <v>0.0</v>
      </c>
      <c r="BP210" s="40">
        <v>0.0</v>
      </c>
      <c r="BQ210" s="40">
        <v>-73.49</v>
      </c>
      <c r="BR210" s="40">
        <v>0.0</v>
      </c>
      <c r="BS210" s="40">
        <v>18548.31</v>
      </c>
      <c r="BT210" s="40">
        <v>0.0</v>
      </c>
      <c r="BU210" s="40">
        <v>0.0</v>
      </c>
      <c r="BV210" s="40">
        <v>0.0</v>
      </c>
      <c r="BW210" s="40">
        <v>0.0</v>
      </c>
      <c r="BX210" s="40">
        <v>0.0</v>
      </c>
      <c r="BY210" s="40">
        <v>3612.44</v>
      </c>
      <c r="BZ210" s="37">
        <v>0.0</v>
      </c>
      <c r="CA210" s="40">
        <v>0.0</v>
      </c>
      <c r="CB210" s="37">
        <v>0.0</v>
      </c>
      <c r="CC210" s="40">
        <v>0.0</v>
      </c>
      <c r="CD210" s="40">
        <v>0.0</v>
      </c>
      <c r="CE210" s="40">
        <v>18548.31</v>
      </c>
      <c r="CF210" s="40">
        <v>2782.25</v>
      </c>
      <c r="CG210" s="40">
        <v>21330.56</v>
      </c>
      <c r="CH210" s="40">
        <v>37228.02</v>
      </c>
      <c r="CI210" s="40">
        <v>4855.83</v>
      </c>
      <c r="CJ210" s="40">
        <v>32372.19</v>
      </c>
      <c r="CK210" s="40">
        <v>33.24</v>
      </c>
      <c r="CL210" s="37">
        <v>13.0</v>
      </c>
      <c r="CM210" s="37">
        <v>0.0</v>
      </c>
      <c r="CN210" s="37">
        <v>0.0</v>
      </c>
      <c r="CO210" s="37">
        <v>100.0</v>
      </c>
      <c r="CP210" s="39"/>
      <c r="CQ210" s="37">
        <v>0.0</v>
      </c>
      <c r="CR210" s="37">
        <v>0.0</v>
      </c>
      <c r="CS210" s="37">
        <v>0.0</v>
      </c>
      <c r="CT210" s="37">
        <v>5177.0</v>
      </c>
      <c r="CU210" s="39">
        <v>47391.0</v>
      </c>
      <c r="CV210" s="39">
        <v>47391.0</v>
      </c>
      <c r="CW210" s="37">
        <v>132778.0</v>
      </c>
      <c r="CX210" s="37" t="s">
        <v>122</v>
      </c>
      <c r="CY210" s="37" t="s">
        <v>123</v>
      </c>
      <c r="CZ210" s="40">
        <v>5699.82</v>
      </c>
      <c r="DA210" s="40">
        <v>23146.83</v>
      </c>
      <c r="DB210" s="40">
        <v>-1259.54</v>
      </c>
      <c r="DC210" s="40">
        <v>0.71</v>
      </c>
      <c r="DD210" s="40">
        <v>-489.9</v>
      </c>
      <c r="DE210" s="40">
        <v>-563.39</v>
      </c>
      <c r="DF210" s="37"/>
    </row>
    <row r="211" ht="13.5" customHeight="1">
      <c r="A211" s="37" t="s">
        <v>203</v>
      </c>
      <c r="B211" s="38">
        <v>44013.0</v>
      </c>
      <c r="C211" s="37" t="s">
        <v>124</v>
      </c>
      <c r="D211" s="37" t="s">
        <v>125</v>
      </c>
      <c r="E211" s="37" t="s">
        <v>126</v>
      </c>
      <c r="F211" s="37" t="s">
        <v>196</v>
      </c>
      <c r="G211" s="37" t="s">
        <v>140</v>
      </c>
      <c r="H211" s="37" t="s">
        <v>129</v>
      </c>
      <c r="I211" s="39">
        <v>44042.0</v>
      </c>
      <c r="J211" s="39">
        <v>44043.0</v>
      </c>
      <c r="K211" s="37">
        <f t="shared" si="1"/>
        <v>1</v>
      </c>
      <c r="L211" s="37">
        <v>1.0</v>
      </c>
      <c r="M211" s="37">
        <f t="shared" si="2"/>
        <v>0</v>
      </c>
      <c r="N211" s="39">
        <v>44056.0</v>
      </c>
      <c r="O211" s="39">
        <v>44066.0</v>
      </c>
      <c r="P211" s="37">
        <f t="shared" si="3"/>
        <v>10</v>
      </c>
      <c r="Q211" s="37">
        <v>90.0</v>
      </c>
      <c r="R211" s="37">
        <f t="shared" si="4"/>
        <v>-80</v>
      </c>
      <c r="S211" s="37" t="s">
        <v>629</v>
      </c>
      <c r="T211" s="37" t="s">
        <v>630</v>
      </c>
      <c r="U211" s="37" t="s">
        <v>117</v>
      </c>
      <c r="V211" s="37" t="s">
        <v>147</v>
      </c>
      <c r="W211" s="37" t="s">
        <v>182</v>
      </c>
      <c r="X211" s="37" t="s">
        <v>259</v>
      </c>
      <c r="Y211" s="37">
        <v>2024.0</v>
      </c>
      <c r="Z211" s="37" t="s">
        <v>135</v>
      </c>
      <c r="AA211" s="37">
        <v>1998.0</v>
      </c>
      <c r="AB211" s="37">
        <v>16.0</v>
      </c>
      <c r="AC211" s="37">
        <v>0.0</v>
      </c>
      <c r="AD211" s="40">
        <v>453264.78</v>
      </c>
      <c r="AE211" s="40">
        <v>18319.11</v>
      </c>
      <c r="AF211" s="41">
        <v>0.04</v>
      </c>
      <c r="AG211" s="40">
        <v>51488.77</v>
      </c>
      <c r="AH211" s="40">
        <v>2448.0</v>
      </c>
      <c r="AI211" s="37">
        <v>7.75</v>
      </c>
      <c r="AJ211" s="40">
        <v>234700.0</v>
      </c>
      <c r="AK211" s="37">
        <v>51.78</v>
      </c>
      <c r="AL211" s="39">
        <v>44066.0</v>
      </c>
      <c r="AM211" s="39">
        <v>45892.0</v>
      </c>
      <c r="AN211" s="37">
        <v>60.0</v>
      </c>
      <c r="AO211" s="37">
        <v>3000.0</v>
      </c>
      <c r="AP211" s="37">
        <v>180000.0</v>
      </c>
      <c r="AQ211" s="39">
        <v>46234.0</v>
      </c>
      <c r="AR211" s="37">
        <v>23452.0</v>
      </c>
      <c r="AS211" s="37">
        <v>25899.0</v>
      </c>
      <c r="AT211" s="37">
        <v>2447.0</v>
      </c>
      <c r="AU211" s="37">
        <v>25403.0</v>
      </c>
      <c r="AV211" s="37">
        <v>2540.0</v>
      </c>
      <c r="AW211" s="40">
        <v>7502.6</v>
      </c>
      <c r="AX211" s="40">
        <v>2010.0</v>
      </c>
      <c r="AY211" s="40">
        <v>125.0</v>
      </c>
      <c r="AZ211" s="40">
        <v>291.0</v>
      </c>
      <c r="BA211" s="40">
        <v>1522.99</v>
      </c>
      <c r="BB211" s="40">
        <v>11451.59</v>
      </c>
      <c r="BC211" s="40">
        <v>1717.74</v>
      </c>
      <c r="BD211" s="40">
        <v>13169.33</v>
      </c>
      <c r="BE211" s="39">
        <v>45748.0</v>
      </c>
      <c r="BF211" s="39">
        <v>45838.0</v>
      </c>
      <c r="BG211" s="37">
        <v>18598.0</v>
      </c>
      <c r="BH211" s="37">
        <v>25899.0</v>
      </c>
      <c r="BI211" s="37">
        <v>7301.0</v>
      </c>
      <c r="BJ211" s="37">
        <v>9000.0</v>
      </c>
      <c r="BK211" s="37">
        <v>-1699.0</v>
      </c>
      <c r="BL211" s="40">
        <v>0.77</v>
      </c>
      <c r="BM211" s="40">
        <v>1.21</v>
      </c>
      <c r="BN211" s="40">
        <v>0.0</v>
      </c>
      <c r="BO211" s="40">
        <v>0.0</v>
      </c>
      <c r="BP211" s="40">
        <v>0.0</v>
      </c>
      <c r="BQ211" s="40">
        <v>-170.75</v>
      </c>
      <c r="BR211" s="40">
        <v>0.0</v>
      </c>
      <c r="BS211" s="40">
        <v>0.0</v>
      </c>
      <c r="BT211" s="40">
        <v>0.0</v>
      </c>
      <c r="BU211" s="40">
        <v>0.0</v>
      </c>
      <c r="BV211" s="40">
        <v>0.0</v>
      </c>
      <c r="BW211" s="40">
        <v>0.0</v>
      </c>
      <c r="BX211" s="40">
        <v>0.0</v>
      </c>
      <c r="BY211" s="40">
        <v>5053.5</v>
      </c>
      <c r="BZ211" s="37">
        <v>0.0</v>
      </c>
      <c r="CA211" s="40">
        <v>0.0</v>
      </c>
      <c r="CB211" s="37">
        <v>0.0</v>
      </c>
      <c r="CC211" s="40">
        <v>0.0</v>
      </c>
      <c r="CD211" s="40">
        <v>0.0</v>
      </c>
      <c r="CE211" s="40">
        <v>0.0</v>
      </c>
      <c r="CF211" s="40">
        <v>0.0</v>
      </c>
      <c r="CG211" s="40">
        <v>0.0</v>
      </c>
      <c r="CH211" s="40">
        <v>11860.25</v>
      </c>
      <c r="CI211" s="40">
        <v>1546.99</v>
      </c>
      <c r="CJ211" s="40">
        <v>10313.26</v>
      </c>
      <c r="CK211" s="40">
        <v>4.21</v>
      </c>
      <c r="CL211" s="37">
        <v>0.0</v>
      </c>
      <c r="CM211" s="37">
        <v>0.0</v>
      </c>
      <c r="CN211" s="37">
        <v>0.0</v>
      </c>
      <c r="CO211" s="37">
        <v>100.0</v>
      </c>
      <c r="CP211" s="39"/>
      <c r="CQ211" s="37">
        <v>0.0</v>
      </c>
      <c r="CR211" s="37">
        <v>0.0</v>
      </c>
      <c r="CS211" s="37">
        <v>0.0</v>
      </c>
      <c r="CT211" s="37">
        <v>-4695.0</v>
      </c>
      <c r="CU211" s="39">
        <v>47361.0</v>
      </c>
      <c r="CV211" s="39">
        <v>47361.0</v>
      </c>
      <c r="CW211" s="37">
        <v>180496.0</v>
      </c>
      <c r="CX211" s="37" t="s">
        <v>122</v>
      </c>
      <c r="CY211" s="37" t="s">
        <v>123</v>
      </c>
      <c r="CZ211" s="40">
        <v>1771.03</v>
      </c>
      <c r="DA211" s="40">
        <v>1494.35</v>
      </c>
      <c r="DB211" s="40">
        <v>-4793.18</v>
      </c>
      <c r="DC211" s="40">
        <v>0.67</v>
      </c>
      <c r="DD211" s="40">
        <v>-1138.33</v>
      </c>
      <c r="DE211" s="40">
        <v>-1309.08</v>
      </c>
      <c r="DF211" s="37"/>
    </row>
    <row r="212" ht="13.5" customHeight="1">
      <c r="A212" s="37" t="s">
        <v>203</v>
      </c>
      <c r="B212" s="38">
        <v>44013.0</v>
      </c>
      <c r="C212" s="37" t="s">
        <v>136</v>
      </c>
      <c r="D212" s="37" t="s">
        <v>137</v>
      </c>
      <c r="E212" s="37" t="s">
        <v>138</v>
      </c>
      <c r="F212" s="37" t="s">
        <v>196</v>
      </c>
      <c r="G212" s="37" t="s">
        <v>140</v>
      </c>
      <c r="H212" s="37" t="s">
        <v>141</v>
      </c>
      <c r="I212" s="39">
        <v>44043.0</v>
      </c>
      <c r="J212" s="39">
        <v>44044.0</v>
      </c>
      <c r="K212" s="37">
        <f t="shared" si="1"/>
        <v>1</v>
      </c>
      <c r="L212" s="37">
        <v>1.0</v>
      </c>
      <c r="M212" s="37">
        <f t="shared" si="2"/>
        <v>0</v>
      </c>
      <c r="N212" s="39">
        <v>44057.0</v>
      </c>
      <c r="O212" s="39">
        <v>44067.0</v>
      </c>
      <c r="P212" s="37">
        <f t="shared" si="3"/>
        <v>10</v>
      </c>
      <c r="Q212" s="37">
        <v>90.0</v>
      </c>
      <c r="R212" s="37">
        <f t="shared" si="4"/>
        <v>-80</v>
      </c>
      <c r="S212" s="37" t="s">
        <v>631</v>
      </c>
      <c r="T212" s="37" t="s">
        <v>632</v>
      </c>
      <c r="U212" s="37" t="s">
        <v>117</v>
      </c>
      <c r="V212" s="37" t="s">
        <v>147</v>
      </c>
      <c r="W212" s="37" t="s">
        <v>182</v>
      </c>
      <c r="X212" s="37" t="s">
        <v>259</v>
      </c>
      <c r="Y212" s="37">
        <v>2024.0</v>
      </c>
      <c r="Z212" s="37" t="s">
        <v>135</v>
      </c>
      <c r="AA212" s="37">
        <v>1998.0</v>
      </c>
      <c r="AB212" s="37">
        <v>16.0</v>
      </c>
      <c r="AC212" s="37">
        <v>0.0</v>
      </c>
      <c r="AD212" s="40">
        <v>453264.78</v>
      </c>
      <c r="AE212" s="40">
        <v>18319.11</v>
      </c>
      <c r="AF212" s="41">
        <v>0.04</v>
      </c>
      <c r="AG212" s="40">
        <v>50835.7</v>
      </c>
      <c r="AH212" s="40">
        <v>2322.0</v>
      </c>
      <c r="AI212" s="37">
        <v>7.75</v>
      </c>
      <c r="AJ212" s="40">
        <v>234700.0</v>
      </c>
      <c r="AK212" s="37">
        <v>51.78</v>
      </c>
      <c r="AL212" s="39">
        <v>44067.0</v>
      </c>
      <c r="AM212" s="39">
        <v>45893.0</v>
      </c>
      <c r="AN212" s="37">
        <v>60.0</v>
      </c>
      <c r="AO212" s="37">
        <v>3000.0</v>
      </c>
      <c r="AP212" s="37">
        <v>180000.0</v>
      </c>
      <c r="AQ212" s="39">
        <v>46234.0</v>
      </c>
      <c r="AR212" s="37">
        <v>22760.0</v>
      </c>
      <c r="AS212" s="37">
        <v>26099.0</v>
      </c>
      <c r="AT212" s="37">
        <v>3339.0</v>
      </c>
      <c r="AU212" s="37">
        <v>25859.0</v>
      </c>
      <c r="AV212" s="37">
        <v>2873.0</v>
      </c>
      <c r="AW212" s="40">
        <v>7485.03</v>
      </c>
      <c r="AX212" s="40">
        <v>2010.0</v>
      </c>
      <c r="AY212" s="40">
        <v>125.0</v>
      </c>
      <c r="AZ212" s="40">
        <v>291.0</v>
      </c>
      <c r="BA212" s="40">
        <v>1522.99</v>
      </c>
      <c r="BB212" s="40">
        <v>11434.02</v>
      </c>
      <c r="BC212" s="40">
        <v>1715.1</v>
      </c>
      <c r="BD212" s="40">
        <v>13149.12</v>
      </c>
      <c r="BE212" s="39">
        <v>45748.0</v>
      </c>
      <c r="BF212" s="39">
        <v>45838.0</v>
      </c>
      <c r="BG212" s="37">
        <v>19044.0</v>
      </c>
      <c r="BH212" s="37">
        <v>26099.0</v>
      </c>
      <c r="BI212" s="37">
        <v>7055.0</v>
      </c>
      <c r="BJ212" s="37">
        <v>9000.0</v>
      </c>
      <c r="BK212" s="37">
        <v>-1945.0</v>
      </c>
      <c r="BL212" s="40">
        <v>0.77</v>
      </c>
      <c r="BM212" s="40">
        <v>1.21</v>
      </c>
      <c r="BN212" s="40">
        <v>0.0</v>
      </c>
      <c r="BO212" s="40">
        <v>0.0</v>
      </c>
      <c r="BP212" s="40">
        <v>0.0</v>
      </c>
      <c r="BQ212" s="40">
        <v>-195.47</v>
      </c>
      <c r="BR212" s="40">
        <v>0.0</v>
      </c>
      <c r="BS212" s="40">
        <v>0.0</v>
      </c>
      <c r="BT212" s="40">
        <v>0.0</v>
      </c>
      <c r="BU212" s="40">
        <v>0.0</v>
      </c>
      <c r="BV212" s="40">
        <v>0.0</v>
      </c>
      <c r="BW212" s="40">
        <v>0.0</v>
      </c>
      <c r="BX212" s="40">
        <v>0.0</v>
      </c>
      <c r="BY212" s="40">
        <v>6019.08</v>
      </c>
      <c r="BZ212" s="37">
        <v>0.0</v>
      </c>
      <c r="CA212" s="40">
        <v>0.0</v>
      </c>
      <c r="CB212" s="37">
        <v>0.0</v>
      </c>
      <c r="CC212" s="40">
        <v>0.0</v>
      </c>
      <c r="CD212" s="40">
        <v>0.0</v>
      </c>
      <c r="CE212" s="40">
        <v>0.0</v>
      </c>
      <c r="CF212" s="40">
        <v>0.0</v>
      </c>
      <c r="CG212" s="40">
        <v>0.0</v>
      </c>
      <c r="CH212" s="40">
        <v>11650.5</v>
      </c>
      <c r="CI212" s="40">
        <v>1519.63</v>
      </c>
      <c r="CJ212" s="40">
        <v>10130.87</v>
      </c>
      <c r="CK212" s="40">
        <v>3.03</v>
      </c>
      <c r="CL212" s="37">
        <v>0.0</v>
      </c>
      <c r="CM212" s="37">
        <v>0.0</v>
      </c>
      <c r="CN212" s="37">
        <v>0.0</v>
      </c>
      <c r="CO212" s="37">
        <v>100.0</v>
      </c>
      <c r="CP212" s="39"/>
      <c r="CQ212" s="37">
        <v>0.0</v>
      </c>
      <c r="CR212" s="37">
        <v>0.0</v>
      </c>
      <c r="CS212" s="37">
        <v>0.0</v>
      </c>
      <c r="CT212" s="37">
        <v>-4001.0</v>
      </c>
      <c r="CU212" s="39">
        <v>47391.0</v>
      </c>
      <c r="CV212" s="39">
        <v>47391.0</v>
      </c>
      <c r="CW212" s="37">
        <v>180240.0</v>
      </c>
      <c r="CX212" s="37" t="s">
        <v>122</v>
      </c>
      <c r="CY212" s="37" t="s">
        <v>123</v>
      </c>
      <c r="CZ212" s="40">
        <v>0.0</v>
      </c>
      <c r="DA212" s="40">
        <v>0.0</v>
      </c>
      <c r="DB212" s="40">
        <v>-2606.97</v>
      </c>
      <c r="DC212" s="40">
        <v>0.67</v>
      </c>
      <c r="DD212" s="40">
        <v>-1303.15</v>
      </c>
      <c r="DE212" s="40">
        <v>-1498.62</v>
      </c>
      <c r="DF212" s="37"/>
    </row>
    <row r="213" ht="13.5" customHeight="1">
      <c r="A213" s="37" t="s">
        <v>228</v>
      </c>
      <c r="B213" s="38">
        <v>44013.0</v>
      </c>
      <c r="C213" s="37" t="s">
        <v>109</v>
      </c>
      <c r="D213" s="37" t="s">
        <v>110</v>
      </c>
      <c r="E213" s="37" t="s">
        <v>111</v>
      </c>
      <c r="F213" s="37" t="s">
        <v>176</v>
      </c>
      <c r="G213" s="37" t="s">
        <v>140</v>
      </c>
      <c r="H213" s="37" t="s">
        <v>114</v>
      </c>
      <c r="I213" s="39">
        <v>44013.0</v>
      </c>
      <c r="J213" s="39">
        <v>44045.0</v>
      </c>
      <c r="K213" s="37">
        <f t="shared" si="1"/>
        <v>32</v>
      </c>
      <c r="L213" s="37">
        <v>1.0</v>
      </c>
      <c r="M213" s="37">
        <f t="shared" si="2"/>
        <v>31</v>
      </c>
      <c r="N213" s="39">
        <v>44058.0</v>
      </c>
      <c r="O213" s="39">
        <v>44129.0</v>
      </c>
      <c r="P213" s="37">
        <f t="shared" si="3"/>
        <v>71</v>
      </c>
      <c r="Q213" s="37">
        <v>90.0</v>
      </c>
      <c r="R213" s="37">
        <f t="shared" si="4"/>
        <v>-19</v>
      </c>
      <c r="S213" s="37" t="s">
        <v>633</v>
      </c>
      <c r="T213" s="37" t="s">
        <v>634</v>
      </c>
      <c r="U213" s="37" t="s">
        <v>117</v>
      </c>
      <c r="V213" s="37" t="s">
        <v>190</v>
      </c>
      <c r="W213" s="37" t="s">
        <v>194</v>
      </c>
      <c r="X213" s="37" t="s">
        <v>387</v>
      </c>
      <c r="Y213" s="37">
        <v>2024.0</v>
      </c>
      <c r="Z213" s="37" t="s">
        <v>121</v>
      </c>
      <c r="AA213" s="37">
        <v>1498.0</v>
      </c>
      <c r="AB213" s="37">
        <v>16.0</v>
      </c>
      <c r="AC213" s="37">
        <v>4.0</v>
      </c>
      <c r="AD213" s="40">
        <v>242521.74</v>
      </c>
      <c r="AE213" s="40">
        <v>13200.0</v>
      </c>
      <c r="AF213" s="41">
        <v>0.05</v>
      </c>
      <c r="AG213" s="40">
        <v>5394.24</v>
      </c>
      <c r="AH213" s="40">
        <v>2048.5</v>
      </c>
      <c r="AI213" s="37">
        <v>7.75</v>
      </c>
      <c r="AJ213" s="40">
        <v>104284.0</v>
      </c>
      <c r="AK213" s="37">
        <v>43.0</v>
      </c>
      <c r="AL213" s="39">
        <v>44129.0</v>
      </c>
      <c r="AM213" s="39">
        <v>45955.0</v>
      </c>
      <c r="AN213" s="37">
        <v>60.0</v>
      </c>
      <c r="AO213" s="37">
        <v>2000.0</v>
      </c>
      <c r="AP213" s="37">
        <v>120000.0</v>
      </c>
      <c r="AQ213" s="39">
        <v>46234.0</v>
      </c>
      <c r="AR213" s="37">
        <v>17689.0</v>
      </c>
      <c r="AS213" s="37">
        <v>18829.0</v>
      </c>
      <c r="AT213" s="37">
        <v>1140.0</v>
      </c>
      <c r="AU213" s="37">
        <v>18136.0</v>
      </c>
      <c r="AV213" s="37">
        <v>2015.0</v>
      </c>
      <c r="AW213" s="40">
        <v>4103.4</v>
      </c>
      <c r="AX213" s="40">
        <v>1120.0</v>
      </c>
      <c r="AY213" s="40">
        <v>125.0</v>
      </c>
      <c r="AZ213" s="40">
        <v>290.99</v>
      </c>
      <c r="BA213" s="40">
        <v>1083.24</v>
      </c>
      <c r="BB213" s="40">
        <v>6722.63</v>
      </c>
      <c r="BC213" s="40">
        <v>1008.39</v>
      </c>
      <c r="BD213" s="40">
        <v>7731.02</v>
      </c>
      <c r="BE213" s="39">
        <v>45748.0</v>
      </c>
      <c r="BF213" s="39">
        <v>45838.0</v>
      </c>
      <c r="BG213" s="37">
        <v>13917.0</v>
      </c>
      <c r="BH213" s="37">
        <v>18829.0</v>
      </c>
      <c r="BI213" s="37">
        <v>4912.0</v>
      </c>
      <c r="BJ213" s="37">
        <v>6000.0</v>
      </c>
      <c r="BK213" s="37">
        <v>-1088.0</v>
      </c>
      <c r="BL213" s="40">
        <v>0.64</v>
      </c>
      <c r="BM213" s="40">
        <v>1.15</v>
      </c>
      <c r="BN213" s="40">
        <v>0.0</v>
      </c>
      <c r="BO213" s="40">
        <v>0.0</v>
      </c>
      <c r="BP213" s="40">
        <v>0.0</v>
      </c>
      <c r="BQ213" s="40">
        <v>-91.39</v>
      </c>
      <c r="BR213" s="40">
        <v>0.0</v>
      </c>
      <c r="BS213" s="40">
        <v>2900.0</v>
      </c>
      <c r="BT213" s="40">
        <v>0.0</v>
      </c>
      <c r="BU213" s="40">
        <v>0.0</v>
      </c>
      <c r="BV213" s="40">
        <v>0.0</v>
      </c>
      <c r="BW213" s="40">
        <v>0.0</v>
      </c>
      <c r="BX213" s="40">
        <v>0.0</v>
      </c>
      <c r="BY213" s="40">
        <v>0.0</v>
      </c>
      <c r="BZ213" s="37">
        <v>0.0</v>
      </c>
      <c r="CA213" s="40">
        <v>0.0</v>
      </c>
      <c r="CB213" s="37">
        <v>0.0</v>
      </c>
      <c r="CC213" s="40">
        <v>0.0</v>
      </c>
      <c r="CD213" s="40">
        <v>0.0</v>
      </c>
      <c r="CE213" s="40">
        <v>2900.0</v>
      </c>
      <c r="CF213" s="40">
        <v>435.0</v>
      </c>
      <c r="CG213" s="40">
        <v>3335.0</v>
      </c>
      <c r="CH213" s="40">
        <v>10365.35</v>
      </c>
      <c r="CI213" s="40">
        <v>1352.0</v>
      </c>
      <c r="CJ213" s="40">
        <v>9013.35</v>
      </c>
      <c r="CK213" s="40">
        <v>7.91</v>
      </c>
      <c r="CL213" s="37">
        <v>17.0</v>
      </c>
      <c r="CM213" s="37">
        <v>0.0</v>
      </c>
      <c r="CN213" s="37">
        <v>0.0</v>
      </c>
      <c r="CO213" s="37">
        <v>100.0</v>
      </c>
      <c r="CP213" s="39"/>
      <c r="CQ213" s="37">
        <v>0.0</v>
      </c>
      <c r="CR213" s="37">
        <v>0.0</v>
      </c>
      <c r="CS213" s="37">
        <v>0.0</v>
      </c>
      <c r="CT213" s="37">
        <v>-1770.0</v>
      </c>
      <c r="CU213" s="39">
        <v>47391.0</v>
      </c>
      <c r="CV213" s="39">
        <v>47391.0</v>
      </c>
      <c r="CW213" s="37">
        <v>120693.0</v>
      </c>
      <c r="CX213" s="37" t="s">
        <v>122</v>
      </c>
      <c r="CY213" s="37" t="s">
        <v>123</v>
      </c>
      <c r="CZ213" s="40">
        <v>2491.36</v>
      </c>
      <c r="DA213" s="40">
        <v>2558.75</v>
      </c>
      <c r="DB213" s="40">
        <v>-3304.56</v>
      </c>
      <c r="DC213" s="40">
        <v>0.56</v>
      </c>
      <c r="DD213" s="40">
        <v>-609.28</v>
      </c>
      <c r="DE213" s="40">
        <v>-700.67</v>
      </c>
      <c r="DF213" s="37"/>
    </row>
    <row r="214" ht="13.5" customHeight="1">
      <c r="A214" s="37" t="s">
        <v>228</v>
      </c>
      <c r="B214" s="38">
        <v>44013.0</v>
      </c>
      <c r="C214" s="37" t="s">
        <v>124</v>
      </c>
      <c r="D214" s="37" t="s">
        <v>125</v>
      </c>
      <c r="E214" s="37" t="s">
        <v>126</v>
      </c>
      <c r="F214" s="37" t="s">
        <v>196</v>
      </c>
      <c r="G214" s="37" t="s">
        <v>140</v>
      </c>
      <c r="H214" s="37" t="s">
        <v>129</v>
      </c>
      <c r="I214" s="39">
        <v>44014.0</v>
      </c>
      <c r="J214" s="39">
        <v>44046.0</v>
      </c>
      <c r="K214" s="37">
        <f t="shared" si="1"/>
        <v>32</v>
      </c>
      <c r="L214" s="37">
        <v>1.0</v>
      </c>
      <c r="M214" s="37">
        <f t="shared" si="2"/>
        <v>31</v>
      </c>
      <c r="N214" s="39">
        <v>44059.0</v>
      </c>
      <c r="O214" s="39">
        <v>44069.0</v>
      </c>
      <c r="P214" s="37">
        <f t="shared" si="3"/>
        <v>10</v>
      </c>
      <c r="Q214" s="37">
        <v>90.0</v>
      </c>
      <c r="R214" s="37">
        <f t="shared" si="4"/>
        <v>-80</v>
      </c>
      <c r="S214" s="37" t="s">
        <v>635</v>
      </c>
      <c r="T214" s="37" t="s">
        <v>636</v>
      </c>
      <c r="U214" s="37" t="s">
        <v>117</v>
      </c>
      <c r="V214" s="37" t="s">
        <v>132</v>
      </c>
      <c r="W214" s="37" t="s">
        <v>133</v>
      </c>
      <c r="X214" s="37" t="s">
        <v>164</v>
      </c>
      <c r="Y214" s="37">
        <v>2024.0</v>
      </c>
      <c r="Z214" s="37" t="s">
        <v>135</v>
      </c>
      <c r="AA214" s="37">
        <v>2498.0</v>
      </c>
      <c r="AB214" s="37">
        <v>16.0</v>
      </c>
      <c r="AC214" s="37">
        <v>0.0</v>
      </c>
      <c r="AD214" s="40">
        <v>365565.22</v>
      </c>
      <c r="AE214" s="40">
        <v>68333.36</v>
      </c>
      <c r="AF214" s="41">
        <v>0.19</v>
      </c>
      <c r="AG214" s="40">
        <v>35187.69</v>
      </c>
      <c r="AH214" s="40">
        <v>2207.0</v>
      </c>
      <c r="AI214" s="37">
        <v>7.75</v>
      </c>
      <c r="AJ214" s="40">
        <v>164504.0</v>
      </c>
      <c r="AK214" s="37">
        <v>45.0</v>
      </c>
      <c r="AL214" s="39">
        <v>44069.0</v>
      </c>
      <c r="AM214" s="39">
        <v>45895.0</v>
      </c>
      <c r="AN214" s="37">
        <v>60.0</v>
      </c>
      <c r="AO214" s="37">
        <v>2300.0</v>
      </c>
      <c r="AP214" s="37">
        <v>138000.0</v>
      </c>
      <c r="AQ214" s="39">
        <v>46234.0</v>
      </c>
      <c r="AR214" s="37">
        <v>11752.0</v>
      </c>
      <c r="AS214" s="37">
        <v>13733.0</v>
      </c>
      <c r="AT214" s="37">
        <v>1981.0</v>
      </c>
      <c r="AU214" s="37">
        <v>13357.0</v>
      </c>
      <c r="AV214" s="37">
        <v>1484.0</v>
      </c>
      <c r="AW214" s="40">
        <v>5262.99</v>
      </c>
      <c r="AX214" s="40">
        <v>1426.0</v>
      </c>
      <c r="AY214" s="40">
        <v>125.0</v>
      </c>
      <c r="AZ214" s="40">
        <v>291.0</v>
      </c>
      <c r="BA214" s="40">
        <v>1083.24</v>
      </c>
      <c r="BB214" s="40">
        <v>8188.23</v>
      </c>
      <c r="BC214" s="40">
        <v>1228.23</v>
      </c>
      <c r="BD214" s="40">
        <v>9416.46</v>
      </c>
      <c r="BE214" s="39">
        <v>45748.0</v>
      </c>
      <c r="BF214" s="39">
        <v>45838.0</v>
      </c>
      <c r="BG214" s="37">
        <v>9381.0</v>
      </c>
      <c r="BH214" s="37">
        <v>13733.0</v>
      </c>
      <c r="BI214" s="37">
        <v>4352.0</v>
      </c>
      <c r="BJ214" s="37">
        <v>6900.0</v>
      </c>
      <c r="BK214" s="37">
        <v>-2548.0</v>
      </c>
      <c r="BL214" s="40">
        <v>0.71</v>
      </c>
      <c r="BM214" s="40">
        <v>1.46</v>
      </c>
      <c r="BN214" s="40">
        <v>0.0</v>
      </c>
      <c r="BO214" s="40">
        <v>0.0</v>
      </c>
      <c r="BP214" s="40">
        <v>0.0</v>
      </c>
      <c r="BQ214" s="40">
        <v>-236.96</v>
      </c>
      <c r="BR214" s="40">
        <v>0.0</v>
      </c>
      <c r="BS214" s="40">
        <v>0.0</v>
      </c>
      <c r="BT214" s="40">
        <v>0.0</v>
      </c>
      <c r="BU214" s="40">
        <v>0.0</v>
      </c>
      <c r="BV214" s="40">
        <v>0.0</v>
      </c>
      <c r="BW214" s="40">
        <v>0.0</v>
      </c>
      <c r="BX214" s="40">
        <v>0.0</v>
      </c>
      <c r="BY214" s="40">
        <v>2953.13</v>
      </c>
      <c r="BZ214" s="37">
        <v>0.0</v>
      </c>
      <c r="CA214" s="40">
        <v>0.0</v>
      </c>
      <c r="CB214" s="37">
        <v>0.0</v>
      </c>
      <c r="CC214" s="40">
        <v>0.0</v>
      </c>
      <c r="CD214" s="40">
        <v>0.0</v>
      </c>
      <c r="CE214" s="40">
        <v>0.0</v>
      </c>
      <c r="CF214" s="40">
        <v>0.0</v>
      </c>
      <c r="CG214" s="40">
        <v>0.0</v>
      </c>
      <c r="CH214" s="40">
        <v>7599.74</v>
      </c>
      <c r="CI214" s="40">
        <v>991.27</v>
      </c>
      <c r="CJ214" s="40">
        <v>6608.47</v>
      </c>
      <c r="CK214" s="40">
        <v>3.34</v>
      </c>
      <c r="CL214" s="37">
        <v>0.0</v>
      </c>
      <c r="CM214" s="37">
        <v>0.0</v>
      </c>
      <c r="CN214" s="37">
        <v>0.0</v>
      </c>
      <c r="CO214" s="37">
        <v>100.0</v>
      </c>
      <c r="CP214" s="39"/>
      <c r="CQ214" s="37">
        <v>0.0</v>
      </c>
      <c r="CR214" s="37">
        <v>0.0</v>
      </c>
      <c r="CS214" s="37">
        <v>0.0</v>
      </c>
      <c r="CT214" s="37">
        <v>-9384.0</v>
      </c>
      <c r="CU214" s="39">
        <v>47391.0</v>
      </c>
      <c r="CV214" s="39">
        <v>47391.0</v>
      </c>
      <c r="CW214" s="37">
        <v>138376.0</v>
      </c>
      <c r="CX214" s="37" t="s">
        <v>122</v>
      </c>
      <c r="CY214" s="37" t="s">
        <v>123</v>
      </c>
      <c r="CZ214" s="40">
        <v>0.0</v>
      </c>
      <c r="DA214" s="40">
        <v>0.0</v>
      </c>
      <c r="DB214" s="40">
        <v>-5873.26</v>
      </c>
      <c r="DC214" s="40">
        <v>0.62</v>
      </c>
      <c r="DD214" s="40">
        <v>-1579.76</v>
      </c>
      <c r="DE214" s="40">
        <v>-1816.72</v>
      </c>
      <c r="DF214" s="37"/>
    </row>
    <row r="215" ht="13.5" customHeight="1">
      <c r="A215" s="42" t="s">
        <v>108</v>
      </c>
      <c r="B215" s="43">
        <v>44044.0</v>
      </c>
      <c r="C215" s="42" t="s">
        <v>136</v>
      </c>
      <c r="D215" s="42" t="s">
        <v>137</v>
      </c>
      <c r="E215" s="42" t="s">
        <v>138</v>
      </c>
      <c r="F215" s="42" t="s">
        <v>172</v>
      </c>
      <c r="G215" s="42" t="s">
        <v>140</v>
      </c>
      <c r="H215" s="42" t="s">
        <v>141</v>
      </c>
      <c r="I215" s="44">
        <v>44046.0</v>
      </c>
      <c r="J215" s="44">
        <v>44047.0</v>
      </c>
      <c r="K215" s="42">
        <f t="shared" si="1"/>
        <v>1</v>
      </c>
      <c r="L215" s="42">
        <v>1.0</v>
      </c>
      <c r="M215" s="42">
        <f t="shared" si="2"/>
        <v>0</v>
      </c>
      <c r="N215" s="44">
        <v>44060.0</v>
      </c>
      <c r="O215" s="44">
        <v>44162.0</v>
      </c>
      <c r="P215" s="42">
        <f t="shared" si="3"/>
        <v>102</v>
      </c>
      <c r="Q215" s="42">
        <v>90.0</v>
      </c>
      <c r="R215" s="42">
        <f t="shared" si="4"/>
        <v>12</v>
      </c>
      <c r="S215" s="42" t="s">
        <v>637</v>
      </c>
      <c r="T215" s="42" t="s">
        <v>638</v>
      </c>
      <c r="U215" s="42" t="s">
        <v>117</v>
      </c>
      <c r="V215" s="42" t="s">
        <v>207</v>
      </c>
      <c r="W215" s="42" t="s">
        <v>199</v>
      </c>
      <c r="X215" s="42" t="s">
        <v>628</v>
      </c>
      <c r="Y215" s="42">
        <v>2024.0</v>
      </c>
      <c r="Z215" s="42" t="s">
        <v>135</v>
      </c>
      <c r="AA215" s="42">
        <v>2798.0</v>
      </c>
      <c r="AB215" s="42">
        <v>16.0</v>
      </c>
      <c r="AC215" s="42">
        <v>2.0</v>
      </c>
      <c r="AD215" s="45">
        <v>733479.0</v>
      </c>
      <c r="AE215" s="45">
        <v>86550.52</v>
      </c>
      <c r="AF215" s="46">
        <v>0.12</v>
      </c>
      <c r="AG215" s="45">
        <v>34108.22</v>
      </c>
      <c r="AH215" s="45">
        <v>3156.0</v>
      </c>
      <c r="AI215" s="42">
        <v>7.75</v>
      </c>
      <c r="AJ215" s="45">
        <v>293507.0</v>
      </c>
      <c r="AK215" s="42">
        <v>40.02</v>
      </c>
      <c r="AL215" s="44">
        <v>44162.0</v>
      </c>
      <c r="AM215" s="44">
        <v>45988.0</v>
      </c>
      <c r="AN215" s="42">
        <v>60.0</v>
      </c>
      <c r="AO215" s="42">
        <v>2200.0</v>
      </c>
      <c r="AP215" s="42">
        <v>132000.0</v>
      </c>
      <c r="AQ215" s="44">
        <v>45900.0</v>
      </c>
      <c r="AR215" s="42">
        <v>24429.0</v>
      </c>
      <c r="AS215" s="42">
        <v>25701.0</v>
      </c>
      <c r="AT215" s="42">
        <v>1272.0</v>
      </c>
      <c r="AU215" s="42">
        <v>24899.0</v>
      </c>
      <c r="AV215" s="42">
        <v>2767.0</v>
      </c>
      <c r="AW215" s="45">
        <v>10778.86</v>
      </c>
      <c r="AX215" s="45">
        <v>1562.0</v>
      </c>
      <c r="AY215" s="45">
        <v>125.0</v>
      </c>
      <c r="AZ215" s="45">
        <v>291.0</v>
      </c>
      <c r="BA215" s="45">
        <v>1522.99</v>
      </c>
      <c r="BB215" s="45">
        <v>14279.85</v>
      </c>
      <c r="BC215" s="45">
        <v>2141.98</v>
      </c>
      <c r="BD215" s="45">
        <v>16421.83</v>
      </c>
      <c r="BE215" s="44">
        <v>45748.0</v>
      </c>
      <c r="BF215" s="44">
        <v>45838.0</v>
      </c>
      <c r="BG215" s="42">
        <v>18163.0</v>
      </c>
      <c r="BH215" s="42">
        <v>25701.0</v>
      </c>
      <c r="BI215" s="42">
        <v>7538.0</v>
      </c>
      <c r="BJ215" s="42">
        <v>6600.0</v>
      </c>
      <c r="BK215" s="42">
        <v>938.0</v>
      </c>
      <c r="BL215" s="45">
        <v>0.82</v>
      </c>
      <c r="BM215" s="45">
        <v>3.33</v>
      </c>
      <c r="BN215" s="45">
        <v>769.16</v>
      </c>
      <c r="BO215" s="45">
        <v>3123.54</v>
      </c>
      <c r="BP215" s="45">
        <v>3892.7</v>
      </c>
      <c r="BQ215" s="45">
        <v>583.91</v>
      </c>
      <c r="BR215" s="45">
        <v>4476.61</v>
      </c>
      <c r="BS215" s="45">
        <v>0.0</v>
      </c>
      <c r="BT215" s="45">
        <v>0.0</v>
      </c>
      <c r="BU215" s="45">
        <v>0.0</v>
      </c>
      <c r="BV215" s="45">
        <v>0.0</v>
      </c>
      <c r="BW215" s="45">
        <v>0.0</v>
      </c>
      <c r="BX215" s="45">
        <v>0.0</v>
      </c>
      <c r="BY215" s="45">
        <v>5485.46</v>
      </c>
      <c r="BZ215" s="42">
        <v>0.0</v>
      </c>
      <c r="CA215" s="45">
        <v>0.0</v>
      </c>
      <c r="CB215" s="42">
        <v>0.0</v>
      </c>
      <c r="CC215" s="45">
        <v>0.0</v>
      </c>
      <c r="CD215" s="45">
        <v>0.0</v>
      </c>
      <c r="CE215" s="45">
        <v>0.0</v>
      </c>
      <c r="CF215" s="45">
        <v>0.0</v>
      </c>
      <c r="CG215" s="45">
        <v>0.0</v>
      </c>
      <c r="CH215" s="45">
        <v>20898.44</v>
      </c>
      <c r="CI215" s="45">
        <v>2725.89</v>
      </c>
      <c r="CJ215" s="45">
        <v>18172.55</v>
      </c>
      <c r="CK215" s="45">
        <v>14.29</v>
      </c>
      <c r="CL215" s="42">
        <v>0.0</v>
      </c>
      <c r="CM215" s="42">
        <v>0.0</v>
      </c>
      <c r="CN215" s="42">
        <v>0.0</v>
      </c>
      <c r="CO215" s="42">
        <v>100.0</v>
      </c>
      <c r="CP215" s="44"/>
      <c r="CQ215" s="42">
        <v>0.0</v>
      </c>
      <c r="CR215" s="42">
        <v>0.0</v>
      </c>
      <c r="CS215" s="42">
        <v>0.0</v>
      </c>
      <c r="CT215" s="42">
        <v>4015.0</v>
      </c>
      <c r="CU215" s="44">
        <v>47391.0</v>
      </c>
      <c r="CV215" s="44">
        <v>47391.0</v>
      </c>
      <c r="CW215" s="42">
        <v>132802.0</v>
      </c>
      <c r="CX215" s="42" t="s">
        <v>122</v>
      </c>
      <c r="CY215" s="42" t="s">
        <v>123</v>
      </c>
      <c r="CZ215" s="45">
        <v>5365.74</v>
      </c>
      <c r="DA215" s="45">
        <v>18664.65</v>
      </c>
      <c r="DB215" s="45">
        <v>-1898.54</v>
      </c>
      <c r="DC215" s="45">
        <v>0.71</v>
      </c>
      <c r="DD215" s="45">
        <v>0.0</v>
      </c>
      <c r="DE215" s="45">
        <v>0.0</v>
      </c>
      <c r="DF215" s="42"/>
    </row>
    <row r="216" ht="13.5" customHeight="1">
      <c r="A216" s="42" t="s">
        <v>108</v>
      </c>
      <c r="B216" s="43">
        <v>44044.0</v>
      </c>
      <c r="C216" s="42" t="s">
        <v>109</v>
      </c>
      <c r="D216" s="42" t="s">
        <v>110</v>
      </c>
      <c r="E216" s="42" t="s">
        <v>111</v>
      </c>
      <c r="F216" s="42" t="s">
        <v>179</v>
      </c>
      <c r="G216" s="42" t="s">
        <v>140</v>
      </c>
      <c r="H216" s="42" t="s">
        <v>114</v>
      </c>
      <c r="I216" s="44">
        <v>44047.0</v>
      </c>
      <c r="J216" s="44">
        <v>44048.0</v>
      </c>
      <c r="K216" s="42">
        <f t="shared" si="1"/>
        <v>1</v>
      </c>
      <c r="L216" s="42">
        <v>1.0</v>
      </c>
      <c r="M216" s="42">
        <f t="shared" si="2"/>
        <v>0</v>
      </c>
      <c r="N216" s="44">
        <v>44061.0</v>
      </c>
      <c r="O216" s="44">
        <v>44071.0</v>
      </c>
      <c r="P216" s="42">
        <f t="shared" si="3"/>
        <v>10</v>
      </c>
      <c r="Q216" s="42">
        <v>90.0</v>
      </c>
      <c r="R216" s="42">
        <f t="shared" si="4"/>
        <v>-80</v>
      </c>
      <c r="S216" s="42" t="s">
        <v>639</v>
      </c>
      <c r="T216" s="42" t="s">
        <v>640</v>
      </c>
      <c r="U216" s="42" t="s">
        <v>117</v>
      </c>
      <c r="V216" s="42" t="s">
        <v>207</v>
      </c>
      <c r="W216" s="42" t="s">
        <v>221</v>
      </c>
      <c r="X216" s="42" t="s">
        <v>222</v>
      </c>
      <c r="Y216" s="42">
        <v>2024.0</v>
      </c>
      <c r="Z216" s="42" t="s">
        <v>135</v>
      </c>
      <c r="AA216" s="42">
        <v>2198.0</v>
      </c>
      <c r="AB216" s="42">
        <v>16.0</v>
      </c>
      <c r="AC216" s="42">
        <v>8.0</v>
      </c>
      <c r="AD216" s="45">
        <v>791217.39</v>
      </c>
      <c r="AE216" s="45">
        <v>71209.56</v>
      </c>
      <c r="AF216" s="46">
        <v>0.09</v>
      </c>
      <c r="AG216" s="45">
        <v>9123.08</v>
      </c>
      <c r="AH216" s="45">
        <v>2322.0</v>
      </c>
      <c r="AI216" s="42">
        <v>7.75</v>
      </c>
      <c r="AJ216" s="45">
        <v>325190.0</v>
      </c>
      <c r="AK216" s="42">
        <v>41.1</v>
      </c>
      <c r="AL216" s="44">
        <v>44071.0</v>
      </c>
      <c r="AM216" s="44">
        <v>45897.0</v>
      </c>
      <c r="AN216" s="42">
        <v>15.0</v>
      </c>
      <c r="AO216" s="42">
        <v>15000.0</v>
      </c>
      <c r="AP216" s="42">
        <v>225000.0</v>
      </c>
      <c r="AQ216" s="44">
        <v>45900.0</v>
      </c>
      <c r="AR216" s="42">
        <v>42811.0</v>
      </c>
      <c r="AS216" s="42">
        <v>45480.0</v>
      </c>
      <c r="AT216" s="42">
        <v>2669.0</v>
      </c>
      <c r="AU216" s="42">
        <v>45019.0</v>
      </c>
      <c r="AV216" s="42">
        <v>5002.0</v>
      </c>
      <c r="AW216" s="45">
        <v>31724.29</v>
      </c>
      <c r="AX216" s="45">
        <v>9450.0</v>
      </c>
      <c r="AY216" s="45">
        <v>125.0</v>
      </c>
      <c r="AZ216" s="45">
        <v>290.99</v>
      </c>
      <c r="BA216" s="45">
        <v>1584.82</v>
      </c>
      <c r="BB216" s="45">
        <v>43175.1</v>
      </c>
      <c r="BC216" s="45">
        <v>6476.27</v>
      </c>
      <c r="BD216" s="45">
        <v>49651.37</v>
      </c>
      <c r="BE216" s="44">
        <v>45748.0</v>
      </c>
      <c r="BF216" s="44">
        <v>45838.0</v>
      </c>
      <c r="BG216" s="42">
        <v>27100.0</v>
      </c>
      <c r="BH216" s="42">
        <v>45480.0</v>
      </c>
      <c r="BI216" s="42">
        <v>18380.0</v>
      </c>
      <c r="BJ216" s="42">
        <v>45000.0</v>
      </c>
      <c r="BK216" s="42">
        <v>-26620.0</v>
      </c>
      <c r="BL216" s="45">
        <v>0.72</v>
      </c>
      <c r="BM216" s="45">
        <v>2.07</v>
      </c>
      <c r="BN216" s="45">
        <v>0.0</v>
      </c>
      <c r="BO216" s="45">
        <v>0.0</v>
      </c>
      <c r="BP216" s="45">
        <v>0.0</v>
      </c>
      <c r="BQ216" s="45">
        <v>-2515.59</v>
      </c>
      <c r="BR216" s="45">
        <v>0.0</v>
      </c>
      <c r="BS216" s="45">
        <v>0.0</v>
      </c>
      <c r="BT216" s="45">
        <v>0.0</v>
      </c>
      <c r="BU216" s="45">
        <v>0.0</v>
      </c>
      <c r="BV216" s="45">
        <v>0.0</v>
      </c>
      <c r="BW216" s="45">
        <v>0.0</v>
      </c>
      <c r="BX216" s="45">
        <v>0.0</v>
      </c>
      <c r="BY216" s="45">
        <v>4808.09</v>
      </c>
      <c r="BZ216" s="42">
        <v>0.0</v>
      </c>
      <c r="CA216" s="45">
        <v>0.0</v>
      </c>
      <c r="CB216" s="42">
        <v>0.0</v>
      </c>
      <c r="CC216" s="45">
        <v>0.0</v>
      </c>
      <c r="CD216" s="45">
        <v>0.0</v>
      </c>
      <c r="CE216" s="45">
        <v>0.0</v>
      </c>
      <c r="CF216" s="45">
        <v>0.0</v>
      </c>
      <c r="CG216" s="45">
        <v>0.0</v>
      </c>
      <c r="CH216" s="45">
        <v>30365.18</v>
      </c>
      <c r="CI216" s="45">
        <v>3960.68</v>
      </c>
      <c r="CJ216" s="45">
        <v>26404.5</v>
      </c>
      <c r="CK216" s="45">
        <v>9.89</v>
      </c>
      <c r="CL216" s="42">
        <v>0.0</v>
      </c>
      <c r="CM216" s="42">
        <v>0.0</v>
      </c>
      <c r="CN216" s="42">
        <v>0.0</v>
      </c>
      <c r="CO216" s="42">
        <v>100.0</v>
      </c>
      <c r="CP216" s="44"/>
      <c r="CQ216" s="42">
        <v>0.0</v>
      </c>
      <c r="CR216" s="42">
        <v>0.0</v>
      </c>
      <c r="CS216" s="42">
        <v>0.0</v>
      </c>
      <c r="CT216" s="42">
        <v>-98857.0</v>
      </c>
      <c r="CU216" s="44">
        <v>46022.0</v>
      </c>
      <c r="CV216" s="44">
        <v>46022.0</v>
      </c>
      <c r="CW216" s="42">
        <v>225461.0</v>
      </c>
      <c r="CX216" s="42" t="s">
        <v>122</v>
      </c>
      <c r="CY216" s="42" t="s">
        <v>123</v>
      </c>
      <c r="CZ216" s="45">
        <v>0.0</v>
      </c>
      <c r="DA216" s="45">
        <v>0.0</v>
      </c>
      <c r="DB216" s="45">
        <v>-62279.91</v>
      </c>
      <c r="DC216" s="45">
        <v>0.63</v>
      </c>
      <c r="DD216" s="45">
        <v>-16770.6</v>
      </c>
      <c r="DE216" s="45">
        <v>-19286.19</v>
      </c>
      <c r="DF216" s="42"/>
    </row>
    <row r="217" ht="13.5" customHeight="1">
      <c r="A217" s="42" t="s">
        <v>108</v>
      </c>
      <c r="B217" s="43">
        <v>44044.0</v>
      </c>
      <c r="C217" s="42" t="s">
        <v>124</v>
      </c>
      <c r="D217" s="42" t="s">
        <v>125</v>
      </c>
      <c r="E217" s="42" t="s">
        <v>126</v>
      </c>
      <c r="F217" s="42" t="s">
        <v>179</v>
      </c>
      <c r="G217" s="42" t="s">
        <v>140</v>
      </c>
      <c r="H217" s="42" t="s">
        <v>129</v>
      </c>
      <c r="I217" s="44">
        <v>44048.0</v>
      </c>
      <c r="J217" s="44">
        <v>44049.0</v>
      </c>
      <c r="K217" s="42">
        <f t="shared" si="1"/>
        <v>1</v>
      </c>
      <c r="L217" s="42">
        <v>1.0</v>
      </c>
      <c r="M217" s="42">
        <f t="shared" si="2"/>
        <v>0</v>
      </c>
      <c r="N217" s="44">
        <v>44061.0</v>
      </c>
      <c r="O217" s="44">
        <v>44072.0</v>
      </c>
      <c r="P217" s="42">
        <f t="shared" si="3"/>
        <v>11</v>
      </c>
      <c r="Q217" s="42">
        <v>90.0</v>
      </c>
      <c r="R217" s="42">
        <f t="shared" si="4"/>
        <v>-79</v>
      </c>
      <c r="S217" s="42" t="s">
        <v>641</v>
      </c>
      <c r="T217" s="42" t="s">
        <v>642</v>
      </c>
      <c r="U217" s="42" t="s">
        <v>117</v>
      </c>
      <c r="V217" s="42" t="s">
        <v>207</v>
      </c>
      <c r="W217" s="42" t="s">
        <v>221</v>
      </c>
      <c r="X217" s="42" t="s">
        <v>222</v>
      </c>
      <c r="Y217" s="42">
        <v>2024.0</v>
      </c>
      <c r="Z217" s="42" t="s">
        <v>135</v>
      </c>
      <c r="AA217" s="42">
        <v>2198.0</v>
      </c>
      <c r="AB217" s="42">
        <v>16.0</v>
      </c>
      <c r="AC217" s="42">
        <v>8.0</v>
      </c>
      <c r="AD217" s="45">
        <v>791217.39</v>
      </c>
      <c r="AE217" s="45">
        <v>71209.56</v>
      </c>
      <c r="AF217" s="46">
        <v>0.09</v>
      </c>
      <c r="AG217" s="45">
        <v>9045.94</v>
      </c>
      <c r="AH217" s="45">
        <v>2322.0</v>
      </c>
      <c r="AI217" s="42">
        <v>7.75</v>
      </c>
      <c r="AJ217" s="45">
        <v>325190.0</v>
      </c>
      <c r="AK217" s="42">
        <v>41.1</v>
      </c>
      <c r="AL217" s="44">
        <v>44072.0</v>
      </c>
      <c r="AM217" s="44">
        <v>45898.0</v>
      </c>
      <c r="AN217" s="42">
        <v>15.0</v>
      </c>
      <c r="AO217" s="42">
        <v>15000.0</v>
      </c>
      <c r="AP217" s="42">
        <v>225000.0</v>
      </c>
      <c r="AQ217" s="44">
        <v>45900.0</v>
      </c>
      <c r="AR217" s="42">
        <v>68295.0</v>
      </c>
      <c r="AS217" s="42">
        <v>74876.0</v>
      </c>
      <c r="AT217" s="42">
        <v>6581.0</v>
      </c>
      <c r="AU217" s="42">
        <v>74420.0</v>
      </c>
      <c r="AV217" s="42">
        <v>8269.0</v>
      </c>
      <c r="AW217" s="45">
        <v>31718.87</v>
      </c>
      <c r="AX217" s="45">
        <v>9450.0</v>
      </c>
      <c r="AY217" s="45">
        <v>125.0</v>
      </c>
      <c r="AZ217" s="45">
        <v>290.99</v>
      </c>
      <c r="BA217" s="45">
        <v>1584.82</v>
      </c>
      <c r="BB217" s="45">
        <v>43169.68</v>
      </c>
      <c r="BC217" s="45">
        <v>6475.45</v>
      </c>
      <c r="BD217" s="45">
        <v>49645.13</v>
      </c>
      <c r="BE217" s="44">
        <v>45748.0</v>
      </c>
      <c r="BF217" s="44">
        <v>45838.0</v>
      </c>
      <c r="BG217" s="42">
        <v>49410.0</v>
      </c>
      <c r="BH217" s="42">
        <v>74876.0</v>
      </c>
      <c r="BI217" s="42">
        <v>25466.0</v>
      </c>
      <c r="BJ217" s="42">
        <v>45000.0</v>
      </c>
      <c r="BK217" s="42">
        <v>-19534.0</v>
      </c>
      <c r="BL217" s="45">
        <v>0.72</v>
      </c>
      <c r="BM217" s="45">
        <v>2.07</v>
      </c>
      <c r="BN217" s="45">
        <v>0.0</v>
      </c>
      <c r="BO217" s="45">
        <v>0.0</v>
      </c>
      <c r="BP217" s="45">
        <v>0.0</v>
      </c>
      <c r="BQ217" s="45">
        <v>-1845.96</v>
      </c>
      <c r="BR217" s="45">
        <v>0.0</v>
      </c>
      <c r="BS217" s="45">
        <v>0.0</v>
      </c>
      <c r="BT217" s="45">
        <v>0.0</v>
      </c>
      <c r="BU217" s="45">
        <v>80.0</v>
      </c>
      <c r="BV217" s="45">
        <v>0.0</v>
      </c>
      <c r="BW217" s="45">
        <v>0.0</v>
      </c>
      <c r="BX217" s="45">
        <v>0.0</v>
      </c>
      <c r="BY217" s="45">
        <v>21503.75</v>
      </c>
      <c r="BZ217" s="42">
        <v>0.0</v>
      </c>
      <c r="CA217" s="45">
        <v>0.0</v>
      </c>
      <c r="CB217" s="42">
        <v>0.0</v>
      </c>
      <c r="CC217" s="45">
        <v>0.0</v>
      </c>
      <c r="CD217" s="45">
        <v>0.0</v>
      </c>
      <c r="CE217" s="45">
        <v>80.0</v>
      </c>
      <c r="CF217" s="45">
        <v>12.0</v>
      </c>
      <c r="CG217" s="45">
        <v>92.0</v>
      </c>
      <c r="CH217" s="45">
        <v>35584.75</v>
      </c>
      <c r="CI217" s="45">
        <v>4641.49</v>
      </c>
      <c r="CJ217" s="45">
        <v>30943.26</v>
      </c>
      <c r="CK217" s="45">
        <v>4.7</v>
      </c>
      <c r="CL217" s="42">
        <v>0.0</v>
      </c>
      <c r="CM217" s="42">
        <v>0.0</v>
      </c>
      <c r="CN217" s="42">
        <v>0.0</v>
      </c>
      <c r="CO217" s="42">
        <v>100.0</v>
      </c>
      <c r="CP217" s="44"/>
      <c r="CQ217" s="42">
        <v>0.0</v>
      </c>
      <c r="CR217" s="42">
        <v>0.0</v>
      </c>
      <c r="CS217" s="42">
        <v>0.0</v>
      </c>
      <c r="CT217" s="42">
        <v>-69456.0</v>
      </c>
      <c r="CU217" s="44">
        <v>46022.0</v>
      </c>
      <c r="CV217" s="44">
        <v>46022.0</v>
      </c>
      <c r="CW217" s="42">
        <v>225456.0</v>
      </c>
      <c r="CX217" s="42" t="s">
        <v>122</v>
      </c>
      <c r="CY217" s="42" t="s">
        <v>123</v>
      </c>
      <c r="CZ217" s="45">
        <v>0.0</v>
      </c>
      <c r="DA217" s="45">
        <v>0.0</v>
      </c>
      <c r="DB217" s="45">
        <v>-42378.21</v>
      </c>
      <c r="DC217" s="45">
        <v>0.63</v>
      </c>
      <c r="DD217" s="45">
        <v>-12306.42</v>
      </c>
      <c r="DE217" s="45">
        <v>-14152.38</v>
      </c>
      <c r="DF217" s="42"/>
    </row>
    <row r="218" ht="13.5" customHeight="1">
      <c r="A218" s="42" t="s">
        <v>144</v>
      </c>
      <c r="B218" s="43">
        <v>44044.0</v>
      </c>
      <c r="C218" s="42" t="s">
        <v>136</v>
      </c>
      <c r="D218" s="42" t="s">
        <v>137</v>
      </c>
      <c r="E218" s="42" t="s">
        <v>138</v>
      </c>
      <c r="F218" s="42" t="s">
        <v>179</v>
      </c>
      <c r="G218" s="42" t="s">
        <v>140</v>
      </c>
      <c r="H218" s="42" t="s">
        <v>141</v>
      </c>
      <c r="I218" s="44">
        <v>44049.0</v>
      </c>
      <c r="J218" s="44">
        <v>44050.0</v>
      </c>
      <c r="K218" s="42">
        <f t="shared" si="1"/>
        <v>1</v>
      </c>
      <c r="L218" s="42">
        <v>1.0</v>
      </c>
      <c r="M218" s="42">
        <f t="shared" si="2"/>
        <v>0</v>
      </c>
      <c r="N218" s="44">
        <v>44063.0</v>
      </c>
      <c r="O218" s="44">
        <v>44073.0</v>
      </c>
      <c r="P218" s="42">
        <f t="shared" si="3"/>
        <v>10</v>
      </c>
      <c r="Q218" s="42">
        <v>90.0</v>
      </c>
      <c r="R218" s="42">
        <f t="shared" si="4"/>
        <v>-80</v>
      </c>
      <c r="S218" s="42" t="s">
        <v>643</v>
      </c>
      <c r="T218" s="42" t="s">
        <v>644</v>
      </c>
      <c r="U218" s="42" t="s">
        <v>117</v>
      </c>
      <c r="V218" s="42" t="s">
        <v>207</v>
      </c>
      <c r="W218" s="42" t="s">
        <v>221</v>
      </c>
      <c r="X218" s="42" t="s">
        <v>222</v>
      </c>
      <c r="Y218" s="42">
        <v>2024.0</v>
      </c>
      <c r="Z218" s="42" t="s">
        <v>135</v>
      </c>
      <c r="AA218" s="42">
        <v>2198.0</v>
      </c>
      <c r="AB218" s="42">
        <v>16.0</v>
      </c>
      <c r="AC218" s="42">
        <v>15.0</v>
      </c>
      <c r="AD218" s="45">
        <v>791217.39</v>
      </c>
      <c r="AE218" s="45">
        <v>71209.56</v>
      </c>
      <c r="AF218" s="46">
        <v>0.09</v>
      </c>
      <c r="AG218" s="45">
        <v>9128.53</v>
      </c>
      <c r="AH218" s="45">
        <v>2322.0</v>
      </c>
      <c r="AI218" s="42">
        <v>7.75</v>
      </c>
      <c r="AJ218" s="45">
        <v>325190.0</v>
      </c>
      <c r="AK218" s="42">
        <v>41.1</v>
      </c>
      <c r="AL218" s="44">
        <v>44073.0</v>
      </c>
      <c r="AM218" s="44">
        <v>45899.0</v>
      </c>
      <c r="AN218" s="42">
        <v>15.0</v>
      </c>
      <c r="AO218" s="42">
        <v>15000.0</v>
      </c>
      <c r="AP218" s="42">
        <v>225000.0</v>
      </c>
      <c r="AQ218" s="44">
        <v>45900.0</v>
      </c>
      <c r="AR218" s="42">
        <v>79160.0</v>
      </c>
      <c r="AS218" s="42">
        <v>89619.0</v>
      </c>
      <c r="AT218" s="42">
        <v>10459.0</v>
      </c>
      <c r="AU218" s="42">
        <v>89170.0</v>
      </c>
      <c r="AV218" s="42">
        <v>9908.0</v>
      </c>
      <c r="AW218" s="45">
        <v>31724.67</v>
      </c>
      <c r="AX218" s="45">
        <v>9450.0</v>
      </c>
      <c r="AY218" s="45">
        <v>125.0</v>
      </c>
      <c r="AZ218" s="45">
        <v>290.99</v>
      </c>
      <c r="BA218" s="45">
        <v>1584.82</v>
      </c>
      <c r="BB218" s="45">
        <v>43175.48</v>
      </c>
      <c r="BC218" s="45">
        <v>6476.32</v>
      </c>
      <c r="BD218" s="45">
        <v>49651.8</v>
      </c>
      <c r="BE218" s="44">
        <v>45748.0</v>
      </c>
      <c r="BF218" s="44">
        <v>45838.0</v>
      </c>
      <c r="BG218" s="42">
        <v>61500.0</v>
      </c>
      <c r="BH218" s="42">
        <v>89619.0</v>
      </c>
      <c r="BI218" s="42">
        <v>28119.0</v>
      </c>
      <c r="BJ218" s="42">
        <v>45000.0</v>
      </c>
      <c r="BK218" s="42">
        <v>-16881.0</v>
      </c>
      <c r="BL218" s="45">
        <v>0.72</v>
      </c>
      <c r="BM218" s="45">
        <v>2.07</v>
      </c>
      <c r="BN218" s="45">
        <v>0.0</v>
      </c>
      <c r="BO218" s="45">
        <v>0.0</v>
      </c>
      <c r="BP218" s="45">
        <v>0.0</v>
      </c>
      <c r="BQ218" s="45">
        <v>-1595.25</v>
      </c>
      <c r="BR218" s="45">
        <v>0.0</v>
      </c>
      <c r="BS218" s="45">
        <v>0.0</v>
      </c>
      <c r="BT218" s="45">
        <v>0.0</v>
      </c>
      <c r="BU218" s="45">
        <v>0.0</v>
      </c>
      <c r="BV218" s="45">
        <v>0.0</v>
      </c>
      <c r="BW218" s="45">
        <v>0.0</v>
      </c>
      <c r="BX218" s="45">
        <v>0.0</v>
      </c>
      <c r="BY218" s="45">
        <v>25017.58</v>
      </c>
      <c r="BZ218" s="42">
        <v>0.0</v>
      </c>
      <c r="CA218" s="45">
        <v>0.0</v>
      </c>
      <c r="CB218" s="42">
        <v>0.0</v>
      </c>
      <c r="CC218" s="45">
        <v>0.0</v>
      </c>
      <c r="CD218" s="45">
        <v>0.0</v>
      </c>
      <c r="CE218" s="45">
        <v>0.0</v>
      </c>
      <c r="CF218" s="45">
        <v>0.0</v>
      </c>
      <c r="CG218" s="45">
        <v>0.0</v>
      </c>
      <c r="CH218" s="45">
        <v>37421.52</v>
      </c>
      <c r="CI218" s="45">
        <v>4881.07</v>
      </c>
      <c r="CJ218" s="45">
        <v>32540.45</v>
      </c>
      <c r="CK218" s="45">
        <v>3.11</v>
      </c>
      <c r="CL218" s="42">
        <v>0.0</v>
      </c>
      <c r="CM218" s="42">
        <v>0.0</v>
      </c>
      <c r="CN218" s="42">
        <v>0.0</v>
      </c>
      <c r="CO218" s="42">
        <v>100.0</v>
      </c>
      <c r="CP218" s="44"/>
      <c r="CQ218" s="42">
        <v>0.0</v>
      </c>
      <c r="CR218" s="42">
        <v>0.0</v>
      </c>
      <c r="CS218" s="42">
        <v>0.0</v>
      </c>
      <c r="CT218" s="42">
        <v>-54706.0</v>
      </c>
      <c r="CU218" s="44">
        <v>46022.0</v>
      </c>
      <c r="CV218" s="44">
        <v>46022.0</v>
      </c>
      <c r="CW218" s="42">
        <v>225449.0</v>
      </c>
      <c r="CX218" s="42" t="s">
        <v>122</v>
      </c>
      <c r="CY218" s="42" t="s">
        <v>123</v>
      </c>
      <c r="CZ218" s="45">
        <v>0.0</v>
      </c>
      <c r="DA218" s="45">
        <v>0.0</v>
      </c>
      <c r="DB218" s="45">
        <v>-33518.52</v>
      </c>
      <c r="DC218" s="45">
        <v>0.63</v>
      </c>
      <c r="DD218" s="45">
        <v>-10635.03</v>
      </c>
      <c r="DE218" s="45">
        <v>-12230.28</v>
      </c>
      <c r="DF218" s="42"/>
    </row>
    <row r="219" ht="13.5" customHeight="1">
      <c r="A219" s="42" t="s">
        <v>144</v>
      </c>
      <c r="B219" s="43">
        <v>44044.0</v>
      </c>
      <c r="C219" s="42" t="s">
        <v>109</v>
      </c>
      <c r="D219" s="42" t="s">
        <v>110</v>
      </c>
      <c r="E219" s="42" t="s">
        <v>111</v>
      </c>
      <c r="F219" s="42" t="s">
        <v>179</v>
      </c>
      <c r="G219" s="42" t="s">
        <v>140</v>
      </c>
      <c r="H219" s="42" t="s">
        <v>114</v>
      </c>
      <c r="I219" s="44">
        <v>44050.0</v>
      </c>
      <c r="J219" s="44">
        <v>44061.0</v>
      </c>
      <c r="K219" s="42">
        <f t="shared" si="1"/>
        <v>11</v>
      </c>
      <c r="L219" s="42">
        <v>1.0</v>
      </c>
      <c r="M219" s="42">
        <f t="shared" si="2"/>
        <v>10</v>
      </c>
      <c r="N219" s="44">
        <v>44064.0</v>
      </c>
      <c r="O219" s="44">
        <v>44074.0</v>
      </c>
      <c r="P219" s="42">
        <f t="shared" si="3"/>
        <v>10</v>
      </c>
      <c r="Q219" s="42">
        <v>90.0</v>
      </c>
      <c r="R219" s="42">
        <f t="shared" si="4"/>
        <v>-80</v>
      </c>
      <c r="S219" s="42" t="s">
        <v>645</v>
      </c>
      <c r="T219" s="42" t="s">
        <v>646</v>
      </c>
      <c r="U219" s="42" t="s">
        <v>117</v>
      </c>
      <c r="V219" s="42" t="s">
        <v>207</v>
      </c>
      <c r="W219" s="42" t="s">
        <v>221</v>
      </c>
      <c r="X219" s="42" t="s">
        <v>222</v>
      </c>
      <c r="Y219" s="42">
        <v>2024.0</v>
      </c>
      <c r="Z219" s="42" t="s">
        <v>135</v>
      </c>
      <c r="AA219" s="42">
        <v>2198.0</v>
      </c>
      <c r="AB219" s="42">
        <v>16.0</v>
      </c>
      <c r="AC219" s="42">
        <v>13.0</v>
      </c>
      <c r="AD219" s="45">
        <v>791217.39</v>
      </c>
      <c r="AE219" s="45">
        <v>71209.56</v>
      </c>
      <c r="AF219" s="46">
        <v>0.09</v>
      </c>
      <c r="AG219" s="45">
        <v>9547.64</v>
      </c>
      <c r="AH219" s="45">
        <v>2322.0</v>
      </c>
      <c r="AI219" s="42">
        <v>7.75</v>
      </c>
      <c r="AJ219" s="45">
        <v>325190.0</v>
      </c>
      <c r="AK219" s="42">
        <v>41.1</v>
      </c>
      <c r="AL219" s="44">
        <v>44074.0</v>
      </c>
      <c r="AM219" s="44">
        <v>45900.0</v>
      </c>
      <c r="AN219" s="42">
        <v>15.0</v>
      </c>
      <c r="AO219" s="42">
        <v>15000.0</v>
      </c>
      <c r="AP219" s="42">
        <v>225000.0</v>
      </c>
      <c r="AQ219" s="44">
        <v>45900.0</v>
      </c>
      <c r="AR219" s="42">
        <v>112021.0</v>
      </c>
      <c r="AS219" s="42">
        <v>122579.0</v>
      </c>
      <c r="AT219" s="42">
        <v>10558.0</v>
      </c>
      <c r="AU219" s="42">
        <v>122124.0</v>
      </c>
      <c r="AV219" s="42">
        <v>13569.0</v>
      </c>
      <c r="AW219" s="45">
        <v>31754.11</v>
      </c>
      <c r="AX219" s="45">
        <v>9450.0</v>
      </c>
      <c r="AY219" s="45">
        <v>125.0</v>
      </c>
      <c r="AZ219" s="45">
        <v>290.99</v>
      </c>
      <c r="BA219" s="45">
        <v>1584.82</v>
      </c>
      <c r="BB219" s="45">
        <v>43204.92</v>
      </c>
      <c r="BC219" s="45">
        <v>6480.74</v>
      </c>
      <c r="BD219" s="45">
        <v>49685.66</v>
      </c>
      <c r="BE219" s="44">
        <v>45748.0</v>
      </c>
      <c r="BF219" s="44">
        <v>45838.0</v>
      </c>
      <c r="BG219" s="42">
        <v>87412.0</v>
      </c>
      <c r="BH219" s="42">
        <v>122579.0</v>
      </c>
      <c r="BI219" s="42">
        <v>35167.0</v>
      </c>
      <c r="BJ219" s="42">
        <v>45000.0</v>
      </c>
      <c r="BK219" s="42">
        <v>-9833.0</v>
      </c>
      <c r="BL219" s="45">
        <v>0.72</v>
      </c>
      <c r="BM219" s="45">
        <v>2.07</v>
      </c>
      <c r="BN219" s="45">
        <v>0.0</v>
      </c>
      <c r="BO219" s="45">
        <v>0.0</v>
      </c>
      <c r="BP219" s="45">
        <v>0.0</v>
      </c>
      <c r="BQ219" s="45">
        <v>-929.22</v>
      </c>
      <c r="BR219" s="45">
        <v>0.0</v>
      </c>
      <c r="BS219" s="45">
        <v>0.0</v>
      </c>
      <c r="BT219" s="45">
        <v>0.0</v>
      </c>
      <c r="BU219" s="45">
        <v>0.0</v>
      </c>
      <c r="BV219" s="45">
        <v>0.0</v>
      </c>
      <c r="BW219" s="45">
        <v>0.0</v>
      </c>
      <c r="BX219" s="45">
        <v>0.0</v>
      </c>
      <c r="BY219" s="45">
        <v>22745.59</v>
      </c>
      <c r="BZ219" s="42">
        <v>0.0</v>
      </c>
      <c r="CA219" s="45">
        <v>0.0</v>
      </c>
      <c r="CB219" s="42">
        <v>0.0</v>
      </c>
      <c r="CC219" s="45">
        <v>0.0</v>
      </c>
      <c r="CD219" s="45">
        <v>0.0</v>
      </c>
      <c r="CE219" s="45">
        <v>0.0</v>
      </c>
      <c r="CF219" s="45">
        <v>0.0</v>
      </c>
      <c r="CG219" s="45">
        <v>0.0</v>
      </c>
      <c r="CH219" s="45">
        <v>42561.65</v>
      </c>
      <c r="CI219" s="45">
        <v>5551.52</v>
      </c>
      <c r="CJ219" s="45">
        <v>37010.13</v>
      </c>
      <c r="CK219" s="45">
        <v>3.51</v>
      </c>
      <c r="CL219" s="42">
        <v>0.0</v>
      </c>
      <c r="CM219" s="42">
        <v>0.0</v>
      </c>
      <c r="CN219" s="42">
        <v>0.0</v>
      </c>
      <c r="CO219" s="42">
        <v>100.0</v>
      </c>
      <c r="CP219" s="44"/>
      <c r="CQ219" s="42">
        <v>0.0</v>
      </c>
      <c r="CR219" s="42">
        <v>0.0</v>
      </c>
      <c r="CS219" s="42">
        <v>0.0</v>
      </c>
      <c r="CT219" s="42">
        <v>-21752.0</v>
      </c>
      <c r="CU219" s="44">
        <v>46022.0</v>
      </c>
      <c r="CV219" s="44">
        <v>46022.0</v>
      </c>
      <c r="CW219" s="42">
        <v>225455.0</v>
      </c>
      <c r="CX219" s="42" t="s">
        <v>122</v>
      </c>
      <c r="CY219" s="42" t="s">
        <v>123</v>
      </c>
      <c r="CZ219" s="45">
        <v>0.0</v>
      </c>
      <c r="DA219" s="45">
        <v>0.0</v>
      </c>
      <c r="DB219" s="45">
        <v>-14294.07</v>
      </c>
      <c r="DC219" s="45">
        <v>0.63</v>
      </c>
      <c r="DD219" s="45">
        <v>-6194.79</v>
      </c>
      <c r="DE219" s="45">
        <v>-7124.01</v>
      </c>
      <c r="DF219" s="42"/>
    </row>
    <row r="220" ht="13.5" customHeight="1">
      <c r="A220" s="42" t="s">
        <v>144</v>
      </c>
      <c r="B220" s="43">
        <v>44044.0</v>
      </c>
      <c r="C220" s="42" t="s">
        <v>124</v>
      </c>
      <c r="D220" s="42" t="s">
        <v>125</v>
      </c>
      <c r="E220" s="42" t="s">
        <v>126</v>
      </c>
      <c r="F220" s="42" t="s">
        <v>179</v>
      </c>
      <c r="G220" s="42" t="s">
        <v>140</v>
      </c>
      <c r="H220" s="42" t="s">
        <v>129</v>
      </c>
      <c r="I220" s="44">
        <v>44051.0</v>
      </c>
      <c r="J220" s="44">
        <v>44052.0</v>
      </c>
      <c r="K220" s="42">
        <f t="shared" si="1"/>
        <v>1</v>
      </c>
      <c r="L220" s="42">
        <v>1.0</v>
      </c>
      <c r="M220" s="42">
        <f t="shared" si="2"/>
        <v>0</v>
      </c>
      <c r="N220" s="44">
        <v>44065.0</v>
      </c>
      <c r="O220" s="44">
        <v>44166.0</v>
      </c>
      <c r="P220" s="42">
        <f t="shared" si="3"/>
        <v>101</v>
      </c>
      <c r="Q220" s="42">
        <v>90.0</v>
      </c>
      <c r="R220" s="42">
        <f t="shared" si="4"/>
        <v>11</v>
      </c>
      <c r="S220" s="42" t="s">
        <v>647</v>
      </c>
      <c r="T220" s="42" t="s">
        <v>648</v>
      </c>
      <c r="U220" s="42" t="s">
        <v>117</v>
      </c>
      <c r="V220" s="42" t="s">
        <v>207</v>
      </c>
      <c r="W220" s="42" t="s">
        <v>221</v>
      </c>
      <c r="X220" s="42" t="s">
        <v>222</v>
      </c>
      <c r="Y220" s="42">
        <v>2024.0</v>
      </c>
      <c r="Z220" s="42" t="s">
        <v>135</v>
      </c>
      <c r="AA220" s="42">
        <v>2198.0</v>
      </c>
      <c r="AB220" s="42">
        <v>16.0</v>
      </c>
      <c r="AC220" s="42">
        <v>16.0</v>
      </c>
      <c r="AD220" s="45">
        <v>791217.39</v>
      </c>
      <c r="AE220" s="45">
        <v>71209.56</v>
      </c>
      <c r="AF220" s="46">
        <v>0.09</v>
      </c>
      <c r="AG220" s="45">
        <v>9095.58</v>
      </c>
      <c r="AH220" s="45">
        <v>2322.0</v>
      </c>
      <c r="AI220" s="42">
        <v>7.75</v>
      </c>
      <c r="AJ220" s="45">
        <v>325190.0</v>
      </c>
      <c r="AK220" s="42">
        <v>41.1</v>
      </c>
      <c r="AL220" s="44">
        <v>44166.0</v>
      </c>
      <c r="AM220" s="44">
        <v>45992.0</v>
      </c>
      <c r="AN220" s="42">
        <v>15.0</v>
      </c>
      <c r="AO220" s="42">
        <v>15000.0</v>
      </c>
      <c r="AP220" s="42">
        <v>225000.0</v>
      </c>
      <c r="AQ220" s="44">
        <v>45900.0</v>
      </c>
      <c r="AR220" s="42">
        <v>94987.0</v>
      </c>
      <c r="AS220" s="42">
        <v>104715.0</v>
      </c>
      <c r="AT220" s="42">
        <v>9728.0</v>
      </c>
      <c r="AU220" s="42">
        <v>104261.0</v>
      </c>
      <c r="AV220" s="42">
        <v>11585.0</v>
      </c>
      <c r="AW220" s="45">
        <v>31722.36</v>
      </c>
      <c r="AX220" s="45">
        <v>9450.0</v>
      </c>
      <c r="AY220" s="45">
        <v>125.0</v>
      </c>
      <c r="AZ220" s="45">
        <v>290.99</v>
      </c>
      <c r="BA220" s="45">
        <v>1584.82</v>
      </c>
      <c r="BB220" s="45">
        <v>43173.17</v>
      </c>
      <c r="BC220" s="45">
        <v>6475.98</v>
      </c>
      <c r="BD220" s="45">
        <v>49649.15</v>
      </c>
      <c r="BE220" s="44">
        <v>45748.0</v>
      </c>
      <c r="BF220" s="44">
        <v>45838.0</v>
      </c>
      <c r="BG220" s="42">
        <v>82237.0</v>
      </c>
      <c r="BH220" s="42">
        <v>104715.0</v>
      </c>
      <c r="BI220" s="42">
        <v>22478.0</v>
      </c>
      <c r="BJ220" s="42">
        <v>45000.0</v>
      </c>
      <c r="BK220" s="42">
        <v>-22522.0</v>
      </c>
      <c r="BL220" s="45">
        <v>0.72</v>
      </c>
      <c r="BM220" s="45">
        <v>2.07</v>
      </c>
      <c r="BN220" s="45">
        <v>0.0</v>
      </c>
      <c r="BO220" s="45">
        <v>0.0</v>
      </c>
      <c r="BP220" s="45">
        <v>0.0</v>
      </c>
      <c r="BQ220" s="45">
        <v>-2128.33</v>
      </c>
      <c r="BR220" s="45">
        <v>0.0</v>
      </c>
      <c r="BS220" s="45">
        <v>0.0</v>
      </c>
      <c r="BT220" s="45">
        <v>0.0</v>
      </c>
      <c r="BU220" s="45">
        <v>6440.2</v>
      </c>
      <c r="BV220" s="45">
        <v>0.0</v>
      </c>
      <c r="BW220" s="45">
        <v>0.0</v>
      </c>
      <c r="BX220" s="45">
        <v>0.0</v>
      </c>
      <c r="BY220" s="45">
        <v>21530.03</v>
      </c>
      <c r="BZ220" s="42">
        <v>0.0</v>
      </c>
      <c r="CA220" s="45">
        <v>0.0</v>
      </c>
      <c r="CB220" s="42">
        <v>0.0</v>
      </c>
      <c r="CC220" s="45">
        <v>0.0</v>
      </c>
      <c r="CD220" s="45">
        <v>0.0</v>
      </c>
      <c r="CE220" s="45">
        <v>6440.2</v>
      </c>
      <c r="CF220" s="45">
        <v>966.03</v>
      </c>
      <c r="CG220" s="45">
        <v>7406.23</v>
      </c>
      <c r="CH220" s="45">
        <v>40738.19</v>
      </c>
      <c r="CI220" s="45">
        <v>5313.68</v>
      </c>
      <c r="CJ220" s="45">
        <v>35424.51</v>
      </c>
      <c r="CK220" s="45">
        <v>3.64</v>
      </c>
      <c r="CL220" s="42">
        <v>0.0</v>
      </c>
      <c r="CM220" s="42">
        <v>0.0</v>
      </c>
      <c r="CN220" s="42">
        <v>0.0</v>
      </c>
      <c r="CO220" s="42">
        <v>100.0</v>
      </c>
      <c r="CP220" s="44"/>
      <c r="CQ220" s="42">
        <v>0.0</v>
      </c>
      <c r="CR220" s="42">
        <v>0.0</v>
      </c>
      <c r="CS220" s="42">
        <v>0.0</v>
      </c>
      <c r="CT220" s="42">
        <v>-39615.0</v>
      </c>
      <c r="CU220" s="44">
        <v>46022.0</v>
      </c>
      <c r="CV220" s="44">
        <v>46022.0</v>
      </c>
      <c r="CW220" s="42">
        <v>225454.0</v>
      </c>
      <c r="CX220" s="42" t="s">
        <v>122</v>
      </c>
      <c r="CY220" s="42" t="s">
        <v>123</v>
      </c>
      <c r="CZ220" s="45">
        <v>0.0</v>
      </c>
      <c r="DA220" s="45">
        <v>0.0</v>
      </c>
      <c r="DB220" s="45">
        <v>-25333.56</v>
      </c>
      <c r="DC220" s="45">
        <v>0.63</v>
      </c>
      <c r="DD220" s="45">
        <v>-14188.86</v>
      </c>
      <c r="DE220" s="45">
        <v>-16317.19</v>
      </c>
      <c r="DF220" s="42"/>
    </row>
    <row r="221" ht="13.5" customHeight="1">
      <c r="A221" s="42" t="s">
        <v>144</v>
      </c>
      <c r="B221" s="43">
        <v>44044.0</v>
      </c>
      <c r="C221" s="42" t="s">
        <v>136</v>
      </c>
      <c r="D221" s="42" t="s">
        <v>137</v>
      </c>
      <c r="E221" s="42" t="s">
        <v>138</v>
      </c>
      <c r="F221" s="42" t="s">
        <v>179</v>
      </c>
      <c r="G221" s="42" t="s">
        <v>140</v>
      </c>
      <c r="H221" s="42" t="s">
        <v>141</v>
      </c>
      <c r="I221" s="44">
        <v>44052.0</v>
      </c>
      <c r="J221" s="44">
        <v>44053.0</v>
      </c>
      <c r="K221" s="42">
        <f t="shared" si="1"/>
        <v>1</v>
      </c>
      <c r="L221" s="42">
        <v>1.0</v>
      </c>
      <c r="M221" s="42">
        <f t="shared" si="2"/>
        <v>0</v>
      </c>
      <c r="N221" s="44">
        <v>44066.0</v>
      </c>
      <c r="O221" s="44">
        <v>44076.0</v>
      </c>
      <c r="P221" s="42">
        <f t="shared" si="3"/>
        <v>10</v>
      </c>
      <c r="Q221" s="42">
        <v>90.0</v>
      </c>
      <c r="R221" s="42">
        <f t="shared" si="4"/>
        <v>-80</v>
      </c>
      <c r="S221" s="42" t="s">
        <v>649</v>
      </c>
      <c r="T221" s="42" t="s">
        <v>650</v>
      </c>
      <c r="U221" s="42" t="s">
        <v>117</v>
      </c>
      <c r="V221" s="42" t="s">
        <v>207</v>
      </c>
      <c r="W221" s="42" t="s">
        <v>221</v>
      </c>
      <c r="X221" s="42" t="s">
        <v>222</v>
      </c>
      <c r="Y221" s="42">
        <v>2024.0</v>
      </c>
      <c r="Z221" s="42" t="s">
        <v>135</v>
      </c>
      <c r="AA221" s="42">
        <v>2198.0</v>
      </c>
      <c r="AB221" s="42">
        <v>16.0</v>
      </c>
      <c r="AC221" s="42">
        <v>16.0</v>
      </c>
      <c r="AD221" s="45">
        <v>791217.39</v>
      </c>
      <c r="AE221" s="45">
        <v>71209.56</v>
      </c>
      <c r="AF221" s="46">
        <v>0.09</v>
      </c>
      <c r="AG221" s="45">
        <v>9142.55</v>
      </c>
      <c r="AH221" s="45">
        <v>2322.0</v>
      </c>
      <c r="AI221" s="42">
        <v>7.75</v>
      </c>
      <c r="AJ221" s="45">
        <v>325190.0</v>
      </c>
      <c r="AK221" s="42">
        <v>41.1</v>
      </c>
      <c r="AL221" s="44">
        <v>44076.0</v>
      </c>
      <c r="AM221" s="44">
        <v>45902.0</v>
      </c>
      <c r="AN221" s="42">
        <v>15.0</v>
      </c>
      <c r="AO221" s="42">
        <v>15000.0</v>
      </c>
      <c r="AP221" s="42">
        <v>225000.0</v>
      </c>
      <c r="AQ221" s="44">
        <v>45900.0</v>
      </c>
      <c r="AR221" s="42">
        <v>105431.0</v>
      </c>
      <c r="AS221" s="42">
        <v>109522.0</v>
      </c>
      <c r="AT221" s="42">
        <v>4091.0</v>
      </c>
      <c r="AU221" s="42">
        <v>109098.0</v>
      </c>
      <c r="AV221" s="42">
        <v>12122.0</v>
      </c>
      <c r="AW221" s="45">
        <v>31725.64</v>
      </c>
      <c r="AX221" s="45">
        <v>9450.0</v>
      </c>
      <c r="AY221" s="45">
        <v>125.0</v>
      </c>
      <c r="AZ221" s="45">
        <v>290.99</v>
      </c>
      <c r="BA221" s="45">
        <v>1584.82</v>
      </c>
      <c r="BB221" s="45">
        <v>43176.45</v>
      </c>
      <c r="BC221" s="45">
        <v>6476.47</v>
      </c>
      <c r="BD221" s="45">
        <v>49652.92</v>
      </c>
      <c r="BE221" s="44">
        <v>45748.0</v>
      </c>
      <c r="BF221" s="44">
        <v>45838.0</v>
      </c>
      <c r="BG221" s="42">
        <v>83002.0</v>
      </c>
      <c r="BH221" s="42">
        <v>109522.0</v>
      </c>
      <c r="BI221" s="42">
        <v>26520.0</v>
      </c>
      <c r="BJ221" s="42">
        <v>45000.0</v>
      </c>
      <c r="BK221" s="42">
        <v>-18480.0</v>
      </c>
      <c r="BL221" s="45">
        <v>0.62</v>
      </c>
      <c r="BM221" s="45">
        <v>1.78</v>
      </c>
      <c r="BN221" s="45">
        <v>0.0</v>
      </c>
      <c r="BO221" s="45">
        <v>0.0</v>
      </c>
      <c r="BP221" s="45">
        <v>0.0</v>
      </c>
      <c r="BQ221" s="45">
        <v>-1746.36</v>
      </c>
      <c r="BR221" s="45">
        <v>0.0</v>
      </c>
      <c r="BS221" s="45">
        <v>0.0</v>
      </c>
      <c r="BT221" s="45">
        <v>0.0</v>
      </c>
      <c r="BU221" s="45">
        <v>0.0</v>
      </c>
      <c r="BV221" s="45">
        <v>0.0</v>
      </c>
      <c r="BW221" s="45">
        <v>0.0</v>
      </c>
      <c r="BX221" s="45">
        <v>0.0</v>
      </c>
      <c r="BY221" s="45">
        <v>9663.48</v>
      </c>
      <c r="BZ221" s="42">
        <v>0.0</v>
      </c>
      <c r="CA221" s="45">
        <v>0.0</v>
      </c>
      <c r="CB221" s="42">
        <v>0.0</v>
      </c>
      <c r="CC221" s="45">
        <v>0.0</v>
      </c>
      <c r="CD221" s="45">
        <v>0.0</v>
      </c>
      <c r="CE221" s="45">
        <v>0.0</v>
      </c>
      <c r="CF221" s="45">
        <v>0.0</v>
      </c>
      <c r="CG221" s="45">
        <v>0.0</v>
      </c>
      <c r="CH221" s="45">
        <v>36264.16</v>
      </c>
      <c r="CI221" s="45">
        <v>4730.11</v>
      </c>
      <c r="CJ221" s="45">
        <v>31534.05</v>
      </c>
      <c r="CK221" s="45">
        <v>7.71</v>
      </c>
      <c r="CL221" s="42">
        <v>0.0</v>
      </c>
      <c r="CM221" s="42">
        <v>0.0</v>
      </c>
      <c r="CN221" s="42">
        <v>0.0</v>
      </c>
      <c r="CO221" s="42">
        <v>100.0</v>
      </c>
      <c r="CP221" s="44"/>
      <c r="CQ221" s="42">
        <v>0.0</v>
      </c>
      <c r="CR221" s="42">
        <v>0.0</v>
      </c>
      <c r="CS221" s="42">
        <v>0.0</v>
      </c>
      <c r="CT221" s="42">
        <v>-35271.0</v>
      </c>
      <c r="CU221" s="44">
        <v>46022.0</v>
      </c>
      <c r="CV221" s="44">
        <v>46022.0</v>
      </c>
      <c r="CW221" s="42">
        <v>225424.0</v>
      </c>
      <c r="CX221" s="42" t="s">
        <v>122</v>
      </c>
      <c r="CY221" s="42" t="s">
        <v>123</v>
      </c>
      <c r="CZ221" s="45">
        <v>0.0</v>
      </c>
      <c r="DA221" s="45">
        <v>0.0</v>
      </c>
      <c r="DB221" s="45">
        <v>-21799.26</v>
      </c>
      <c r="DC221" s="45">
        <v>0.63</v>
      </c>
      <c r="DD221" s="45">
        <v>-11642.4</v>
      </c>
      <c r="DE221" s="45">
        <v>-13388.76</v>
      </c>
      <c r="DF221" s="42"/>
    </row>
    <row r="222" ht="13.5" customHeight="1">
      <c r="A222" s="42" t="s">
        <v>157</v>
      </c>
      <c r="B222" s="43">
        <v>44044.0</v>
      </c>
      <c r="C222" s="42" t="s">
        <v>109</v>
      </c>
      <c r="D222" s="42" t="s">
        <v>110</v>
      </c>
      <c r="E222" s="42" t="s">
        <v>111</v>
      </c>
      <c r="F222" s="42" t="s">
        <v>179</v>
      </c>
      <c r="G222" s="42" t="s">
        <v>140</v>
      </c>
      <c r="H222" s="42" t="s">
        <v>114</v>
      </c>
      <c r="I222" s="44">
        <v>44053.0</v>
      </c>
      <c r="J222" s="44">
        <v>44054.0</v>
      </c>
      <c r="K222" s="42">
        <f t="shared" si="1"/>
        <v>1</v>
      </c>
      <c r="L222" s="42">
        <v>1.0</v>
      </c>
      <c r="M222" s="42">
        <f t="shared" si="2"/>
        <v>0</v>
      </c>
      <c r="N222" s="44">
        <v>44067.0</v>
      </c>
      <c r="O222" s="44">
        <v>44077.0</v>
      </c>
      <c r="P222" s="42">
        <f t="shared" si="3"/>
        <v>10</v>
      </c>
      <c r="Q222" s="42">
        <v>90.0</v>
      </c>
      <c r="R222" s="42">
        <f t="shared" si="4"/>
        <v>-80</v>
      </c>
      <c r="S222" s="42" t="s">
        <v>651</v>
      </c>
      <c r="T222" s="42" t="s">
        <v>652</v>
      </c>
      <c r="U222" s="42" t="s">
        <v>117</v>
      </c>
      <c r="V222" s="42" t="s">
        <v>207</v>
      </c>
      <c r="W222" s="42" t="s">
        <v>221</v>
      </c>
      <c r="X222" s="42" t="s">
        <v>222</v>
      </c>
      <c r="Y222" s="42">
        <v>2024.0</v>
      </c>
      <c r="Z222" s="42" t="s">
        <v>135</v>
      </c>
      <c r="AA222" s="42">
        <v>2198.0</v>
      </c>
      <c r="AB222" s="42">
        <v>16.0</v>
      </c>
      <c r="AC222" s="42">
        <v>16.0</v>
      </c>
      <c r="AD222" s="45">
        <v>791217.39</v>
      </c>
      <c r="AE222" s="45">
        <v>71209.56</v>
      </c>
      <c r="AF222" s="46">
        <v>0.09</v>
      </c>
      <c r="AG222" s="45">
        <v>9321.0</v>
      </c>
      <c r="AH222" s="45">
        <v>2322.0</v>
      </c>
      <c r="AI222" s="42">
        <v>7.75</v>
      </c>
      <c r="AJ222" s="45">
        <v>325190.0</v>
      </c>
      <c r="AK222" s="42">
        <v>41.1</v>
      </c>
      <c r="AL222" s="44">
        <v>44077.0</v>
      </c>
      <c r="AM222" s="44">
        <v>45903.0</v>
      </c>
      <c r="AN222" s="42">
        <v>15.0</v>
      </c>
      <c r="AO222" s="42">
        <v>15000.0</v>
      </c>
      <c r="AP222" s="42">
        <v>225000.0</v>
      </c>
      <c r="AQ222" s="44">
        <v>45900.0</v>
      </c>
      <c r="AR222" s="42">
        <v>90218.0</v>
      </c>
      <c r="AS222" s="42">
        <v>95450.0</v>
      </c>
      <c r="AT222" s="42">
        <v>5232.0</v>
      </c>
      <c r="AU222" s="42">
        <v>95003.0</v>
      </c>
      <c r="AV222" s="42">
        <v>10556.0</v>
      </c>
      <c r="AW222" s="45">
        <v>31738.2</v>
      </c>
      <c r="AX222" s="45">
        <v>9450.0</v>
      </c>
      <c r="AY222" s="45">
        <v>125.0</v>
      </c>
      <c r="AZ222" s="45">
        <v>290.99</v>
      </c>
      <c r="BA222" s="45">
        <v>1584.82</v>
      </c>
      <c r="BB222" s="45">
        <v>43189.01</v>
      </c>
      <c r="BC222" s="45">
        <v>6478.35</v>
      </c>
      <c r="BD222" s="45">
        <v>49667.36</v>
      </c>
      <c r="BE222" s="44">
        <v>45748.0</v>
      </c>
      <c r="BF222" s="44">
        <v>45838.0</v>
      </c>
      <c r="BG222" s="42">
        <v>74932.0</v>
      </c>
      <c r="BH222" s="42">
        <v>95450.0</v>
      </c>
      <c r="BI222" s="42">
        <v>20518.0</v>
      </c>
      <c r="BJ222" s="42">
        <v>45000.0</v>
      </c>
      <c r="BK222" s="42">
        <v>-24482.0</v>
      </c>
      <c r="BL222" s="45">
        <v>0.62</v>
      </c>
      <c r="BM222" s="45">
        <v>1.78</v>
      </c>
      <c r="BN222" s="45">
        <v>0.0</v>
      </c>
      <c r="BO222" s="45">
        <v>0.0</v>
      </c>
      <c r="BP222" s="45">
        <v>0.0</v>
      </c>
      <c r="BQ222" s="45">
        <v>-2313.55</v>
      </c>
      <c r="BR222" s="45">
        <v>0.0</v>
      </c>
      <c r="BS222" s="45">
        <v>0.0</v>
      </c>
      <c r="BT222" s="45">
        <v>0.0</v>
      </c>
      <c r="BU222" s="45">
        <v>18126.7</v>
      </c>
      <c r="BV222" s="45">
        <v>0.0</v>
      </c>
      <c r="BW222" s="45">
        <v>0.0</v>
      </c>
      <c r="BX222" s="45">
        <v>0.0</v>
      </c>
      <c r="BY222" s="45">
        <v>9822.74</v>
      </c>
      <c r="BZ222" s="42">
        <v>0.0</v>
      </c>
      <c r="CA222" s="45">
        <v>0.0</v>
      </c>
      <c r="CB222" s="42">
        <v>0.0</v>
      </c>
      <c r="CC222" s="45">
        <v>0.0</v>
      </c>
      <c r="CD222" s="45">
        <v>0.0</v>
      </c>
      <c r="CE222" s="45">
        <v>18126.7</v>
      </c>
      <c r="CF222" s="45">
        <v>2719.01</v>
      </c>
      <c r="CG222" s="45">
        <v>20845.71</v>
      </c>
      <c r="CH222" s="45">
        <v>52775.86</v>
      </c>
      <c r="CI222" s="45">
        <v>6883.81</v>
      </c>
      <c r="CJ222" s="45">
        <v>45892.05</v>
      </c>
      <c r="CK222" s="45">
        <v>8.77</v>
      </c>
      <c r="CL222" s="42">
        <v>0.0</v>
      </c>
      <c r="CM222" s="42">
        <v>0.0</v>
      </c>
      <c r="CN222" s="42">
        <v>0.0</v>
      </c>
      <c r="CO222" s="42">
        <v>100.0</v>
      </c>
      <c r="CP222" s="44"/>
      <c r="CQ222" s="42">
        <v>0.0</v>
      </c>
      <c r="CR222" s="42">
        <v>0.0</v>
      </c>
      <c r="CS222" s="42">
        <v>0.0</v>
      </c>
      <c r="CT222" s="42">
        <v>-48873.0</v>
      </c>
      <c r="CU222" s="44">
        <v>46022.0</v>
      </c>
      <c r="CV222" s="44">
        <v>46022.0</v>
      </c>
      <c r="CW222" s="42">
        <v>225447.0</v>
      </c>
      <c r="CX222" s="42" t="s">
        <v>122</v>
      </c>
      <c r="CY222" s="42" t="s">
        <v>123</v>
      </c>
      <c r="CZ222" s="45">
        <v>0.0</v>
      </c>
      <c r="DA222" s="45">
        <v>0.0</v>
      </c>
      <c r="DB222" s="45">
        <v>-30579.57</v>
      </c>
      <c r="DC222" s="45">
        <v>0.63</v>
      </c>
      <c r="DD222" s="45">
        <v>-15423.66</v>
      </c>
      <c r="DE222" s="45">
        <v>-17737.21</v>
      </c>
      <c r="DF222" s="42"/>
    </row>
    <row r="223" ht="13.5" customHeight="1">
      <c r="A223" s="42" t="s">
        <v>157</v>
      </c>
      <c r="B223" s="43">
        <v>44044.0</v>
      </c>
      <c r="C223" s="42" t="s">
        <v>124</v>
      </c>
      <c r="D223" s="42" t="s">
        <v>125</v>
      </c>
      <c r="E223" s="42" t="s">
        <v>126</v>
      </c>
      <c r="F223" s="42" t="s">
        <v>196</v>
      </c>
      <c r="G223" s="42" t="s">
        <v>140</v>
      </c>
      <c r="H223" s="42" t="s">
        <v>129</v>
      </c>
      <c r="I223" s="44">
        <v>44054.0</v>
      </c>
      <c r="J223" s="44">
        <v>44062.0</v>
      </c>
      <c r="K223" s="42">
        <f t="shared" si="1"/>
        <v>8</v>
      </c>
      <c r="L223" s="42">
        <v>1.0</v>
      </c>
      <c r="M223" s="42">
        <f t="shared" si="2"/>
        <v>7</v>
      </c>
      <c r="N223" s="44">
        <v>44068.0</v>
      </c>
      <c r="O223" s="44">
        <v>44078.0</v>
      </c>
      <c r="P223" s="42">
        <f t="shared" si="3"/>
        <v>10</v>
      </c>
      <c r="Q223" s="42">
        <v>90.0</v>
      </c>
      <c r="R223" s="42">
        <f t="shared" si="4"/>
        <v>-80</v>
      </c>
      <c r="S223" s="42" t="s">
        <v>653</v>
      </c>
      <c r="T223" s="42" t="s">
        <v>654</v>
      </c>
      <c r="U223" s="42" t="s">
        <v>117</v>
      </c>
      <c r="V223" s="42" t="s">
        <v>132</v>
      </c>
      <c r="W223" s="42" t="s">
        <v>133</v>
      </c>
      <c r="X223" s="42" t="s">
        <v>164</v>
      </c>
      <c r="Y223" s="42">
        <v>2024.0</v>
      </c>
      <c r="Z223" s="42" t="s">
        <v>135</v>
      </c>
      <c r="AA223" s="42">
        <v>2498.0</v>
      </c>
      <c r="AB223" s="42">
        <v>16.0</v>
      </c>
      <c r="AC223" s="42">
        <v>0.0</v>
      </c>
      <c r="AD223" s="45">
        <v>365565.22</v>
      </c>
      <c r="AE223" s="45">
        <v>68333.36</v>
      </c>
      <c r="AF223" s="46">
        <v>0.19</v>
      </c>
      <c r="AG223" s="45">
        <v>34229.34</v>
      </c>
      <c r="AH223" s="45">
        <v>2124.0</v>
      </c>
      <c r="AI223" s="42">
        <v>7.75</v>
      </c>
      <c r="AJ223" s="45">
        <v>164504.0</v>
      </c>
      <c r="AK223" s="42">
        <v>45.0</v>
      </c>
      <c r="AL223" s="44">
        <v>44078.0</v>
      </c>
      <c r="AM223" s="44">
        <v>45904.0</v>
      </c>
      <c r="AN223" s="42">
        <v>60.0</v>
      </c>
      <c r="AO223" s="42">
        <v>2300.0</v>
      </c>
      <c r="AP223" s="42">
        <v>138000.0</v>
      </c>
      <c r="AQ223" s="44">
        <v>45900.0</v>
      </c>
      <c r="AR223" s="42">
        <v>11345.0</v>
      </c>
      <c r="AS223" s="42">
        <v>12701.0</v>
      </c>
      <c r="AT223" s="42">
        <v>1356.0</v>
      </c>
      <c r="AU223" s="42">
        <v>12226.0</v>
      </c>
      <c r="AV223" s="42">
        <v>1358.0</v>
      </c>
      <c r="AW223" s="45">
        <v>5242.0</v>
      </c>
      <c r="AX223" s="45">
        <v>1426.0</v>
      </c>
      <c r="AY223" s="45">
        <v>125.0</v>
      </c>
      <c r="AZ223" s="45">
        <v>291.0</v>
      </c>
      <c r="BA223" s="45">
        <v>1083.24</v>
      </c>
      <c r="BB223" s="45">
        <v>8167.24</v>
      </c>
      <c r="BC223" s="45">
        <v>1225.09</v>
      </c>
      <c r="BD223" s="45">
        <v>9392.33</v>
      </c>
      <c r="BE223" s="44">
        <v>45748.0</v>
      </c>
      <c r="BF223" s="44">
        <v>45838.0</v>
      </c>
      <c r="BG223" s="42">
        <v>8561.0</v>
      </c>
      <c r="BH223" s="42">
        <v>12701.0</v>
      </c>
      <c r="BI223" s="42">
        <v>4140.0</v>
      </c>
      <c r="BJ223" s="42">
        <v>6900.0</v>
      </c>
      <c r="BK223" s="42">
        <v>-2760.0</v>
      </c>
      <c r="BL223" s="45">
        <v>0.71</v>
      </c>
      <c r="BM223" s="45">
        <v>1.46</v>
      </c>
      <c r="BN223" s="45">
        <v>0.0</v>
      </c>
      <c r="BO223" s="45">
        <v>0.0</v>
      </c>
      <c r="BP223" s="45">
        <v>0.0</v>
      </c>
      <c r="BQ223" s="45">
        <v>-256.68</v>
      </c>
      <c r="BR223" s="45">
        <v>0.0</v>
      </c>
      <c r="BS223" s="45">
        <v>0.0</v>
      </c>
      <c r="BT223" s="45">
        <v>0.0</v>
      </c>
      <c r="BU223" s="45">
        <v>0.0</v>
      </c>
      <c r="BV223" s="45">
        <v>0.0</v>
      </c>
      <c r="BW223" s="45">
        <v>0.0</v>
      </c>
      <c r="BX223" s="45">
        <v>0.0</v>
      </c>
      <c r="BY223" s="45">
        <v>2136.32</v>
      </c>
      <c r="BZ223" s="42">
        <v>0.0</v>
      </c>
      <c r="CA223" s="45">
        <v>0.0</v>
      </c>
      <c r="CB223" s="42">
        <v>0.0</v>
      </c>
      <c r="CC223" s="45">
        <v>0.0</v>
      </c>
      <c r="CD223" s="45">
        <v>0.0</v>
      </c>
      <c r="CE223" s="45">
        <v>0.0</v>
      </c>
      <c r="CF223" s="45">
        <v>0.0</v>
      </c>
      <c r="CG223" s="45">
        <v>0.0</v>
      </c>
      <c r="CH223" s="45">
        <v>7424.45</v>
      </c>
      <c r="CI223" s="45">
        <v>968.41</v>
      </c>
      <c r="CJ223" s="45">
        <v>6456.04</v>
      </c>
      <c r="CK223" s="45">
        <v>4.76</v>
      </c>
      <c r="CL223" s="42">
        <v>0.0</v>
      </c>
      <c r="CM223" s="42">
        <v>0.0</v>
      </c>
      <c r="CN223" s="42">
        <v>0.0</v>
      </c>
      <c r="CO223" s="42">
        <v>100.0</v>
      </c>
      <c r="CP223" s="44"/>
      <c r="CQ223" s="42">
        <v>0.0</v>
      </c>
      <c r="CR223" s="42">
        <v>0.0</v>
      </c>
      <c r="CS223" s="42">
        <v>0.0</v>
      </c>
      <c r="CT223" s="42">
        <v>-9986.0</v>
      </c>
      <c r="CU223" s="44">
        <v>47391.0</v>
      </c>
      <c r="CV223" s="44">
        <v>47391.0</v>
      </c>
      <c r="CW223" s="42">
        <v>138475.0</v>
      </c>
      <c r="CX223" s="42" t="s">
        <v>122</v>
      </c>
      <c r="CY223" s="42" t="s">
        <v>123</v>
      </c>
      <c r="CZ223" s="45">
        <v>2551.3</v>
      </c>
      <c r="DA223" s="45">
        <v>0.0</v>
      </c>
      <c r="DB223" s="45">
        <v>-8742.62</v>
      </c>
      <c r="DC223" s="45">
        <v>0.62</v>
      </c>
      <c r="DD223" s="45">
        <v>-1711.2</v>
      </c>
      <c r="DE223" s="45">
        <v>-1967.88</v>
      </c>
      <c r="DF223" s="42"/>
    </row>
    <row r="224" ht="13.5" customHeight="1">
      <c r="A224" s="42" t="s">
        <v>157</v>
      </c>
      <c r="B224" s="43">
        <v>44044.0</v>
      </c>
      <c r="C224" s="42" t="s">
        <v>136</v>
      </c>
      <c r="D224" s="42" t="s">
        <v>137</v>
      </c>
      <c r="E224" s="42" t="s">
        <v>138</v>
      </c>
      <c r="F224" s="42" t="s">
        <v>196</v>
      </c>
      <c r="G224" s="42" t="s">
        <v>140</v>
      </c>
      <c r="H224" s="42" t="s">
        <v>141</v>
      </c>
      <c r="I224" s="44">
        <v>44055.0</v>
      </c>
      <c r="J224" s="44">
        <v>44056.0</v>
      </c>
      <c r="K224" s="42">
        <f t="shared" si="1"/>
        <v>1</v>
      </c>
      <c r="L224" s="42">
        <v>1.0</v>
      </c>
      <c r="M224" s="42">
        <f t="shared" si="2"/>
        <v>0</v>
      </c>
      <c r="N224" s="44">
        <v>44069.0</v>
      </c>
      <c r="O224" s="44">
        <v>44079.0</v>
      </c>
      <c r="P224" s="42">
        <f t="shared" si="3"/>
        <v>10</v>
      </c>
      <c r="Q224" s="42">
        <v>90.0</v>
      </c>
      <c r="R224" s="42">
        <f t="shared" si="4"/>
        <v>-80</v>
      </c>
      <c r="S224" s="42" t="s">
        <v>655</v>
      </c>
      <c r="T224" s="42" t="s">
        <v>656</v>
      </c>
      <c r="U224" s="42" t="s">
        <v>117</v>
      </c>
      <c r="V224" s="42" t="s">
        <v>132</v>
      </c>
      <c r="W224" s="42" t="s">
        <v>133</v>
      </c>
      <c r="X224" s="42" t="s">
        <v>164</v>
      </c>
      <c r="Y224" s="42">
        <v>2024.0</v>
      </c>
      <c r="Z224" s="42" t="s">
        <v>135</v>
      </c>
      <c r="AA224" s="42">
        <v>2498.0</v>
      </c>
      <c r="AB224" s="42">
        <v>16.0</v>
      </c>
      <c r="AC224" s="42">
        <v>0.0</v>
      </c>
      <c r="AD224" s="45">
        <v>365565.22</v>
      </c>
      <c r="AE224" s="45">
        <v>68333.36</v>
      </c>
      <c r="AF224" s="46">
        <v>0.19</v>
      </c>
      <c r="AG224" s="45">
        <v>35056.09</v>
      </c>
      <c r="AH224" s="45">
        <v>2124.0</v>
      </c>
      <c r="AI224" s="42">
        <v>7.75</v>
      </c>
      <c r="AJ224" s="45">
        <v>164504.0</v>
      </c>
      <c r="AK224" s="42">
        <v>45.0</v>
      </c>
      <c r="AL224" s="44">
        <v>44079.0</v>
      </c>
      <c r="AM224" s="44">
        <v>45905.0</v>
      </c>
      <c r="AN224" s="42">
        <v>60.0</v>
      </c>
      <c r="AO224" s="42">
        <v>3000.0</v>
      </c>
      <c r="AP224" s="42">
        <v>180000.0</v>
      </c>
      <c r="AQ224" s="44">
        <v>45900.0</v>
      </c>
      <c r="AR224" s="42">
        <v>12654.0</v>
      </c>
      <c r="AS224" s="42">
        <v>14759.0</v>
      </c>
      <c r="AT224" s="42">
        <v>2105.0</v>
      </c>
      <c r="AU224" s="42">
        <v>14283.0</v>
      </c>
      <c r="AV224" s="42">
        <v>1587.0</v>
      </c>
      <c r="AW224" s="45">
        <v>5258.67</v>
      </c>
      <c r="AX224" s="45">
        <v>1560.0</v>
      </c>
      <c r="AY224" s="45">
        <v>125.0</v>
      </c>
      <c r="AZ224" s="45">
        <v>291.0</v>
      </c>
      <c r="BA224" s="45">
        <v>1083.24</v>
      </c>
      <c r="BB224" s="45">
        <v>8317.91</v>
      </c>
      <c r="BC224" s="45">
        <v>1247.69</v>
      </c>
      <c r="BD224" s="45">
        <v>9565.6</v>
      </c>
      <c r="BE224" s="44">
        <v>45748.0</v>
      </c>
      <c r="BF224" s="44">
        <v>45838.0</v>
      </c>
      <c r="BG224" s="42">
        <v>9299.0</v>
      </c>
      <c r="BH224" s="42">
        <v>14759.0</v>
      </c>
      <c r="BI224" s="42">
        <v>5460.0</v>
      </c>
      <c r="BJ224" s="42">
        <v>9000.0</v>
      </c>
      <c r="BK224" s="42">
        <v>-3540.0</v>
      </c>
      <c r="BL224" s="45">
        <v>0.6</v>
      </c>
      <c r="BM224" s="45">
        <v>1.12</v>
      </c>
      <c r="BN224" s="45">
        <v>0.0</v>
      </c>
      <c r="BO224" s="45">
        <v>0.0</v>
      </c>
      <c r="BP224" s="45">
        <v>0.0</v>
      </c>
      <c r="BQ224" s="45">
        <v>-276.12</v>
      </c>
      <c r="BR224" s="45">
        <v>0.0</v>
      </c>
      <c r="BS224" s="45">
        <v>0.0</v>
      </c>
      <c r="BT224" s="45">
        <v>0.0</v>
      </c>
      <c r="BU224" s="45">
        <v>0.0</v>
      </c>
      <c r="BV224" s="45">
        <v>0.0</v>
      </c>
      <c r="BW224" s="45">
        <v>0.0</v>
      </c>
      <c r="BX224" s="45">
        <v>0.0</v>
      </c>
      <c r="BY224" s="45">
        <v>4312.5</v>
      </c>
      <c r="BZ224" s="42">
        <v>0.0</v>
      </c>
      <c r="CA224" s="45">
        <v>56.5</v>
      </c>
      <c r="CB224" s="42">
        <v>0.0</v>
      </c>
      <c r="CC224" s="45">
        <v>0.0</v>
      </c>
      <c r="CD224" s="45">
        <v>0.0</v>
      </c>
      <c r="CE224" s="45">
        <v>0.0</v>
      </c>
      <c r="CF224" s="45">
        <v>0.0</v>
      </c>
      <c r="CG224" s="45">
        <v>0.0</v>
      </c>
      <c r="CH224" s="45">
        <v>7448.68</v>
      </c>
      <c r="CI224" s="45">
        <v>971.57</v>
      </c>
      <c r="CJ224" s="45">
        <v>6477.11</v>
      </c>
      <c r="CK224" s="45">
        <v>3.08</v>
      </c>
      <c r="CL224" s="42">
        <v>0.0</v>
      </c>
      <c r="CM224" s="42">
        <v>0.0</v>
      </c>
      <c r="CN224" s="42">
        <v>0.0</v>
      </c>
      <c r="CO224" s="42">
        <v>100.0</v>
      </c>
      <c r="CP224" s="44"/>
      <c r="CQ224" s="42">
        <v>0.0</v>
      </c>
      <c r="CR224" s="42">
        <v>0.0</v>
      </c>
      <c r="CS224" s="42">
        <v>0.0</v>
      </c>
      <c r="CT224" s="42">
        <v>-14689.0</v>
      </c>
      <c r="CU224" s="44">
        <v>47391.0</v>
      </c>
      <c r="CV224" s="44">
        <v>47391.0</v>
      </c>
      <c r="CW224" s="42">
        <v>180476.0</v>
      </c>
      <c r="CX224" s="42" t="s">
        <v>122</v>
      </c>
      <c r="CY224" s="42" t="s">
        <v>123</v>
      </c>
      <c r="CZ224" s="45">
        <v>2806.44</v>
      </c>
      <c r="DA224" s="45">
        <v>0.0</v>
      </c>
      <c r="DB224" s="45">
        <v>-10444.72</v>
      </c>
      <c r="DC224" s="45">
        <v>0.52</v>
      </c>
      <c r="DD224" s="45">
        <v>-1840.8</v>
      </c>
      <c r="DE224" s="45">
        <v>-2116.92</v>
      </c>
      <c r="DF224" s="42"/>
    </row>
    <row r="225" ht="13.5" customHeight="1">
      <c r="A225" s="42" t="s">
        <v>157</v>
      </c>
      <c r="B225" s="43">
        <v>44044.0</v>
      </c>
      <c r="C225" s="42" t="s">
        <v>109</v>
      </c>
      <c r="D225" s="42" t="s">
        <v>110</v>
      </c>
      <c r="E225" s="42" t="s">
        <v>111</v>
      </c>
      <c r="F225" s="42" t="s">
        <v>196</v>
      </c>
      <c r="G225" s="42" t="s">
        <v>140</v>
      </c>
      <c r="H225" s="42" t="s">
        <v>114</v>
      </c>
      <c r="I225" s="44">
        <v>44056.0</v>
      </c>
      <c r="J225" s="44">
        <v>44057.0</v>
      </c>
      <c r="K225" s="42">
        <f t="shared" si="1"/>
        <v>1</v>
      </c>
      <c r="L225" s="42">
        <v>1.0</v>
      </c>
      <c r="M225" s="42">
        <f t="shared" si="2"/>
        <v>0</v>
      </c>
      <c r="N225" s="44">
        <v>44070.0</v>
      </c>
      <c r="O225" s="44">
        <v>44080.0</v>
      </c>
      <c r="P225" s="42">
        <f t="shared" si="3"/>
        <v>10</v>
      </c>
      <c r="Q225" s="42">
        <v>90.0</v>
      </c>
      <c r="R225" s="42">
        <f t="shared" si="4"/>
        <v>-80</v>
      </c>
      <c r="S225" s="42" t="s">
        <v>657</v>
      </c>
      <c r="T225" s="42" t="s">
        <v>658</v>
      </c>
      <c r="U225" s="42" t="s">
        <v>117</v>
      </c>
      <c r="V225" s="42" t="s">
        <v>132</v>
      </c>
      <c r="W225" s="42" t="s">
        <v>133</v>
      </c>
      <c r="X225" s="42" t="s">
        <v>164</v>
      </c>
      <c r="Y225" s="42">
        <v>2024.0</v>
      </c>
      <c r="Z225" s="42" t="s">
        <v>135</v>
      </c>
      <c r="AA225" s="42">
        <v>2498.0</v>
      </c>
      <c r="AB225" s="42">
        <v>16.0</v>
      </c>
      <c r="AC225" s="42">
        <v>0.0</v>
      </c>
      <c r="AD225" s="45">
        <v>365565.22</v>
      </c>
      <c r="AE225" s="45">
        <v>68333.36</v>
      </c>
      <c r="AF225" s="46">
        <v>0.19</v>
      </c>
      <c r="AG225" s="45">
        <v>34049.74</v>
      </c>
      <c r="AH225" s="45">
        <v>2124.0</v>
      </c>
      <c r="AI225" s="42">
        <v>7.75</v>
      </c>
      <c r="AJ225" s="45">
        <v>164504.0</v>
      </c>
      <c r="AK225" s="42">
        <v>45.0</v>
      </c>
      <c r="AL225" s="44">
        <v>44080.0</v>
      </c>
      <c r="AM225" s="44">
        <v>45906.0</v>
      </c>
      <c r="AN225" s="42">
        <v>60.0</v>
      </c>
      <c r="AO225" s="42">
        <v>3000.0</v>
      </c>
      <c r="AP225" s="42">
        <v>180000.0</v>
      </c>
      <c r="AQ225" s="44">
        <v>45900.0</v>
      </c>
      <c r="AR225" s="42">
        <v>16868.0</v>
      </c>
      <c r="AS225" s="42">
        <v>19268.0</v>
      </c>
      <c r="AT225" s="42">
        <v>2400.0</v>
      </c>
      <c r="AU225" s="42">
        <v>18798.0</v>
      </c>
      <c r="AV225" s="42">
        <v>2089.0</v>
      </c>
      <c r="AW225" s="45">
        <v>5238.38</v>
      </c>
      <c r="AX225" s="45">
        <v>1530.0</v>
      </c>
      <c r="AY225" s="45">
        <v>125.0</v>
      </c>
      <c r="AZ225" s="45">
        <v>291.0</v>
      </c>
      <c r="BA225" s="45">
        <v>1083.24</v>
      </c>
      <c r="BB225" s="45">
        <v>8267.62</v>
      </c>
      <c r="BC225" s="45">
        <v>1240.14</v>
      </c>
      <c r="BD225" s="45">
        <v>9507.76</v>
      </c>
      <c r="BE225" s="44">
        <v>45748.0</v>
      </c>
      <c r="BF225" s="44">
        <v>45838.0</v>
      </c>
      <c r="BG225" s="42">
        <v>14090.0</v>
      </c>
      <c r="BH225" s="42">
        <v>19268.0</v>
      </c>
      <c r="BI225" s="42">
        <v>5178.0</v>
      </c>
      <c r="BJ225" s="42">
        <v>9000.0</v>
      </c>
      <c r="BK225" s="42">
        <v>-3822.0</v>
      </c>
      <c r="BL225" s="45">
        <v>0.59</v>
      </c>
      <c r="BM225" s="45">
        <v>1.12</v>
      </c>
      <c r="BN225" s="45">
        <v>0.0</v>
      </c>
      <c r="BO225" s="45">
        <v>0.0</v>
      </c>
      <c r="BP225" s="45">
        <v>0.0</v>
      </c>
      <c r="BQ225" s="45">
        <v>-292.38</v>
      </c>
      <c r="BR225" s="45">
        <v>0.0</v>
      </c>
      <c r="BS225" s="45">
        <v>0.0</v>
      </c>
      <c r="BT225" s="45">
        <v>0.0</v>
      </c>
      <c r="BU225" s="45">
        <v>0.0</v>
      </c>
      <c r="BV225" s="45">
        <v>0.0</v>
      </c>
      <c r="BW225" s="45">
        <v>0.0</v>
      </c>
      <c r="BX225" s="45">
        <v>0.0</v>
      </c>
      <c r="BY225" s="45">
        <v>4167.48</v>
      </c>
      <c r="BZ225" s="42">
        <v>0.0</v>
      </c>
      <c r="CA225" s="45">
        <v>0.0</v>
      </c>
      <c r="CB225" s="42">
        <v>0.0</v>
      </c>
      <c r="CC225" s="45">
        <v>0.0</v>
      </c>
      <c r="CD225" s="45">
        <v>0.0</v>
      </c>
      <c r="CE225" s="45">
        <v>0.0</v>
      </c>
      <c r="CF225" s="45">
        <v>0.0</v>
      </c>
      <c r="CG225" s="45">
        <v>0.0</v>
      </c>
      <c r="CH225" s="45">
        <v>7266.16</v>
      </c>
      <c r="CI225" s="45">
        <v>947.76</v>
      </c>
      <c r="CJ225" s="45">
        <v>6318.4</v>
      </c>
      <c r="CK225" s="45">
        <v>2.63</v>
      </c>
      <c r="CL225" s="42">
        <v>0.0</v>
      </c>
      <c r="CM225" s="42">
        <v>0.0</v>
      </c>
      <c r="CN225" s="42">
        <v>0.0</v>
      </c>
      <c r="CO225" s="42">
        <v>100.0</v>
      </c>
      <c r="CP225" s="44"/>
      <c r="CQ225" s="42">
        <v>0.0</v>
      </c>
      <c r="CR225" s="42">
        <v>0.0</v>
      </c>
      <c r="CS225" s="42">
        <v>0.0</v>
      </c>
      <c r="CT225" s="42">
        <v>-10174.0</v>
      </c>
      <c r="CU225" s="44">
        <v>47391.0</v>
      </c>
      <c r="CV225" s="44">
        <v>47391.0</v>
      </c>
      <c r="CW225" s="42">
        <v>180470.0</v>
      </c>
      <c r="CX225" s="42" t="s">
        <v>122</v>
      </c>
      <c r="CY225" s="42" t="s">
        <v>123</v>
      </c>
      <c r="CZ225" s="45">
        <v>0.0</v>
      </c>
      <c r="DA225" s="45">
        <v>0.0</v>
      </c>
      <c r="DB225" s="45">
        <v>-5188.74</v>
      </c>
      <c r="DC225" s="45">
        <v>0.51</v>
      </c>
      <c r="DD225" s="45">
        <v>-1949.22</v>
      </c>
      <c r="DE225" s="45">
        <v>-2241.6</v>
      </c>
      <c r="DF225" s="42"/>
    </row>
    <row r="226" ht="13.5" customHeight="1">
      <c r="A226" s="42" t="s">
        <v>157</v>
      </c>
      <c r="B226" s="43">
        <v>44044.0</v>
      </c>
      <c r="C226" s="42" t="s">
        <v>124</v>
      </c>
      <c r="D226" s="42" t="s">
        <v>125</v>
      </c>
      <c r="E226" s="42" t="s">
        <v>126</v>
      </c>
      <c r="F226" s="42" t="s">
        <v>196</v>
      </c>
      <c r="G226" s="42" t="s">
        <v>140</v>
      </c>
      <c r="H226" s="42" t="s">
        <v>129</v>
      </c>
      <c r="I226" s="44">
        <v>44057.0</v>
      </c>
      <c r="J226" s="44">
        <v>44058.0</v>
      </c>
      <c r="K226" s="42">
        <f t="shared" si="1"/>
        <v>1</v>
      </c>
      <c r="L226" s="42">
        <v>1.0</v>
      </c>
      <c r="M226" s="42">
        <f t="shared" si="2"/>
        <v>0</v>
      </c>
      <c r="N226" s="44">
        <v>44071.0</v>
      </c>
      <c r="O226" s="44">
        <v>44104.0</v>
      </c>
      <c r="P226" s="42">
        <f t="shared" si="3"/>
        <v>33</v>
      </c>
      <c r="Q226" s="42">
        <v>90.0</v>
      </c>
      <c r="R226" s="42">
        <f t="shared" si="4"/>
        <v>-57</v>
      </c>
      <c r="S226" s="42" t="s">
        <v>659</v>
      </c>
      <c r="T226" s="42" t="s">
        <v>660</v>
      </c>
      <c r="U226" s="42" t="s">
        <v>117</v>
      </c>
      <c r="V226" s="42" t="s">
        <v>132</v>
      </c>
      <c r="W226" s="42" t="s">
        <v>133</v>
      </c>
      <c r="X226" s="42" t="s">
        <v>164</v>
      </c>
      <c r="Y226" s="42">
        <v>2024.0</v>
      </c>
      <c r="Z226" s="42" t="s">
        <v>135</v>
      </c>
      <c r="AA226" s="42">
        <v>2498.0</v>
      </c>
      <c r="AB226" s="42">
        <v>16.0</v>
      </c>
      <c r="AC226" s="42">
        <v>0.0</v>
      </c>
      <c r="AD226" s="45">
        <v>365565.22</v>
      </c>
      <c r="AE226" s="45">
        <v>68333.36</v>
      </c>
      <c r="AF226" s="46">
        <v>0.19</v>
      </c>
      <c r="AG226" s="45">
        <v>35132.07</v>
      </c>
      <c r="AH226" s="45">
        <v>2124.0</v>
      </c>
      <c r="AI226" s="42">
        <v>7.75</v>
      </c>
      <c r="AJ226" s="45">
        <v>164504.0</v>
      </c>
      <c r="AK226" s="42">
        <v>45.0</v>
      </c>
      <c r="AL226" s="44">
        <v>44104.0</v>
      </c>
      <c r="AM226" s="44">
        <v>45930.0</v>
      </c>
      <c r="AN226" s="42">
        <v>60.0</v>
      </c>
      <c r="AO226" s="42">
        <v>3000.0</v>
      </c>
      <c r="AP226" s="42">
        <v>180000.0</v>
      </c>
      <c r="AQ226" s="44">
        <v>45900.0</v>
      </c>
      <c r="AR226" s="42">
        <v>13663.0</v>
      </c>
      <c r="AS226" s="42">
        <v>16123.0</v>
      </c>
      <c r="AT226" s="42">
        <v>2460.0</v>
      </c>
      <c r="AU226" s="42">
        <v>15648.0</v>
      </c>
      <c r="AV226" s="42">
        <v>1739.0</v>
      </c>
      <c r="AW226" s="45">
        <v>5260.2</v>
      </c>
      <c r="AX226" s="45">
        <v>1560.0</v>
      </c>
      <c r="AY226" s="45">
        <v>125.0</v>
      </c>
      <c r="AZ226" s="45">
        <v>291.0</v>
      </c>
      <c r="BA226" s="45">
        <v>1083.24</v>
      </c>
      <c r="BB226" s="45">
        <v>8319.44</v>
      </c>
      <c r="BC226" s="45">
        <v>1247.92</v>
      </c>
      <c r="BD226" s="45">
        <v>9567.36</v>
      </c>
      <c r="BE226" s="44">
        <v>45748.0</v>
      </c>
      <c r="BF226" s="44">
        <v>45838.0</v>
      </c>
      <c r="BG226" s="42">
        <v>11392.0</v>
      </c>
      <c r="BH226" s="42">
        <v>16123.0</v>
      </c>
      <c r="BI226" s="42">
        <v>4731.0</v>
      </c>
      <c r="BJ226" s="42">
        <v>9000.0</v>
      </c>
      <c r="BK226" s="42">
        <v>-4269.0</v>
      </c>
      <c r="BL226" s="45">
        <v>0.6</v>
      </c>
      <c r="BM226" s="45">
        <v>1.12</v>
      </c>
      <c r="BN226" s="45">
        <v>0.0</v>
      </c>
      <c r="BO226" s="45">
        <v>0.0</v>
      </c>
      <c r="BP226" s="45">
        <v>0.0</v>
      </c>
      <c r="BQ226" s="45">
        <v>-332.98</v>
      </c>
      <c r="BR226" s="45">
        <v>0.0</v>
      </c>
      <c r="BS226" s="45">
        <v>0.0</v>
      </c>
      <c r="BT226" s="45">
        <v>0.0</v>
      </c>
      <c r="BU226" s="45">
        <v>0.0</v>
      </c>
      <c r="BV226" s="45">
        <v>0.0</v>
      </c>
      <c r="BW226" s="45">
        <v>0.0</v>
      </c>
      <c r="BX226" s="45">
        <v>0.0</v>
      </c>
      <c r="BY226" s="45">
        <v>3463.53</v>
      </c>
      <c r="BZ226" s="42">
        <v>0.0</v>
      </c>
      <c r="CA226" s="45">
        <v>0.0</v>
      </c>
      <c r="CB226" s="42">
        <v>0.0</v>
      </c>
      <c r="CC226" s="45">
        <v>0.0</v>
      </c>
      <c r="CD226" s="45">
        <v>0.0</v>
      </c>
      <c r="CE226" s="45">
        <v>0.0</v>
      </c>
      <c r="CF226" s="45">
        <v>0.0</v>
      </c>
      <c r="CG226" s="45">
        <v>0.0</v>
      </c>
      <c r="CH226" s="45">
        <v>7014.5</v>
      </c>
      <c r="CI226" s="45">
        <v>914.94</v>
      </c>
      <c r="CJ226" s="45">
        <v>6099.56</v>
      </c>
      <c r="CK226" s="45">
        <v>2.48</v>
      </c>
      <c r="CL226" s="42">
        <v>0.0</v>
      </c>
      <c r="CM226" s="42">
        <v>0.0</v>
      </c>
      <c r="CN226" s="42">
        <v>0.0</v>
      </c>
      <c r="CO226" s="42">
        <v>100.0</v>
      </c>
      <c r="CP226" s="44"/>
      <c r="CQ226" s="42">
        <v>0.0</v>
      </c>
      <c r="CR226" s="42">
        <v>0.0</v>
      </c>
      <c r="CS226" s="42">
        <v>0.0</v>
      </c>
      <c r="CT226" s="42">
        <v>-13324.0</v>
      </c>
      <c r="CU226" s="44">
        <v>47391.0</v>
      </c>
      <c r="CV226" s="44">
        <v>47391.0</v>
      </c>
      <c r="CW226" s="42">
        <v>180475.0</v>
      </c>
      <c r="CX226" s="42" t="s">
        <v>122</v>
      </c>
      <c r="CY226" s="42" t="s">
        <v>123</v>
      </c>
      <c r="CZ226" s="45">
        <v>3570.32</v>
      </c>
      <c r="DA226" s="45">
        <v>0.0</v>
      </c>
      <c r="DB226" s="45">
        <v>-10413.0</v>
      </c>
      <c r="DC226" s="45">
        <v>0.52</v>
      </c>
      <c r="DD226" s="45">
        <v>-2219.88</v>
      </c>
      <c r="DE226" s="45">
        <v>-2552.86</v>
      </c>
      <c r="DF226" s="42"/>
    </row>
    <row r="227" ht="13.5" customHeight="1">
      <c r="A227" s="42" t="s">
        <v>175</v>
      </c>
      <c r="B227" s="43">
        <v>44044.0</v>
      </c>
      <c r="C227" s="42" t="s">
        <v>109</v>
      </c>
      <c r="D227" s="42" t="s">
        <v>137</v>
      </c>
      <c r="E227" s="42" t="s">
        <v>138</v>
      </c>
      <c r="F227" s="42" t="s">
        <v>196</v>
      </c>
      <c r="G227" s="42" t="s">
        <v>140</v>
      </c>
      <c r="H227" s="42" t="s">
        <v>141</v>
      </c>
      <c r="I227" s="44">
        <v>44058.0</v>
      </c>
      <c r="J227" s="44">
        <v>44059.0</v>
      </c>
      <c r="K227" s="42">
        <f t="shared" si="1"/>
        <v>1</v>
      </c>
      <c r="L227" s="42">
        <v>1.0</v>
      </c>
      <c r="M227" s="42">
        <f t="shared" si="2"/>
        <v>0</v>
      </c>
      <c r="N227" s="44">
        <v>44071.0</v>
      </c>
      <c r="O227" s="44">
        <v>44105.0</v>
      </c>
      <c r="P227" s="42">
        <f t="shared" si="3"/>
        <v>34</v>
      </c>
      <c r="Q227" s="42">
        <v>90.0</v>
      </c>
      <c r="R227" s="42">
        <f t="shared" si="4"/>
        <v>-56</v>
      </c>
      <c r="S227" s="42" t="s">
        <v>661</v>
      </c>
      <c r="T227" s="42" t="s">
        <v>662</v>
      </c>
      <c r="U227" s="42" t="s">
        <v>117</v>
      </c>
      <c r="V227" s="42" t="s">
        <v>132</v>
      </c>
      <c r="W227" s="42" t="s">
        <v>133</v>
      </c>
      <c r="X227" s="42" t="s">
        <v>164</v>
      </c>
      <c r="Y227" s="42">
        <v>2024.0</v>
      </c>
      <c r="Z227" s="42" t="s">
        <v>135</v>
      </c>
      <c r="AA227" s="42">
        <v>2498.0</v>
      </c>
      <c r="AB227" s="42">
        <v>16.0</v>
      </c>
      <c r="AC227" s="42">
        <v>0.0</v>
      </c>
      <c r="AD227" s="45">
        <v>365565.22</v>
      </c>
      <c r="AE227" s="45">
        <v>68333.36</v>
      </c>
      <c r="AF227" s="46">
        <v>0.19</v>
      </c>
      <c r="AG227" s="45">
        <v>34101.94</v>
      </c>
      <c r="AH227" s="45">
        <v>2124.0</v>
      </c>
      <c r="AI227" s="42">
        <v>7.75</v>
      </c>
      <c r="AJ227" s="45">
        <v>164504.0</v>
      </c>
      <c r="AK227" s="42">
        <v>45.0</v>
      </c>
      <c r="AL227" s="44">
        <v>44105.0</v>
      </c>
      <c r="AM227" s="44">
        <v>45931.0</v>
      </c>
      <c r="AN227" s="42">
        <v>60.0</v>
      </c>
      <c r="AO227" s="42">
        <v>2300.0</v>
      </c>
      <c r="AP227" s="42">
        <v>138000.0</v>
      </c>
      <c r="AQ227" s="44">
        <v>45900.0</v>
      </c>
      <c r="AR227" s="42">
        <v>16195.0</v>
      </c>
      <c r="AS227" s="42">
        <v>18134.0</v>
      </c>
      <c r="AT227" s="42">
        <v>1939.0</v>
      </c>
      <c r="AU227" s="42">
        <v>17663.0</v>
      </c>
      <c r="AV227" s="42">
        <v>1963.0</v>
      </c>
      <c r="AW227" s="45">
        <v>5239.43</v>
      </c>
      <c r="AX227" s="45">
        <v>1426.0</v>
      </c>
      <c r="AY227" s="45">
        <v>125.0</v>
      </c>
      <c r="AZ227" s="45">
        <v>291.0</v>
      </c>
      <c r="BA227" s="45">
        <v>1083.24</v>
      </c>
      <c r="BB227" s="45">
        <v>8164.67</v>
      </c>
      <c r="BC227" s="45">
        <v>1224.7</v>
      </c>
      <c r="BD227" s="45">
        <v>9389.37</v>
      </c>
      <c r="BE227" s="44">
        <v>45748.0</v>
      </c>
      <c r="BF227" s="44">
        <v>45838.0</v>
      </c>
      <c r="BG227" s="42">
        <v>13296.0</v>
      </c>
      <c r="BH227" s="42">
        <v>18134.0</v>
      </c>
      <c r="BI227" s="42">
        <v>4838.0</v>
      </c>
      <c r="BJ227" s="42">
        <v>6900.0</v>
      </c>
      <c r="BK227" s="42">
        <v>-2062.0</v>
      </c>
      <c r="BL227" s="45">
        <v>0.71</v>
      </c>
      <c r="BM227" s="45">
        <v>1.46</v>
      </c>
      <c r="BN227" s="45">
        <v>0.0</v>
      </c>
      <c r="BO227" s="45">
        <v>0.0</v>
      </c>
      <c r="BP227" s="45">
        <v>0.0</v>
      </c>
      <c r="BQ227" s="45">
        <v>-191.77</v>
      </c>
      <c r="BR227" s="45">
        <v>0.0</v>
      </c>
      <c r="BS227" s="45">
        <v>0.0</v>
      </c>
      <c r="BT227" s="45">
        <v>0.0</v>
      </c>
      <c r="BU227" s="45">
        <v>0.0</v>
      </c>
      <c r="BV227" s="45">
        <v>0.0</v>
      </c>
      <c r="BW227" s="45">
        <v>0.0</v>
      </c>
      <c r="BX227" s="45">
        <v>0.0</v>
      </c>
      <c r="BY227" s="45">
        <v>4556.19</v>
      </c>
      <c r="BZ227" s="42">
        <v>0.0</v>
      </c>
      <c r="CA227" s="45">
        <v>0.0</v>
      </c>
      <c r="CB227" s="42">
        <v>0.0</v>
      </c>
      <c r="CC227" s="45">
        <v>0.0</v>
      </c>
      <c r="CD227" s="45">
        <v>0.0</v>
      </c>
      <c r="CE227" s="45">
        <v>0.0</v>
      </c>
      <c r="CF227" s="45">
        <v>0.0</v>
      </c>
      <c r="CG227" s="45">
        <v>0.0</v>
      </c>
      <c r="CH227" s="45">
        <v>7919.16</v>
      </c>
      <c r="CI227" s="45">
        <v>1032.93</v>
      </c>
      <c r="CJ227" s="45">
        <v>6886.23</v>
      </c>
      <c r="CK227" s="45">
        <v>3.55</v>
      </c>
      <c r="CL227" s="42">
        <v>0.0</v>
      </c>
      <c r="CM227" s="42">
        <v>0.0</v>
      </c>
      <c r="CN227" s="42">
        <v>0.0</v>
      </c>
      <c r="CO227" s="42">
        <v>100.0</v>
      </c>
      <c r="CP227" s="44"/>
      <c r="CQ227" s="42">
        <v>0.0</v>
      </c>
      <c r="CR227" s="42">
        <v>0.0</v>
      </c>
      <c r="CS227" s="42">
        <v>0.0</v>
      </c>
      <c r="CT227" s="42">
        <v>-4549.0</v>
      </c>
      <c r="CU227" s="44">
        <v>47391.0</v>
      </c>
      <c r="CV227" s="44">
        <v>47391.0</v>
      </c>
      <c r="CW227" s="42">
        <v>138471.0</v>
      </c>
      <c r="CX227" s="42" t="s">
        <v>122</v>
      </c>
      <c r="CY227" s="42" t="s">
        <v>123</v>
      </c>
      <c r="CZ227" s="45">
        <v>507.16</v>
      </c>
      <c r="DA227" s="45">
        <v>0.0</v>
      </c>
      <c r="DB227" s="45">
        <v>-3326.3</v>
      </c>
      <c r="DC227" s="45">
        <v>0.62</v>
      </c>
      <c r="DD227" s="45">
        <v>-1278.44</v>
      </c>
      <c r="DE227" s="45">
        <v>-1470.21</v>
      </c>
      <c r="DF227" s="42"/>
    </row>
    <row r="228" ht="13.5" customHeight="1">
      <c r="A228" s="42" t="s">
        <v>175</v>
      </c>
      <c r="B228" s="43">
        <v>44044.0</v>
      </c>
      <c r="C228" s="42" t="s">
        <v>124</v>
      </c>
      <c r="D228" s="42" t="s">
        <v>110</v>
      </c>
      <c r="E228" s="42" t="s">
        <v>111</v>
      </c>
      <c r="F228" s="42" t="s">
        <v>196</v>
      </c>
      <c r="G228" s="42" t="s">
        <v>140</v>
      </c>
      <c r="H228" s="42" t="s">
        <v>114</v>
      </c>
      <c r="I228" s="44">
        <v>44059.0</v>
      </c>
      <c r="J228" s="44">
        <v>44060.0</v>
      </c>
      <c r="K228" s="42">
        <f t="shared" si="1"/>
        <v>1</v>
      </c>
      <c r="L228" s="42">
        <v>1.0</v>
      </c>
      <c r="M228" s="42">
        <f t="shared" si="2"/>
        <v>0</v>
      </c>
      <c r="N228" s="44">
        <v>44073.0</v>
      </c>
      <c r="O228" s="44">
        <v>44167.0</v>
      </c>
      <c r="P228" s="42">
        <f t="shared" si="3"/>
        <v>94</v>
      </c>
      <c r="Q228" s="42">
        <v>90.0</v>
      </c>
      <c r="R228" s="42">
        <f t="shared" si="4"/>
        <v>4</v>
      </c>
      <c r="S228" s="42" t="s">
        <v>663</v>
      </c>
      <c r="T228" s="42" t="s">
        <v>664</v>
      </c>
      <c r="U228" s="42" t="s">
        <v>117</v>
      </c>
      <c r="V228" s="42" t="s">
        <v>132</v>
      </c>
      <c r="W228" s="42" t="s">
        <v>133</v>
      </c>
      <c r="X228" s="42" t="s">
        <v>164</v>
      </c>
      <c r="Y228" s="42">
        <v>2024.0</v>
      </c>
      <c r="Z228" s="42" t="s">
        <v>135</v>
      </c>
      <c r="AA228" s="42">
        <v>2498.0</v>
      </c>
      <c r="AB228" s="42">
        <v>16.0</v>
      </c>
      <c r="AC228" s="42">
        <v>0.0</v>
      </c>
      <c r="AD228" s="45">
        <v>365565.22</v>
      </c>
      <c r="AE228" s="45">
        <v>68333.36</v>
      </c>
      <c r="AF228" s="46">
        <v>0.19</v>
      </c>
      <c r="AG228" s="45">
        <v>34996.04</v>
      </c>
      <c r="AH228" s="45">
        <v>2124.0</v>
      </c>
      <c r="AI228" s="42">
        <v>7.75</v>
      </c>
      <c r="AJ228" s="45">
        <v>164504.0</v>
      </c>
      <c r="AK228" s="42">
        <v>45.0</v>
      </c>
      <c r="AL228" s="44">
        <v>44167.0</v>
      </c>
      <c r="AM228" s="44">
        <v>45993.0</v>
      </c>
      <c r="AN228" s="42">
        <v>60.0</v>
      </c>
      <c r="AO228" s="42">
        <v>3000.0</v>
      </c>
      <c r="AP228" s="42">
        <v>180000.0</v>
      </c>
      <c r="AQ228" s="44">
        <v>45900.0</v>
      </c>
      <c r="AR228" s="42">
        <v>19050.0</v>
      </c>
      <c r="AS228" s="42">
        <v>21978.0</v>
      </c>
      <c r="AT228" s="42">
        <v>2928.0</v>
      </c>
      <c r="AU228" s="42">
        <v>21510.0</v>
      </c>
      <c r="AV228" s="42">
        <v>2390.0</v>
      </c>
      <c r="AW228" s="45">
        <v>5257.46</v>
      </c>
      <c r="AX228" s="45">
        <v>1560.0</v>
      </c>
      <c r="AY228" s="45">
        <v>125.0</v>
      </c>
      <c r="AZ228" s="45">
        <v>291.0</v>
      </c>
      <c r="BA228" s="45">
        <v>1083.24</v>
      </c>
      <c r="BB228" s="45">
        <v>8316.7</v>
      </c>
      <c r="BC228" s="45">
        <v>1247.51</v>
      </c>
      <c r="BD228" s="45">
        <v>9564.21</v>
      </c>
      <c r="BE228" s="44">
        <v>45748.0</v>
      </c>
      <c r="BF228" s="44">
        <v>45838.0</v>
      </c>
      <c r="BG228" s="42">
        <v>14335.0</v>
      </c>
      <c r="BH228" s="42">
        <v>21978.0</v>
      </c>
      <c r="BI228" s="42">
        <v>7643.0</v>
      </c>
      <c r="BJ228" s="42">
        <v>9000.0</v>
      </c>
      <c r="BK228" s="42">
        <v>-1357.0</v>
      </c>
      <c r="BL228" s="45">
        <v>0.6</v>
      </c>
      <c r="BM228" s="45">
        <v>1.12</v>
      </c>
      <c r="BN228" s="45">
        <v>0.0</v>
      </c>
      <c r="BO228" s="45">
        <v>0.0</v>
      </c>
      <c r="BP228" s="45">
        <v>0.0</v>
      </c>
      <c r="BQ228" s="45">
        <v>-105.85</v>
      </c>
      <c r="BR228" s="45">
        <v>0.0</v>
      </c>
      <c r="BS228" s="45">
        <v>0.0</v>
      </c>
      <c r="BT228" s="45">
        <v>0.0</v>
      </c>
      <c r="BU228" s="45">
        <v>0.0</v>
      </c>
      <c r="BV228" s="45">
        <v>0.0</v>
      </c>
      <c r="BW228" s="45">
        <v>0.0</v>
      </c>
      <c r="BX228" s="45">
        <v>0.0</v>
      </c>
      <c r="BY228" s="45">
        <v>6449.35</v>
      </c>
      <c r="BZ228" s="42">
        <v>0.0</v>
      </c>
      <c r="CA228" s="45">
        <v>0.0</v>
      </c>
      <c r="CB228" s="42">
        <v>0.0</v>
      </c>
      <c r="CC228" s="45">
        <v>0.0</v>
      </c>
      <c r="CD228" s="45">
        <v>0.0</v>
      </c>
      <c r="CE228" s="45">
        <v>0.0</v>
      </c>
      <c r="CF228" s="45">
        <v>0.0</v>
      </c>
      <c r="CG228" s="45">
        <v>0.0</v>
      </c>
      <c r="CH228" s="45">
        <v>8752.72</v>
      </c>
      <c r="CI228" s="45">
        <v>1141.66</v>
      </c>
      <c r="CJ228" s="45">
        <v>7611.06</v>
      </c>
      <c r="CK228" s="45">
        <v>2.6</v>
      </c>
      <c r="CL228" s="42">
        <v>0.0</v>
      </c>
      <c r="CM228" s="42">
        <v>0.0</v>
      </c>
      <c r="CN228" s="42">
        <v>0.0</v>
      </c>
      <c r="CO228" s="42">
        <v>100.0</v>
      </c>
      <c r="CP228" s="44"/>
      <c r="CQ228" s="42">
        <v>0.0</v>
      </c>
      <c r="CR228" s="42">
        <v>0.0</v>
      </c>
      <c r="CS228" s="42">
        <v>0.0</v>
      </c>
      <c r="CT228" s="42">
        <v>-7462.0</v>
      </c>
      <c r="CU228" s="44">
        <v>47391.0</v>
      </c>
      <c r="CV228" s="44">
        <v>47391.0</v>
      </c>
      <c r="CW228" s="42">
        <v>180468.0</v>
      </c>
      <c r="CX228" s="42" t="s">
        <v>122</v>
      </c>
      <c r="CY228" s="42" t="s">
        <v>123</v>
      </c>
      <c r="CZ228" s="45">
        <v>0.0</v>
      </c>
      <c r="DA228" s="45">
        <v>0.0</v>
      </c>
      <c r="DB228" s="45">
        <v>-3868.28</v>
      </c>
      <c r="DC228" s="45">
        <v>0.52</v>
      </c>
      <c r="DD228" s="45">
        <v>-705.64</v>
      </c>
      <c r="DE228" s="45">
        <v>-811.49</v>
      </c>
      <c r="DF228" s="42"/>
    </row>
    <row r="229" ht="13.5" customHeight="1">
      <c r="A229" s="42" t="s">
        <v>175</v>
      </c>
      <c r="B229" s="43">
        <v>44044.0</v>
      </c>
      <c r="C229" s="42" t="s">
        <v>136</v>
      </c>
      <c r="D229" s="42" t="s">
        <v>125</v>
      </c>
      <c r="E229" s="42" t="s">
        <v>126</v>
      </c>
      <c r="F229" s="42" t="s">
        <v>196</v>
      </c>
      <c r="G229" s="42" t="s">
        <v>140</v>
      </c>
      <c r="H229" s="42" t="s">
        <v>129</v>
      </c>
      <c r="I229" s="44">
        <v>44060.0</v>
      </c>
      <c r="J229" s="44">
        <v>44061.0</v>
      </c>
      <c r="K229" s="42">
        <f t="shared" si="1"/>
        <v>1</v>
      </c>
      <c r="L229" s="42">
        <v>1.0</v>
      </c>
      <c r="M229" s="42">
        <f t="shared" si="2"/>
        <v>0</v>
      </c>
      <c r="N229" s="44">
        <v>44074.0</v>
      </c>
      <c r="O229" s="44">
        <v>44107.0</v>
      </c>
      <c r="P229" s="42">
        <f t="shared" si="3"/>
        <v>33</v>
      </c>
      <c r="Q229" s="42">
        <v>90.0</v>
      </c>
      <c r="R229" s="42">
        <f t="shared" si="4"/>
        <v>-57</v>
      </c>
      <c r="S229" s="42" t="s">
        <v>665</v>
      </c>
      <c r="T229" s="42" t="s">
        <v>666</v>
      </c>
      <c r="U229" s="42" t="s">
        <v>117</v>
      </c>
      <c r="V229" s="42" t="s">
        <v>132</v>
      </c>
      <c r="W229" s="42" t="s">
        <v>133</v>
      </c>
      <c r="X229" s="42" t="s">
        <v>164</v>
      </c>
      <c r="Y229" s="42">
        <v>2024.0</v>
      </c>
      <c r="Z229" s="42" t="s">
        <v>135</v>
      </c>
      <c r="AA229" s="42">
        <v>2498.0</v>
      </c>
      <c r="AB229" s="42">
        <v>16.0</v>
      </c>
      <c r="AC229" s="42">
        <v>0.0</v>
      </c>
      <c r="AD229" s="45">
        <v>365565.22</v>
      </c>
      <c r="AE229" s="45">
        <v>68333.36</v>
      </c>
      <c r="AF229" s="46">
        <v>0.19</v>
      </c>
      <c r="AG229" s="45">
        <v>35167.32</v>
      </c>
      <c r="AH229" s="45">
        <v>2124.0</v>
      </c>
      <c r="AI229" s="42">
        <v>7.75</v>
      </c>
      <c r="AJ229" s="45">
        <v>164504.0</v>
      </c>
      <c r="AK229" s="42">
        <v>45.0</v>
      </c>
      <c r="AL229" s="44">
        <v>44107.0</v>
      </c>
      <c r="AM229" s="44">
        <v>45933.0</v>
      </c>
      <c r="AN229" s="42">
        <v>60.0</v>
      </c>
      <c r="AO229" s="42">
        <v>2300.0</v>
      </c>
      <c r="AP229" s="42">
        <v>138000.0</v>
      </c>
      <c r="AQ229" s="44">
        <v>45900.0</v>
      </c>
      <c r="AR229" s="42">
        <v>16679.0</v>
      </c>
      <c r="AS229" s="42">
        <v>18772.0</v>
      </c>
      <c r="AT229" s="42">
        <v>2093.0</v>
      </c>
      <c r="AU229" s="42">
        <v>18298.0</v>
      </c>
      <c r="AV229" s="42">
        <v>2033.0</v>
      </c>
      <c r="AW229" s="45">
        <v>5260.91</v>
      </c>
      <c r="AX229" s="45">
        <v>1426.0</v>
      </c>
      <c r="AY229" s="45">
        <v>125.0</v>
      </c>
      <c r="AZ229" s="45">
        <v>291.0</v>
      </c>
      <c r="BA229" s="45">
        <v>1083.24</v>
      </c>
      <c r="BB229" s="45">
        <v>8186.15</v>
      </c>
      <c r="BC229" s="45">
        <v>1227.92</v>
      </c>
      <c r="BD229" s="45">
        <v>9414.07</v>
      </c>
      <c r="BE229" s="44">
        <v>45748.0</v>
      </c>
      <c r="BF229" s="44">
        <v>45838.0</v>
      </c>
      <c r="BG229" s="42">
        <v>12359.0</v>
      </c>
      <c r="BH229" s="42">
        <v>18772.0</v>
      </c>
      <c r="BI229" s="42">
        <v>6413.0</v>
      </c>
      <c r="BJ229" s="42">
        <v>6900.0</v>
      </c>
      <c r="BK229" s="42">
        <v>-487.0</v>
      </c>
      <c r="BL229" s="45">
        <v>0.71</v>
      </c>
      <c r="BM229" s="45">
        <v>1.46</v>
      </c>
      <c r="BN229" s="45">
        <v>0.0</v>
      </c>
      <c r="BO229" s="45">
        <v>0.0</v>
      </c>
      <c r="BP229" s="45">
        <v>0.0</v>
      </c>
      <c r="BQ229" s="45">
        <v>-45.29</v>
      </c>
      <c r="BR229" s="45">
        <v>0.0</v>
      </c>
      <c r="BS229" s="45">
        <v>0.0</v>
      </c>
      <c r="BT229" s="45">
        <v>0.0</v>
      </c>
      <c r="BU229" s="45">
        <v>0.0</v>
      </c>
      <c r="BV229" s="45">
        <v>0.0</v>
      </c>
      <c r="BW229" s="45">
        <v>0.0</v>
      </c>
      <c r="BX229" s="45">
        <v>0.0</v>
      </c>
      <c r="BY229" s="45">
        <v>2581.71</v>
      </c>
      <c r="BZ229" s="42">
        <v>0.0</v>
      </c>
      <c r="CA229" s="45">
        <v>0.0</v>
      </c>
      <c r="CB229" s="42">
        <v>0.0</v>
      </c>
      <c r="CC229" s="45">
        <v>0.0</v>
      </c>
      <c r="CD229" s="45">
        <v>0.0</v>
      </c>
      <c r="CE229" s="45">
        <v>0.0</v>
      </c>
      <c r="CF229" s="45">
        <v>0.0</v>
      </c>
      <c r="CG229" s="45">
        <v>0.0</v>
      </c>
      <c r="CH229" s="45">
        <v>9066.84</v>
      </c>
      <c r="CI229" s="45">
        <v>1182.63</v>
      </c>
      <c r="CJ229" s="45">
        <v>7884.21</v>
      </c>
      <c r="CK229" s="45">
        <v>3.77</v>
      </c>
      <c r="CL229" s="42">
        <v>0.0</v>
      </c>
      <c r="CM229" s="42">
        <v>0.0</v>
      </c>
      <c r="CN229" s="42">
        <v>0.0</v>
      </c>
      <c r="CO229" s="42">
        <v>100.0</v>
      </c>
      <c r="CP229" s="44"/>
      <c r="CQ229" s="42">
        <v>0.0</v>
      </c>
      <c r="CR229" s="42">
        <v>0.0</v>
      </c>
      <c r="CS229" s="42">
        <v>0.0</v>
      </c>
      <c r="CT229" s="42">
        <v>-3914.0</v>
      </c>
      <c r="CU229" s="44">
        <v>47391.0</v>
      </c>
      <c r="CV229" s="44">
        <v>47391.0</v>
      </c>
      <c r="CW229" s="42">
        <v>138474.0</v>
      </c>
      <c r="CX229" s="42" t="s">
        <v>122</v>
      </c>
      <c r="CY229" s="42" t="s">
        <v>123</v>
      </c>
      <c r="CZ229" s="45">
        <v>0.0</v>
      </c>
      <c r="DA229" s="45">
        <v>0.0</v>
      </c>
      <c r="DB229" s="45">
        <v>-2272.92</v>
      </c>
      <c r="DC229" s="45">
        <v>0.62</v>
      </c>
      <c r="DD229" s="45">
        <v>-301.94</v>
      </c>
      <c r="DE229" s="45">
        <v>-347.23</v>
      </c>
      <c r="DF229" s="42"/>
    </row>
    <row r="230" ht="13.5" customHeight="1">
      <c r="A230" s="42" t="s">
        <v>175</v>
      </c>
      <c r="B230" s="43">
        <v>44044.0</v>
      </c>
      <c r="C230" s="42" t="s">
        <v>109</v>
      </c>
      <c r="D230" s="42" t="s">
        <v>137</v>
      </c>
      <c r="E230" s="42" t="s">
        <v>138</v>
      </c>
      <c r="F230" s="42" t="s">
        <v>196</v>
      </c>
      <c r="G230" s="42" t="s">
        <v>140</v>
      </c>
      <c r="H230" s="42" t="s">
        <v>141</v>
      </c>
      <c r="I230" s="44">
        <v>44061.0</v>
      </c>
      <c r="J230" s="44">
        <v>44072.0</v>
      </c>
      <c r="K230" s="42">
        <f t="shared" si="1"/>
        <v>11</v>
      </c>
      <c r="L230" s="42">
        <v>1.0</v>
      </c>
      <c r="M230" s="42">
        <f t="shared" si="2"/>
        <v>10</v>
      </c>
      <c r="N230" s="44">
        <v>44044.0</v>
      </c>
      <c r="O230" s="44">
        <v>44108.0</v>
      </c>
      <c r="P230" s="42">
        <f t="shared" si="3"/>
        <v>64</v>
      </c>
      <c r="Q230" s="42">
        <v>90.0</v>
      </c>
      <c r="R230" s="42">
        <f t="shared" si="4"/>
        <v>-26</v>
      </c>
      <c r="S230" s="42" t="s">
        <v>667</v>
      </c>
      <c r="T230" s="42" t="s">
        <v>668</v>
      </c>
      <c r="U230" s="42" t="s">
        <v>117</v>
      </c>
      <c r="V230" s="42" t="s">
        <v>132</v>
      </c>
      <c r="W230" s="42" t="s">
        <v>133</v>
      </c>
      <c r="X230" s="42" t="s">
        <v>164</v>
      </c>
      <c r="Y230" s="42">
        <v>2024.0</v>
      </c>
      <c r="Z230" s="42" t="s">
        <v>135</v>
      </c>
      <c r="AA230" s="42">
        <v>2498.0</v>
      </c>
      <c r="AB230" s="42">
        <v>16.0</v>
      </c>
      <c r="AC230" s="42">
        <v>0.0</v>
      </c>
      <c r="AD230" s="45">
        <v>365565.22</v>
      </c>
      <c r="AE230" s="45">
        <v>68333.36</v>
      </c>
      <c r="AF230" s="46">
        <v>0.19</v>
      </c>
      <c r="AG230" s="45">
        <v>35191.24</v>
      </c>
      <c r="AH230" s="45">
        <v>2124.0</v>
      </c>
      <c r="AI230" s="42">
        <v>7.75</v>
      </c>
      <c r="AJ230" s="45">
        <v>164504.0</v>
      </c>
      <c r="AK230" s="42">
        <v>45.0</v>
      </c>
      <c r="AL230" s="44">
        <v>44108.0</v>
      </c>
      <c r="AM230" s="44">
        <v>45934.0</v>
      </c>
      <c r="AN230" s="42">
        <v>60.0</v>
      </c>
      <c r="AO230" s="42">
        <v>3000.0</v>
      </c>
      <c r="AP230" s="42">
        <v>180000.0</v>
      </c>
      <c r="AQ230" s="44">
        <v>45900.0</v>
      </c>
      <c r="AR230" s="42">
        <v>13573.0</v>
      </c>
      <c r="AS230" s="42">
        <v>16919.0</v>
      </c>
      <c r="AT230" s="42">
        <v>3346.0</v>
      </c>
      <c r="AU230" s="42">
        <v>16441.0</v>
      </c>
      <c r="AV230" s="42">
        <v>1827.0</v>
      </c>
      <c r="AW230" s="45">
        <v>5261.4</v>
      </c>
      <c r="AX230" s="45">
        <v>1560.0</v>
      </c>
      <c r="AY230" s="45">
        <v>125.0</v>
      </c>
      <c r="AZ230" s="45">
        <v>291.0</v>
      </c>
      <c r="BA230" s="45">
        <v>1083.24</v>
      </c>
      <c r="BB230" s="45">
        <v>8320.64</v>
      </c>
      <c r="BC230" s="45">
        <v>1248.1</v>
      </c>
      <c r="BD230" s="45">
        <v>9568.74</v>
      </c>
      <c r="BE230" s="44">
        <v>45748.0</v>
      </c>
      <c r="BF230" s="44">
        <v>45838.0</v>
      </c>
      <c r="BG230" s="42">
        <v>12176.0</v>
      </c>
      <c r="BH230" s="42">
        <v>16919.0</v>
      </c>
      <c r="BI230" s="42">
        <v>4743.0</v>
      </c>
      <c r="BJ230" s="42">
        <v>9000.0</v>
      </c>
      <c r="BK230" s="42">
        <v>-4257.0</v>
      </c>
      <c r="BL230" s="45">
        <v>0.6</v>
      </c>
      <c r="BM230" s="45">
        <v>1.12</v>
      </c>
      <c r="BN230" s="45">
        <v>0.0</v>
      </c>
      <c r="BO230" s="45">
        <v>0.0</v>
      </c>
      <c r="BP230" s="45">
        <v>0.0</v>
      </c>
      <c r="BQ230" s="45">
        <v>-332.05</v>
      </c>
      <c r="BR230" s="45">
        <v>0.0</v>
      </c>
      <c r="BS230" s="45">
        <v>0.0</v>
      </c>
      <c r="BT230" s="45">
        <v>0.0</v>
      </c>
      <c r="BU230" s="45">
        <v>0.0</v>
      </c>
      <c r="BV230" s="45">
        <v>0.0</v>
      </c>
      <c r="BW230" s="45">
        <v>0.0</v>
      </c>
      <c r="BX230" s="45">
        <v>0.0</v>
      </c>
      <c r="BY230" s="45">
        <v>5351.53</v>
      </c>
      <c r="BZ230" s="42">
        <v>0.0</v>
      </c>
      <c r="CA230" s="45">
        <v>0.0</v>
      </c>
      <c r="CB230" s="42">
        <v>0.0</v>
      </c>
      <c r="CC230" s="45">
        <v>0.0</v>
      </c>
      <c r="CD230" s="45">
        <v>0.0</v>
      </c>
      <c r="CE230" s="45">
        <v>0.0</v>
      </c>
      <c r="CF230" s="45">
        <v>0.0</v>
      </c>
      <c r="CG230" s="45">
        <v>0.0</v>
      </c>
      <c r="CH230" s="45">
        <v>7023.05</v>
      </c>
      <c r="CI230" s="45">
        <v>916.05</v>
      </c>
      <c r="CJ230" s="45">
        <v>6107.0</v>
      </c>
      <c r="CK230" s="45">
        <v>1.83</v>
      </c>
      <c r="CL230" s="42">
        <v>0.0</v>
      </c>
      <c r="CM230" s="42">
        <v>0.0</v>
      </c>
      <c r="CN230" s="42">
        <v>0.0</v>
      </c>
      <c r="CO230" s="42">
        <v>100.0</v>
      </c>
      <c r="CP230" s="44"/>
      <c r="CQ230" s="42">
        <v>0.0</v>
      </c>
      <c r="CR230" s="42">
        <v>0.0</v>
      </c>
      <c r="CS230" s="42">
        <v>0.0</v>
      </c>
      <c r="CT230" s="42">
        <v>-12531.0</v>
      </c>
      <c r="CU230" s="44">
        <v>47391.0</v>
      </c>
      <c r="CV230" s="44">
        <v>47391.0</v>
      </c>
      <c r="CW230" s="42">
        <v>180478.0</v>
      </c>
      <c r="CX230" s="42" t="s">
        <v>122</v>
      </c>
      <c r="CY230" s="42" t="s">
        <v>123</v>
      </c>
      <c r="CZ230" s="45">
        <v>0.0</v>
      </c>
      <c r="DA230" s="45">
        <v>0.0</v>
      </c>
      <c r="DB230" s="45">
        <v>-6378.84</v>
      </c>
      <c r="DC230" s="45">
        <v>0.52</v>
      </c>
      <c r="DD230" s="45">
        <v>-2213.64</v>
      </c>
      <c r="DE230" s="45">
        <v>-2545.69</v>
      </c>
      <c r="DF230" s="42"/>
    </row>
    <row r="231" ht="13.5" customHeight="1">
      <c r="A231" s="42" t="s">
        <v>175</v>
      </c>
      <c r="B231" s="43">
        <v>44044.0</v>
      </c>
      <c r="C231" s="42" t="s">
        <v>124</v>
      </c>
      <c r="D231" s="42" t="s">
        <v>110</v>
      </c>
      <c r="E231" s="42" t="s">
        <v>111</v>
      </c>
      <c r="F231" s="42" t="s">
        <v>176</v>
      </c>
      <c r="G231" s="42" t="s">
        <v>140</v>
      </c>
      <c r="H231" s="42" t="s">
        <v>114</v>
      </c>
      <c r="I231" s="44">
        <v>44062.0</v>
      </c>
      <c r="J231" s="44">
        <v>44063.0</v>
      </c>
      <c r="K231" s="42">
        <f t="shared" si="1"/>
        <v>1</v>
      </c>
      <c r="L231" s="42">
        <v>1.0</v>
      </c>
      <c r="M231" s="42">
        <f t="shared" si="2"/>
        <v>0</v>
      </c>
      <c r="N231" s="44">
        <v>44045.0</v>
      </c>
      <c r="O231" s="44">
        <v>44109.0</v>
      </c>
      <c r="P231" s="42">
        <f t="shared" si="3"/>
        <v>64</v>
      </c>
      <c r="Q231" s="42">
        <v>90.0</v>
      </c>
      <c r="R231" s="42">
        <f t="shared" si="4"/>
        <v>-26</v>
      </c>
      <c r="S231" s="42" t="s">
        <v>669</v>
      </c>
      <c r="T231" s="42" t="s">
        <v>670</v>
      </c>
      <c r="U231" s="42" t="s">
        <v>117</v>
      </c>
      <c r="V231" s="42" t="s">
        <v>147</v>
      </c>
      <c r="W231" s="42" t="s">
        <v>133</v>
      </c>
      <c r="X231" s="42" t="s">
        <v>168</v>
      </c>
      <c r="Y231" s="42">
        <v>2024.0</v>
      </c>
      <c r="Z231" s="42" t="s">
        <v>135</v>
      </c>
      <c r="AA231" s="42">
        <v>2498.0</v>
      </c>
      <c r="AB231" s="42">
        <v>16.0</v>
      </c>
      <c r="AC231" s="42">
        <v>1.0</v>
      </c>
      <c r="AD231" s="45">
        <v>460956.52</v>
      </c>
      <c r="AE231" s="45">
        <v>86959.0</v>
      </c>
      <c r="AF231" s="46">
        <v>0.19</v>
      </c>
      <c r="AG231" s="45">
        <v>13596.63</v>
      </c>
      <c r="AH231" s="45">
        <v>2345.0</v>
      </c>
      <c r="AI231" s="42">
        <v>7.75</v>
      </c>
      <c r="AJ231" s="45">
        <v>193602.0</v>
      </c>
      <c r="AK231" s="42">
        <v>42.0</v>
      </c>
      <c r="AL231" s="44">
        <v>44109.0</v>
      </c>
      <c r="AM231" s="44">
        <v>45935.0</v>
      </c>
      <c r="AN231" s="42">
        <v>60.0</v>
      </c>
      <c r="AO231" s="42">
        <v>3000.0</v>
      </c>
      <c r="AP231" s="42">
        <v>180000.0</v>
      </c>
      <c r="AQ231" s="44">
        <v>45900.0</v>
      </c>
      <c r="AR231" s="42">
        <v>21512.0</v>
      </c>
      <c r="AS231" s="42">
        <v>24138.0</v>
      </c>
      <c r="AT231" s="42">
        <v>2626.0</v>
      </c>
      <c r="AU231" s="42">
        <v>23767.0</v>
      </c>
      <c r="AV231" s="42">
        <v>2641.0</v>
      </c>
      <c r="AW231" s="45">
        <v>6029.3</v>
      </c>
      <c r="AX231" s="45">
        <v>1320.0</v>
      </c>
      <c r="AY231" s="45">
        <v>125.0</v>
      </c>
      <c r="AZ231" s="45">
        <v>290.99</v>
      </c>
      <c r="BA231" s="45">
        <v>1083.24</v>
      </c>
      <c r="BB231" s="45">
        <v>8848.53</v>
      </c>
      <c r="BC231" s="45">
        <v>1327.28</v>
      </c>
      <c r="BD231" s="45">
        <v>10175.81</v>
      </c>
      <c r="BE231" s="44">
        <v>45748.0</v>
      </c>
      <c r="BF231" s="44">
        <v>45838.0</v>
      </c>
      <c r="BG231" s="42">
        <v>16449.0</v>
      </c>
      <c r="BH231" s="42">
        <v>24138.0</v>
      </c>
      <c r="BI231" s="42">
        <v>7689.0</v>
      </c>
      <c r="BJ231" s="42">
        <v>9000.0</v>
      </c>
      <c r="BK231" s="42">
        <v>-1311.0</v>
      </c>
      <c r="BL231" s="45">
        <v>0.51</v>
      </c>
      <c r="BM231" s="45">
        <v>1.49</v>
      </c>
      <c r="BN231" s="45">
        <v>0.0</v>
      </c>
      <c r="BO231" s="45">
        <v>0.0</v>
      </c>
      <c r="BP231" s="45">
        <v>0.0</v>
      </c>
      <c r="BQ231" s="45">
        <v>-86.53</v>
      </c>
      <c r="BR231" s="45">
        <v>0.0</v>
      </c>
      <c r="BS231" s="45">
        <v>0.0</v>
      </c>
      <c r="BT231" s="45">
        <v>0.0</v>
      </c>
      <c r="BU231" s="45">
        <v>0.0</v>
      </c>
      <c r="BV231" s="45">
        <v>0.0</v>
      </c>
      <c r="BW231" s="45">
        <v>0.0</v>
      </c>
      <c r="BX231" s="45">
        <v>0.0</v>
      </c>
      <c r="BY231" s="45">
        <v>4818.38</v>
      </c>
      <c r="BZ231" s="42">
        <v>0.0</v>
      </c>
      <c r="CA231" s="45">
        <v>0.0</v>
      </c>
      <c r="CB231" s="42">
        <v>0.0</v>
      </c>
      <c r="CC231" s="45">
        <v>0.0</v>
      </c>
      <c r="CD231" s="45">
        <v>0.0</v>
      </c>
      <c r="CE231" s="45">
        <v>0.0</v>
      </c>
      <c r="CF231" s="45">
        <v>0.0</v>
      </c>
      <c r="CG231" s="45">
        <v>0.0</v>
      </c>
      <c r="CH231" s="45">
        <v>9512.44</v>
      </c>
      <c r="CI231" s="45">
        <v>1240.75</v>
      </c>
      <c r="CJ231" s="45">
        <v>8271.69</v>
      </c>
      <c r="CK231" s="45">
        <v>3.15</v>
      </c>
      <c r="CL231" s="42">
        <v>0.0</v>
      </c>
      <c r="CM231" s="42">
        <v>0.0</v>
      </c>
      <c r="CN231" s="42">
        <v>0.0</v>
      </c>
      <c r="CO231" s="42">
        <v>100.0</v>
      </c>
      <c r="CP231" s="44"/>
      <c r="CQ231" s="42">
        <v>0.0</v>
      </c>
      <c r="CR231" s="42">
        <v>0.0</v>
      </c>
      <c r="CS231" s="42">
        <v>0.0</v>
      </c>
      <c r="CT231" s="42">
        <v>-5205.0</v>
      </c>
      <c r="CU231" s="44">
        <v>47391.0</v>
      </c>
      <c r="CV231" s="44">
        <v>47391.0</v>
      </c>
      <c r="CW231" s="42">
        <v>180371.0</v>
      </c>
      <c r="CX231" s="42" t="s">
        <v>122</v>
      </c>
      <c r="CY231" s="42" t="s">
        <v>123</v>
      </c>
      <c r="CZ231" s="45">
        <v>0.0</v>
      </c>
      <c r="DA231" s="45">
        <v>0.0</v>
      </c>
      <c r="DB231" s="45">
        <v>-2290.2</v>
      </c>
      <c r="DC231" s="45">
        <v>0.44</v>
      </c>
      <c r="DD231" s="45">
        <v>-576.84</v>
      </c>
      <c r="DE231" s="45">
        <v>-663.37</v>
      </c>
      <c r="DF231" s="42"/>
    </row>
    <row r="232" ht="13.5" customHeight="1">
      <c r="A232" s="42" t="s">
        <v>175</v>
      </c>
      <c r="B232" s="43">
        <v>44044.0</v>
      </c>
      <c r="C232" s="42" t="s">
        <v>136</v>
      </c>
      <c r="D232" s="42" t="s">
        <v>125</v>
      </c>
      <c r="E232" s="42" t="s">
        <v>126</v>
      </c>
      <c r="F232" s="42" t="s">
        <v>176</v>
      </c>
      <c r="G232" s="42" t="s">
        <v>140</v>
      </c>
      <c r="H232" s="42" t="s">
        <v>129</v>
      </c>
      <c r="I232" s="44">
        <v>44063.0</v>
      </c>
      <c r="J232" s="44">
        <v>44064.0</v>
      </c>
      <c r="K232" s="42">
        <f t="shared" si="1"/>
        <v>1</v>
      </c>
      <c r="L232" s="42">
        <v>1.0</v>
      </c>
      <c r="M232" s="42">
        <f t="shared" si="2"/>
        <v>0</v>
      </c>
      <c r="N232" s="44">
        <v>44046.0</v>
      </c>
      <c r="O232" s="44">
        <v>44110.0</v>
      </c>
      <c r="P232" s="42">
        <f t="shared" si="3"/>
        <v>64</v>
      </c>
      <c r="Q232" s="42">
        <v>90.0</v>
      </c>
      <c r="R232" s="42">
        <f t="shared" si="4"/>
        <v>-26</v>
      </c>
      <c r="S232" s="42" t="s">
        <v>671</v>
      </c>
      <c r="T232" s="42" t="s">
        <v>672</v>
      </c>
      <c r="U232" s="42" t="s">
        <v>117</v>
      </c>
      <c r="V232" s="42" t="s">
        <v>147</v>
      </c>
      <c r="W232" s="42" t="s">
        <v>133</v>
      </c>
      <c r="X232" s="42" t="s">
        <v>168</v>
      </c>
      <c r="Y232" s="42">
        <v>2024.0</v>
      </c>
      <c r="Z232" s="42" t="s">
        <v>135</v>
      </c>
      <c r="AA232" s="42">
        <v>2498.0</v>
      </c>
      <c r="AB232" s="42">
        <v>16.0</v>
      </c>
      <c r="AC232" s="42">
        <v>0.0</v>
      </c>
      <c r="AD232" s="45">
        <v>460956.52</v>
      </c>
      <c r="AE232" s="45">
        <v>86959.0</v>
      </c>
      <c r="AF232" s="46">
        <v>0.19</v>
      </c>
      <c r="AG232" s="45">
        <v>12996.61</v>
      </c>
      <c r="AH232" s="45">
        <v>2345.0</v>
      </c>
      <c r="AI232" s="42">
        <v>7.75</v>
      </c>
      <c r="AJ232" s="45">
        <v>193602.0</v>
      </c>
      <c r="AK232" s="42">
        <v>42.0</v>
      </c>
      <c r="AL232" s="44">
        <v>44110.0</v>
      </c>
      <c r="AM232" s="44">
        <v>45936.0</v>
      </c>
      <c r="AN232" s="42">
        <v>60.0</v>
      </c>
      <c r="AO232" s="42">
        <v>3000.0</v>
      </c>
      <c r="AP232" s="42">
        <v>180000.0</v>
      </c>
      <c r="AQ232" s="44">
        <v>45900.0</v>
      </c>
      <c r="AR232" s="42">
        <v>18401.0</v>
      </c>
      <c r="AS232" s="42">
        <v>21117.0</v>
      </c>
      <c r="AT232" s="42">
        <v>2716.0</v>
      </c>
      <c r="AU232" s="42">
        <v>20740.0</v>
      </c>
      <c r="AV232" s="42">
        <v>2304.0</v>
      </c>
      <c r="AW232" s="45">
        <v>6017.19</v>
      </c>
      <c r="AX232" s="45">
        <v>1320.0</v>
      </c>
      <c r="AY232" s="45">
        <v>125.0</v>
      </c>
      <c r="AZ232" s="45">
        <v>291.99</v>
      </c>
      <c r="BA232" s="45">
        <v>1083.24</v>
      </c>
      <c r="BB232" s="45">
        <v>8837.42</v>
      </c>
      <c r="BC232" s="45">
        <v>1325.61</v>
      </c>
      <c r="BD232" s="45">
        <v>10163.03</v>
      </c>
      <c r="BE232" s="44">
        <v>45748.0</v>
      </c>
      <c r="BF232" s="44">
        <v>45838.0</v>
      </c>
      <c r="BG232" s="42">
        <v>13976.0</v>
      </c>
      <c r="BH232" s="42">
        <v>21117.0</v>
      </c>
      <c r="BI232" s="42">
        <v>7141.0</v>
      </c>
      <c r="BJ232" s="42">
        <v>9000.0</v>
      </c>
      <c r="BK232" s="42">
        <v>-1859.0</v>
      </c>
      <c r="BL232" s="45">
        <v>0.51</v>
      </c>
      <c r="BM232" s="45">
        <v>1.49</v>
      </c>
      <c r="BN232" s="45">
        <v>0.0</v>
      </c>
      <c r="BO232" s="45">
        <v>0.0</v>
      </c>
      <c r="BP232" s="45">
        <v>0.0</v>
      </c>
      <c r="BQ232" s="45">
        <v>-122.69</v>
      </c>
      <c r="BR232" s="45">
        <v>0.0</v>
      </c>
      <c r="BS232" s="45">
        <v>0.0</v>
      </c>
      <c r="BT232" s="45">
        <v>0.0</v>
      </c>
      <c r="BU232" s="45">
        <v>0.0</v>
      </c>
      <c r="BV232" s="45">
        <v>0.0</v>
      </c>
      <c r="BW232" s="45">
        <v>0.0</v>
      </c>
      <c r="BX232" s="45">
        <v>0.0</v>
      </c>
      <c r="BY232" s="45">
        <v>5303.74</v>
      </c>
      <c r="BZ232" s="42">
        <v>0.0</v>
      </c>
      <c r="CA232" s="45">
        <v>0.0</v>
      </c>
      <c r="CB232" s="42">
        <v>0.0</v>
      </c>
      <c r="CC232" s="45">
        <v>0.0</v>
      </c>
      <c r="CD232" s="45">
        <v>0.0</v>
      </c>
      <c r="CE232" s="45">
        <v>0.0</v>
      </c>
      <c r="CF232" s="45">
        <v>0.0</v>
      </c>
      <c r="CG232" s="45">
        <v>0.0</v>
      </c>
      <c r="CH232" s="45">
        <v>9222.38</v>
      </c>
      <c r="CI232" s="45">
        <v>1202.92</v>
      </c>
      <c r="CJ232" s="45">
        <v>8019.46</v>
      </c>
      <c r="CK232" s="45">
        <v>2.95</v>
      </c>
      <c r="CL232" s="42">
        <v>0.0</v>
      </c>
      <c r="CM232" s="42">
        <v>0.0</v>
      </c>
      <c r="CN232" s="42">
        <v>0.0</v>
      </c>
      <c r="CO232" s="42">
        <v>100.0</v>
      </c>
      <c r="CP232" s="44"/>
      <c r="CQ232" s="42">
        <v>0.0</v>
      </c>
      <c r="CR232" s="42">
        <v>0.0</v>
      </c>
      <c r="CS232" s="42">
        <v>0.0</v>
      </c>
      <c r="CT232" s="42">
        <v>-8232.0</v>
      </c>
      <c r="CU232" s="44">
        <v>47391.0</v>
      </c>
      <c r="CV232" s="44">
        <v>47391.0</v>
      </c>
      <c r="CW232" s="42">
        <v>180377.0</v>
      </c>
      <c r="CX232" s="42" t="s">
        <v>122</v>
      </c>
      <c r="CY232" s="42" t="s">
        <v>123</v>
      </c>
      <c r="CZ232" s="45">
        <v>749.32</v>
      </c>
      <c r="DA232" s="45">
        <v>0.0</v>
      </c>
      <c r="DB232" s="45">
        <v>-4371.4</v>
      </c>
      <c r="DC232" s="45">
        <v>0.44</v>
      </c>
      <c r="DD232" s="45">
        <v>-817.96</v>
      </c>
      <c r="DE232" s="45">
        <v>-940.65</v>
      </c>
      <c r="DF232" s="42"/>
    </row>
    <row r="233" ht="13.5" customHeight="1">
      <c r="A233" s="42" t="s">
        <v>175</v>
      </c>
      <c r="B233" s="43">
        <v>44044.0</v>
      </c>
      <c r="C233" s="42" t="s">
        <v>109</v>
      </c>
      <c r="D233" s="42" t="s">
        <v>137</v>
      </c>
      <c r="E233" s="42" t="s">
        <v>138</v>
      </c>
      <c r="F233" s="42" t="s">
        <v>176</v>
      </c>
      <c r="G233" s="42" t="s">
        <v>140</v>
      </c>
      <c r="H233" s="42" t="s">
        <v>141</v>
      </c>
      <c r="I233" s="44">
        <v>44064.0</v>
      </c>
      <c r="J233" s="44">
        <v>44065.0</v>
      </c>
      <c r="K233" s="42">
        <f t="shared" si="1"/>
        <v>1</v>
      </c>
      <c r="L233" s="42">
        <v>1.0</v>
      </c>
      <c r="M233" s="42">
        <f t="shared" si="2"/>
        <v>0</v>
      </c>
      <c r="N233" s="44">
        <v>44047.0</v>
      </c>
      <c r="O233" s="44">
        <v>44111.0</v>
      </c>
      <c r="P233" s="42">
        <f t="shared" si="3"/>
        <v>64</v>
      </c>
      <c r="Q233" s="42">
        <v>90.0</v>
      </c>
      <c r="R233" s="42">
        <f t="shared" si="4"/>
        <v>-26</v>
      </c>
      <c r="S233" s="42" t="s">
        <v>673</v>
      </c>
      <c r="T233" s="42" t="s">
        <v>674</v>
      </c>
      <c r="U233" s="42" t="s">
        <v>117</v>
      </c>
      <c r="V233" s="42" t="s">
        <v>147</v>
      </c>
      <c r="W233" s="42" t="s">
        <v>133</v>
      </c>
      <c r="X233" s="42" t="s">
        <v>168</v>
      </c>
      <c r="Y233" s="42">
        <v>2024.0</v>
      </c>
      <c r="Z233" s="42" t="s">
        <v>135</v>
      </c>
      <c r="AA233" s="42">
        <v>2498.0</v>
      </c>
      <c r="AB233" s="42">
        <v>16.0</v>
      </c>
      <c r="AC233" s="42">
        <v>0.0</v>
      </c>
      <c r="AD233" s="45">
        <v>460956.52</v>
      </c>
      <c r="AE233" s="45">
        <v>86959.0</v>
      </c>
      <c r="AF233" s="46">
        <v>0.19</v>
      </c>
      <c r="AG233" s="45">
        <v>13176.69</v>
      </c>
      <c r="AH233" s="45">
        <v>2345.0</v>
      </c>
      <c r="AI233" s="42">
        <v>7.75</v>
      </c>
      <c r="AJ233" s="45">
        <v>193602.0</v>
      </c>
      <c r="AK233" s="42">
        <v>42.0</v>
      </c>
      <c r="AL233" s="44">
        <v>44111.0</v>
      </c>
      <c r="AM233" s="44">
        <v>45937.0</v>
      </c>
      <c r="AN233" s="42">
        <v>60.0</v>
      </c>
      <c r="AO233" s="42">
        <v>3000.0</v>
      </c>
      <c r="AP233" s="42">
        <v>180000.0</v>
      </c>
      <c r="AQ233" s="44">
        <v>45900.0</v>
      </c>
      <c r="AR233" s="42">
        <v>13195.0</v>
      </c>
      <c r="AS233" s="42">
        <v>15900.0</v>
      </c>
      <c r="AT233" s="42">
        <v>2705.0</v>
      </c>
      <c r="AU233" s="42">
        <v>15527.0</v>
      </c>
      <c r="AV233" s="42">
        <v>1725.0</v>
      </c>
      <c r="AW233" s="45">
        <v>6020.83</v>
      </c>
      <c r="AX233" s="45">
        <v>1320.0</v>
      </c>
      <c r="AY233" s="45">
        <v>125.0</v>
      </c>
      <c r="AZ233" s="45">
        <v>290.99</v>
      </c>
      <c r="BA233" s="45">
        <v>1083.24</v>
      </c>
      <c r="BB233" s="45">
        <v>8840.06</v>
      </c>
      <c r="BC233" s="45">
        <v>1326.01</v>
      </c>
      <c r="BD233" s="45">
        <v>10166.07</v>
      </c>
      <c r="BE233" s="44">
        <v>45748.0</v>
      </c>
      <c r="BF233" s="44">
        <v>45838.0</v>
      </c>
      <c r="BG233" s="42">
        <v>9773.0</v>
      </c>
      <c r="BH233" s="42">
        <v>15900.0</v>
      </c>
      <c r="BI233" s="42">
        <v>6127.0</v>
      </c>
      <c r="BJ233" s="42">
        <v>9000.0</v>
      </c>
      <c r="BK233" s="42">
        <v>-2873.0</v>
      </c>
      <c r="BL233" s="45">
        <v>0.51</v>
      </c>
      <c r="BM233" s="45">
        <v>1.49</v>
      </c>
      <c r="BN233" s="45">
        <v>0.0</v>
      </c>
      <c r="BO233" s="45">
        <v>0.0</v>
      </c>
      <c r="BP233" s="45">
        <v>0.0</v>
      </c>
      <c r="BQ233" s="45">
        <v>-189.62</v>
      </c>
      <c r="BR233" s="45">
        <v>0.0</v>
      </c>
      <c r="BS233" s="45">
        <v>0.0</v>
      </c>
      <c r="BT233" s="45">
        <v>0.0</v>
      </c>
      <c r="BU233" s="45">
        <v>0.0</v>
      </c>
      <c r="BV233" s="45">
        <v>0.0</v>
      </c>
      <c r="BW233" s="45">
        <v>0.0</v>
      </c>
      <c r="BX233" s="45">
        <v>0.0</v>
      </c>
      <c r="BY233" s="45">
        <v>3978.88</v>
      </c>
      <c r="BZ233" s="42">
        <v>0.0</v>
      </c>
      <c r="CA233" s="45">
        <v>0.0</v>
      </c>
      <c r="CB233" s="42">
        <v>0.0</v>
      </c>
      <c r="CC233" s="45">
        <v>0.0</v>
      </c>
      <c r="CD233" s="45">
        <v>0.0</v>
      </c>
      <c r="CE233" s="45">
        <v>0.0</v>
      </c>
      <c r="CF233" s="45">
        <v>0.0</v>
      </c>
      <c r="CG233" s="45">
        <v>0.0</v>
      </c>
      <c r="CH233" s="45">
        <v>8712.33</v>
      </c>
      <c r="CI233" s="45">
        <v>1136.39</v>
      </c>
      <c r="CJ233" s="45">
        <v>7575.94</v>
      </c>
      <c r="CK233" s="45">
        <v>2.8</v>
      </c>
      <c r="CL233" s="42">
        <v>0.0</v>
      </c>
      <c r="CM233" s="42">
        <v>0.0</v>
      </c>
      <c r="CN233" s="42">
        <v>0.0</v>
      </c>
      <c r="CO233" s="42">
        <v>100.0</v>
      </c>
      <c r="CP233" s="44"/>
      <c r="CQ233" s="42">
        <v>0.0</v>
      </c>
      <c r="CR233" s="42">
        <v>0.0</v>
      </c>
      <c r="CS233" s="42">
        <v>0.0</v>
      </c>
      <c r="CT233" s="42">
        <v>-13445.0</v>
      </c>
      <c r="CU233" s="44">
        <v>47391.0</v>
      </c>
      <c r="CV233" s="44">
        <v>47391.0</v>
      </c>
      <c r="CW233" s="42">
        <v>180373.0</v>
      </c>
      <c r="CX233" s="42" t="s">
        <v>122</v>
      </c>
      <c r="CY233" s="42" t="s">
        <v>123</v>
      </c>
      <c r="CZ233" s="45">
        <v>2044.24</v>
      </c>
      <c r="DA233" s="45">
        <v>0.0</v>
      </c>
      <c r="DB233" s="45">
        <v>-7960.04</v>
      </c>
      <c r="DC233" s="45">
        <v>0.44</v>
      </c>
      <c r="DD233" s="45">
        <v>-1264.12</v>
      </c>
      <c r="DE233" s="45">
        <v>-1453.74</v>
      </c>
      <c r="DF233" s="42"/>
    </row>
    <row r="234" ht="13.5" customHeight="1">
      <c r="A234" s="42" t="s">
        <v>175</v>
      </c>
      <c r="B234" s="43">
        <v>44044.0</v>
      </c>
      <c r="C234" s="42" t="s">
        <v>124</v>
      </c>
      <c r="D234" s="42" t="s">
        <v>110</v>
      </c>
      <c r="E234" s="42" t="s">
        <v>111</v>
      </c>
      <c r="F234" s="42" t="s">
        <v>176</v>
      </c>
      <c r="G234" s="42" t="s">
        <v>140</v>
      </c>
      <c r="H234" s="42" t="s">
        <v>114</v>
      </c>
      <c r="I234" s="44">
        <v>44065.0</v>
      </c>
      <c r="J234" s="44">
        <v>44066.0</v>
      </c>
      <c r="K234" s="42">
        <f t="shared" si="1"/>
        <v>1</v>
      </c>
      <c r="L234" s="42">
        <v>1.0</v>
      </c>
      <c r="M234" s="42">
        <f t="shared" si="2"/>
        <v>0</v>
      </c>
      <c r="N234" s="44">
        <v>44048.0</v>
      </c>
      <c r="O234" s="44">
        <v>44173.0</v>
      </c>
      <c r="P234" s="42">
        <f t="shared" si="3"/>
        <v>125</v>
      </c>
      <c r="Q234" s="42">
        <v>90.0</v>
      </c>
      <c r="R234" s="42">
        <f t="shared" si="4"/>
        <v>35</v>
      </c>
      <c r="S234" s="42" t="s">
        <v>675</v>
      </c>
      <c r="T234" s="42" t="s">
        <v>676</v>
      </c>
      <c r="U234" s="42" t="s">
        <v>117</v>
      </c>
      <c r="V234" s="42" t="s">
        <v>147</v>
      </c>
      <c r="W234" s="42" t="s">
        <v>133</v>
      </c>
      <c r="X234" s="42" t="s">
        <v>168</v>
      </c>
      <c r="Y234" s="42">
        <v>2024.0</v>
      </c>
      <c r="Z234" s="42" t="s">
        <v>135</v>
      </c>
      <c r="AA234" s="42">
        <v>2498.0</v>
      </c>
      <c r="AB234" s="42">
        <v>16.0</v>
      </c>
      <c r="AC234" s="42">
        <v>0.0</v>
      </c>
      <c r="AD234" s="45">
        <v>460956.52</v>
      </c>
      <c r="AE234" s="45">
        <v>86959.0</v>
      </c>
      <c r="AF234" s="46">
        <v>0.19</v>
      </c>
      <c r="AG234" s="45">
        <v>13035.62</v>
      </c>
      <c r="AH234" s="45">
        <v>2345.0</v>
      </c>
      <c r="AI234" s="42">
        <v>7.75</v>
      </c>
      <c r="AJ234" s="45">
        <v>193602.0</v>
      </c>
      <c r="AK234" s="42">
        <v>42.0</v>
      </c>
      <c r="AL234" s="44">
        <v>44173.0</v>
      </c>
      <c r="AM234" s="44">
        <v>45999.0</v>
      </c>
      <c r="AN234" s="42">
        <v>60.0</v>
      </c>
      <c r="AO234" s="42">
        <v>3000.0</v>
      </c>
      <c r="AP234" s="42">
        <v>180000.0</v>
      </c>
      <c r="AQ234" s="44">
        <v>45900.0</v>
      </c>
      <c r="AR234" s="42">
        <v>12041.0</v>
      </c>
      <c r="AS234" s="42">
        <v>13512.0</v>
      </c>
      <c r="AT234" s="42">
        <v>1471.0</v>
      </c>
      <c r="AU234" s="42">
        <v>13135.0</v>
      </c>
      <c r="AV234" s="42">
        <v>1459.0</v>
      </c>
      <c r="AW234" s="45">
        <v>6018.66</v>
      </c>
      <c r="AX234" s="45">
        <v>1320.0</v>
      </c>
      <c r="AY234" s="45">
        <v>125.0</v>
      </c>
      <c r="AZ234" s="45">
        <v>290.99</v>
      </c>
      <c r="BA234" s="45">
        <v>1083.24</v>
      </c>
      <c r="BB234" s="45">
        <v>8837.89</v>
      </c>
      <c r="BC234" s="45">
        <v>1325.68</v>
      </c>
      <c r="BD234" s="45">
        <v>10163.57</v>
      </c>
      <c r="BE234" s="44">
        <v>45748.0</v>
      </c>
      <c r="BF234" s="44">
        <v>45838.0</v>
      </c>
      <c r="BG234" s="42">
        <v>7850.0</v>
      </c>
      <c r="BH234" s="42">
        <v>13512.0</v>
      </c>
      <c r="BI234" s="42">
        <v>5662.0</v>
      </c>
      <c r="BJ234" s="42">
        <v>9000.0</v>
      </c>
      <c r="BK234" s="42">
        <v>-3338.0</v>
      </c>
      <c r="BL234" s="45">
        <v>0.51</v>
      </c>
      <c r="BM234" s="45">
        <v>1.49</v>
      </c>
      <c r="BN234" s="45">
        <v>0.0</v>
      </c>
      <c r="BO234" s="45">
        <v>0.0</v>
      </c>
      <c r="BP234" s="45">
        <v>0.0</v>
      </c>
      <c r="BQ234" s="45">
        <v>-220.31</v>
      </c>
      <c r="BR234" s="45">
        <v>0.0</v>
      </c>
      <c r="BS234" s="45">
        <v>0.0</v>
      </c>
      <c r="BT234" s="45">
        <v>0.0</v>
      </c>
      <c r="BU234" s="45">
        <v>0.0</v>
      </c>
      <c r="BV234" s="45">
        <v>0.0</v>
      </c>
      <c r="BW234" s="45">
        <v>0.0</v>
      </c>
      <c r="BX234" s="45">
        <v>0.0</v>
      </c>
      <c r="BY234" s="45">
        <v>3842.22</v>
      </c>
      <c r="BZ234" s="42">
        <v>0.0</v>
      </c>
      <c r="CA234" s="45">
        <v>200.0</v>
      </c>
      <c r="CB234" s="42">
        <v>0.0</v>
      </c>
      <c r="CC234" s="45">
        <v>0.0</v>
      </c>
      <c r="CD234" s="45">
        <v>0.0</v>
      </c>
      <c r="CE234" s="45">
        <v>0.0</v>
      </c>
      <c r="CF234" s="45">
        <v>0.0</v>
      </c>
      <c r="CG234" s="45">
        <v>0.0</v>
      </c>
      <c r="CH234" s="45">
        <v>8474.54</v>
      </c>
      <c r="CI234" s="45">
        <v>1105.37</v>
      </c>
      <c r="CJ234" s="45">
        <v>7369.17</v>
      </c>
      <c r="CK234" s="45">
        <v>5.01</v>
      </c>
      <c r="CL234" s="42">
        <v>0.0</v>
      </c>
      <c r="CM234" s="42">
        <v>0.0</v>
      </c>
      <c r="CN234" s="42">
        <v>0.0</v>
      </c>
      <c r="CO234" s="42">
        <v>100.0</v>
      </c>
      <c r="CP234" s="44"/>
      <c r="CQ234" s="42">
        <v>0.0</v>
      </c>
      <c r="CR234" s="42">
        <v>0.0</v>
      </c>
      <c r="CS234" s="42">
        <v>0.0</v>
      </c>
      <c r="CT234" s="42">
        <v>-15837.0</v>
      </c>
      <c r="CU234" s="44">
        <v>47391.0</v>
      </c>
      <c r="CV234" s="44">
        <v>47391.0</v>
      </c>
      <c r="CW234" s="42">
        <v>180377.0</v>
      </c>
      <c r="CX234" s="42" t="s">
        <v>122</v>
      </c>
      <c r="CY234" s="42" t="s">
        <v>123</v>
      </c>
      <c r="CZ234" s="45">
        <v>1848.88</v>
      </c>
      <c r="DA234" s="45">
        <v>0.0</v>
      </c>
      <c r="DB234" s="45">
        <v>-8817.16</v>
      </c>
      <c r="DC234" s="45">
        <v>0.44</v>
      </c>
      <c r="DD234" s="45">
        <v>-1468.72</v>
      </c>
      <c r="DE234" s="45">
        <v>-1689.03</v>
      </c>
      <c r="DF234" s="42"/>
    </row>
    <row r="235" ht="13.5" customHeight="1">
      <c r="A235" s="42" t="s">
        <v>203</v>
      </c>
      <c r="B235" s="43">
        <v>44044.0</v>
      </c>
      <c r="C235" s="42" t="s">
        <v>136</v>
      </c>
      <c r="D235" s="42" t="s">
        <v>125</v>
      </c>
      <c r="E235" s="42" t="s">
        <v>126</v>
      </c>
      <c r="F235" s="42" t="s">
        <v>210</v>
      </c>
      <c r="G235" s="42" t="s">
        <v>128</v>
      </c>
      <c r="H235" s="42" t="s">
        <v>129</v>
      </c>
      <c r="I235" s="44">
        <v>44066.0</v>
      </c>
      <c r="J235" s="44">
        <v>44067.0</v>
      </c>
      <c r="K235" s="42">
        <f t="shared" si="1"/>
        <v>1</v>
      </c>
      <c r="L235" s="42">
        <v>1.0</v>
      </c>
      <c r="M235" s="42">
        <f t="shared" si="2"/>
        <v>0</v>
      </c>
      <c r="N235" s="44">
        <v>44049.0</v>
      </c>
      <c r="O235" s="44">
        <v>44113.0</v>
      </c>
      <c r="P235" s="42">
        <f t="shared" si="3"/>
        <v>64</v>
      </c>
      <c r="Q235" s="42">
        <v>90.0</v>
      </c>
      <c r="R235" s="42">
        <f t="shared" si="4"/>
        <v>-26</v>
      </c>
      <c r="S235" s="42" t="s">
        <v>677</v>
      </c>
      <c r="T235" s="42" t="s">
        <v>678</v>
      </c>
      <c r="U235" s="42" t="s">
        <v>117</v>
      </c>
      <c r="V235" s="42" t="s">
        <v>147</v>
      </c>
      <c r="W235" s="42" t="s">
        <v>133</v>
      </c>
      <c r="X235" s="42" t="s">
        <v>168</v>
      </c>
      <c r="Y235" s="42">
        <v>2024.0</v>
      </c>
      <c r="Z235" s="42" t="s">
        <v>135</v>
      </c>
      <c r="AA235" s="42">
        <v>2498.0</v>
      </c>
      <c r="AB235" s="42">
        <v>16.0</v>
      </c>
      <c r="AC235" s="42">
        <v>0.0</v>
      </c>
      <c r="AD235" s="45">
        <v>460956.52</v>
      </c>
      <c r="AE235" s="45">
        <v>86959.0</v>
      </c>
      <c r="AF235" s="46">
        <v>0.19</v>
      </c>
      <c r="AG235" s="45">
        <v>13171.22</v>
      </c>
      <c r="AH235" s="45">
        <v>2345.0</v>
      </c>
      <c r="AI235" s="42">
        <v>7.75</v>
      </c>
      <c r="AJ235" s="45">
        <v>193602.0</v>
      </c>
      <c r="AK235" s="42">
        <v>42.0</v>
      </c>
      <c r="AL235" s="44">
        <v>44113.0</v>
      </c>
      <c r="AM235" s="44">
        <v>45939.0</v>
      </c>
      <c r="AN235" s="42">
        <v>60.0</v>
      </c>
      <c r="AO235" s="42">
        <v>3000.0</v>
      </c>
      <c r="AP235" s="42">
        <v>180000.0</v>
      </c>
      <c r="AQ235" s="44">
        <v>45900.0</v>
      </c>
      <c r="AR235" s="42">
        <v>20971.0</v>
      </c>
      <c r="AS235" s="42">
        <v>22355.0</v>
      </c>
      <c r="AT235" s="42">
        <v>1384.0</v>
      </c>
      <c r="AU235" s="42">
        <v>21979.0</v>
      </c>
      <c r="AV235" s="42">
        <v>2442.0</v>
      </c>
      <c r="AW235" s="45">
        <v>6021.39</v>
      </c>
      <c r="AX235" s="45">
        <v>1320.0</v>
      </c>
      <c r="AY235" s="45">
        <v>125.0</v>
      </c>
      <c r="AZ235" s="45">
        <v>290.99</v>
      </c>
      <c r="BA235" s="45">
        <v>1083.24</v>
      </c>
      <c r="BB235" s="45">
        <v>8840.62</v>
      </c>
      <c r="BC235" s="45">
        <v>1326.09</v>
      </c>
      <c r="BD235" s="45">
        <v>10166.71</v>
      </c>
      <c r="BE235" s="44">
        <v>45748.0</v>
      </c>
      <c r="BF235" s="44">
        <v>45838.0</v>
      </c>
      <c r="BG235" s="42">
        <v>16610.0</v>
      </c>
      <c r="BH235" s="42">
        <v>22355.0</v>
      </c>
      <c r="BI235" s="42">
        <v>5745.0</v>
      </c>
      <c r="BJ235" s="42">
        <v>9000.0</v>
      </c>
      <c r="BK235" s="42">
        <v>-3255.0</v>
      </c>
      <c r="BL235" s="45">
        <v>0.51</v>
      </c>
      <c r="BM235" s="45">
        <v>1.49</v>
      </c>
      <c r="BN235" s="45">
        <v>0.0</v>
      </c>
      <c r="BO235" s="45">
        <v>0.0</v>
      </c>
      <c r="BP235" s="45">
        <v>0.0</v>
      </c>
      <c r="BQ235" s="45">
        <v>-214.83</v>
      </c>
      <c r="BR235" s="45">
        <v>0.0</v>
      </c>
      <c r="BS235" s="45">
        <v>0.0</v>
      </c>
      <c r="BT235" s="45">
        <v>0.0</v>
      </c>
      <c r="BU235" s="45">
        <v>0.0</v>
      </c>
      <c r="BV235" s="45">
        <v>0.0</v>
      </c>
      <c r="BW235" s="45">
        <v>0.0</v>
      </c>
      <c r="BX235" s="45">
        <v>0.0</v>
      </c>
      <c r="BY235" s="45">
        <v>2412.04</v>
      </c>
      <c r="BZ235" s="42">
        <v>0.0</v>
      </c>
      <c r="CA235" s="45">
        <v>0.0</v>
      </c>
      <c r="CB235" s="42">
        <v>0.0</v>
      </c>
      <c r="CC235" s="45">
        <v>0.0</v>
      </c>
      <c r="CD235" s="45">
        <v>0.0</v>
      </c>
      <c r="CE235" s="45">
        <v>0.0</v>
      </c>
      <c r="CF235" s="45">
        <v>0.0</v>
      </c>
      <c r="CG235" s="45">
        <v>0.0</v>
      </c>
      <c r="CH235" s="45">
        <v>8519.68</v>
      </c>
      <c r="CI235" s="45">
        <v>1111.26</v>
      </c>
      <c r="CJ235" s="45">
        <v>7408.42</v>
      </c>
      <c r="CK235" s="45">
        <v>5.35</v>
      </c>
      <c r="CL235" s="42">
        <v>0.0</v>
      </c>
      <c r="CM235" s="42">
        <v>0.0</v>
      </c>
      <c r="CN235" s="42">
        <v>0.0</v>
      </c>
      <c r="CO235" s="42">
        <v>100.0</v>
      </c>
      <c r="CP235" s="44"/>
      <c r="CQ235" s="42">
        <v>0.0</v>
      </c>
      <c r="CR235" s="42">
        <v>0.0</v>
      </c>
      <c r="CS235" s="42">
        <v>0.0</v>
      </c>
      <c r="CT235" s="42">
        <v>-6993.0</v>
      </c>
      <c r="CU235" s="44">
        <v>47391.0</v>
      </c>
      <c r="CV235" s="44">
        <v>47391.0</v>
      </c>
      <c r="CW235" s="42">
        <v>180376.0</v>
      </c>
      <c r="CX235" s="42" t="s">
        <v>122</v>
      </c>
      <c r="CY235" s="42" t="s">
        <v>123</v>
      </c>
      <c r="CZ235" s="45">
        <v>232.76</v>
      </c>
      <c r="DA235" s="45">
        <v>0.0</v>
      </c>
      <c r="DB235" s="45">
        <v>-3309.68</v>
      </c>
      <c r="DC235" s="45">
        <v>0.44</v>
      </c>
      <c r="DD235" s="45">
        <v>-1432.2</v>
      </c>
      <c r="DE235" s="45">
        <v>-1647.03</v>
      </c>
      <c r="DF235" s="42"/>
    </row>
    <row r="236" ht="13.5" customHeight="1">
      <c r="A236" s="42" t="s">
        <v>203</v>
      </c>
      <c r="B236" s="43">
        <v>44044.0</v>
      </c>
      <c r="C236" s="42" t="s">
        <v>109</v>
      </c>
      <c r="D236" s="42" t="s">
        <v>137</v>
      </c>
      <c r="E236" s="42" t="s">
        <v>138</v>
      </c>
      <c r="F236" s="42" t="s">
        <v>196</v>
      </c>
      <c r="G236" s="42" t="s">
        <v>140</v>
      </c>
      <c r="H236" s="42" t="s">
        <v>141</v>
      </c>
      <c r="I236" s="44">
        <v>44067.0</v>
      </c>
      <c r="J236" s="44">
        <v>44072.0</v>
      </c>
      <c r="K236" s="42">
        <f t="shared" si="1"/>
        <v>5</v>
      </c>
      <c r="L236" s="42">
        <v>1.0</v>
      </c>
      <c r="M236" s="42">
        <f t="shared" si="2"/>
        <v>4</v>
      </c>
      <c r="N236" s="44">
        <v>44050.0</v>
      </c>
      <c r="O236" s="44">
        <v>44114.0</v>
      </c>
      <c r="P236" s="42">
        <f t="shared" si="3"/>
        <v>64</v>
      </c>
      <c r="Q236" s="42">
        <v>90.0</v>
      </c>
      <c r="R236" s="42">
        <f t="shared" si="4"/>
        <v>-26</v>
      </c>
      <c r="S236" s="42" t="s">
        <v>679</v>
      </c>
      <c r="T236" s="42" t="s">
        <v>680</v>
      </c>
      <c r="U236" s="42" t="s">
        <v>117</v>
      </c>
      <c r="V236" s="42" t="s">
        <v>132</v>
      </c>
      <c r="W236" s="42" t="s">
        <v>133</v>
      </c>
      <c r="X236" s="42" t="s">
        <v>164</v>
      </c>
      <c r="Y236" s="42">
        <v>2024.0</v>
      </c>
      <c r="Z236" s="42" t="s">
        <v>135</v>
      </c>
      <c r="AA236" s="42">
        <v>2498.0</v>
      </c>
      <c r="AB236" s="42">
        <v>16.0</v>
      </c>
      <c r="AC236" s="42">
        <v>0.0</v>
      </c>
      <c r="AD236" s="45">
        <v>365565.22</v>
      </c>
      <c r="AE236" s="45">
        <v>68333.36</v>
      </c>
      <c r="AF236" s="46">
        <v>0.19</v>
      </c>
      <c r="AG236" s="45">
        <v>16192.62</v>
      </c>
      <c r="AH236" s="45">
        <v>1998.0</v>
      </c>
      <c r="AI236" s="42">
        <v>7.75</v>
      </c>
      <c r="AJ236" s="45">
        <v>167009.0</v>
      </c>
      <c r="AK236" s="42">
        <v>45.69</v>
      </c>
      <c r="AL236" s="44">
        <v>44114.0</v>
      </c>
      <c r="AM236" s="44">
        <v>45940.0</v>
      </c>
      <c r="AN236" s="42">
        <v>60.0</v>
      </c>
      <c r="AO236" s="42">
        <v>3000.0</v>
      </c>
      <c r="AP236" s="42">
        <v>180000.0</v>
      </c>
      <c r="AQ236" s="44">
        <v>45900.0</v>
      </c>
      <c r="AR236" s="42">
        <v>9049.0</v>
      </c>
      <c r="AS236" s="42">
        <v>12443.0</v>
      </c>
      <c r="AT236" s="42">
        <v>3394.0</v>
      </c>
      <c r="AU236" s="42">
        <v>12427.0</v>
      </c>
      <c r="AV236" s="42">
        <v>1381.0</v>
      </c>
      <c r="AW236" s="45">
        <v>5044.95</v>
      </c>
      <c r="AX236" s="45">
        <v>1560.0</v>
      </c>
      <c r="AY236" s="45">
        <v>125.0</v>
      </c>
      <c r="AZ236" s="45">
        <v>291.0</v>
      </c>
      <c r="BA236" s="45">
        <v>1083.24</v>
      </c>
      <c r="BB236" s="45">
        <v>8104.19</v>
      </c>
      <c r="BC236" s="45">
        <v>1215.63</v>
      </c>
      <c r="BD236" s="45">
        <v>9319.82</v>
      </c>
      <c r="BE236" s="44">
        <v>45748.0</v>
      </c>
      <c r="BF236" s="44">
        <v>45838.0</v>
      </c>
      <c r="BG236" s="42">
        <v>6063.0</v>
      </c>
      <c r="BH236" s="42">
        <v>12443.0</v>
      </c>
      <c r="BI236" s="42">
        <v>6380.0</v>
      </c>
      <c r="BJ236" s="42">
        <v>9000.0</v>
      </c>
      <c r="BK236" s="42">
        <v>-2620.0</v>
      </c>
      <c r="BL236" s="45">
        <v>0.6</v>
      </c>
      <c r="BM236" s="45">
        <v>1.13</v>
      </c>
      <c r="BN236" s="45">
        <v>0.0</v>
      </c>
      <c r="BO236" s="45">
        <v>0.0</v>
      </c>
      <c r="BP236" s="45">
        <v>0.0</v>
      </c>
      <c r="BQ236" s="45">
        <v>-204.36</v>
      </c>
      <c r="BR236" s="45">
        <v>0.0</v>
      </c>
      <c r="BS236" s="45">
        <v>0.0</v>
      </c>
      <c r="BT236" s="45">
        <v>0.0</v>
      </c>
      <c r="BU236" s="45">
        <v>0.0</v>
      </c>
      <c r="BV236" s="45">
        <v>0.0</v>
      </c>
      <c r="BW236" s="45">
        <v>0.0</v>
      </c>
      <c r="BX236" s="45">
        <v>0.0</v>
      </c>
      <c r="BY236" s="45">
        <v>5151.82</v>
      </c>
      <c r="BZ236" s="42">
        <v>0.0</v>
      </c>
      <c r="CA236" s="45">
        <v>0.0</v>
      </c>
      <c r="CB236" s="42">
        <v>0.0</v>
      </c>
      <c r="CC236" s="45">
        <v>0.0</v>
      </c>
      <c r="CD236" s="45">
        <v>0.0</v>
      </c>
      <c r="CE236" s="45">
        <v>0.0</v>
      </c>
      <c r="CF236" s="45">
        <v>0.0</v>
      </c>
      <c r="CG236" s="45">
        <v>0.0</v>
      </c>
      <c r="CH236" s="45">
        <v>7753.06</v>
      </c>
      <c r="CI236" s="45">
        <v>1011.27</v>
      </c>
      <c r="CJ236" s="45">
        <v>6741.79</v>
      </c>
      <c r="CK236" s="45">
        <v>1.99</v>
      </c>
      <c r="CL236" s="42">
        <v>0.0</v>
      </c>
      <c r="CM236" s="42">
        <v>0.0</v>
      </c>
      <c r="CN236" s="42">
        <v>0.0</v>
      </c>
      <c r="CO236" s="42">
        <v>100.0</v>
      </c>
      <c r="CP236" s="44"/>
      <c r="CQ236" s="42">
        <v>0.0</v>
      </c>
      <c r="CR236" s="42">
        <v>0.0</v>
      </c>
      <c r="CS236" s="42">
        <v>0.0</v>
      </c>
      <c r="CT236" s="42">
        <v>-16052.0</v>
      </c>
      <c r="CU236" s="44">
        <v>47391.0</v>
      </c>
      <c r="CV236" s="44">
        <v>47391.0</v>
      </c>
      <c r="CW236" s="42">
        <v>180016.0</v>
      </c>
      <c r="CX236" s="42" t="s">
        <v>122</v>
      </c>
      <c r="CY236" s="42" t="s">
        <v>123</v>
      </c>
      <c r="CZ236" s="45">
        <v>3307.2</v>
      </c>
      <c r="DA236" s="45">
        <v>0.0</v>
      </c>
      <c r="DB236" s="45">
        <v>-11654.24</v>
      </c>
      <c r="DC236" s="45">
        <v>0.52</v>
      </c>
      <c r="DD236" s="45">
        <v>-1362.4</v>
      </c>
      <c r="DE236" s="45">
        <v>-1566.76</v>
      </c>
      <c r="DF236" s="42"/>
    </row>
    <row r="237" ht="13.5" customHeight="1">
      <c r="A237" s="42" t="s">
        <v>203</v>
      </c>
      <c r="B237" s="43">
        <v>44044.0</v>
      </c>
      <c r="C237" s="42" t="s">
        <v>124</v>
      </c>
      <c r="D237" s="42" t="s">
        <v>110</v>
      </c>
      <c r="E237" s="42" t="s">
        <v>111</v>
      </c>
      <c r="F237" s="42" t="s">
        <v>176</v>
      </c>
      <c r="G237" s="42" t="s">
        <v>140</v>
      </c>
      <c r="H237" s="42" t="s">
        <v>114</v>
      </c>
      <c r="I237" s="44">
        <v>44068.0</v>
      </c>
      <c r="J237" s="44">
        <v>44069.0</v>
      </c>
      <c r="K237" s="42">
        <f t="shared" si="1"/>
        <v>1</v>
      </c>
      <c r="L237" s="42">
        <v>1.0</v>
      </c>
      <c r="M237" s="42">
        <f t="shared" si="2"/>
        <v>0</v>
      </c>
      <c r="N237" s="44">
        <v>44051.0</v>
      </c>
      <c r="O237" s="44">
        <v>44115.0</v>
      </c>
      <c r="P237" s="42">
        <f t="shared" si="3"/>
        <v>64</v>
      </c>
      <c r="Q237" s="42">
        <v>90.0</v>
      </c>
      <c r="R237" s="42">
        <f t="shared" si="4"/>
        <v>-26</v>
      </c>
      <c r="S237" s="42" t="s">
        <v>681</v>
      </c>
      <c r="T237" s="42" t="s">
        <v>682</v>
      </c>
      <c r="U237" s="42" t="s">
        <v>117</v>
      </c>
      <c r="V237" s="42" t="s">
        <v>147</v>
      </c>
      <c r="W237" s="42" t="s">
        <v>133</v>
      </c>
      <c r="X237" s="42" t="s">
        <v>168</v>
      </c>
      <c r="Y237" s="42">
        <v>2024.0</v>
      </c>
      <c r="Z237" s="42" t="s">
        <v>135</v>
      </c>
      <c r="AA237" s="42">
        <v>2498.0</v>
      </c>
      <c r="AB237" s="42">
        <v>16.0</v>
      </c>
      <c r="AC237" s="42">
        <v>1.0</v>
      </c>
      <c r="AD237" s="45">
        <v>460956.52</v>
      </c>
      <c r="AE237" s="45">
        <v>86959.0</v>
      </c>
      <c r="AF237" s="46">
        <v>0.19</v>
      </c>
      <c r="AG237" s="45">
        <v>13101.48</v>
      </c>
      <c r="AH237" s="45">
        <v>2345.0</v>
      </c>
      <c r="AI237" s="42">
        <v>7.75</v>
      </c>
      <c r="AJ237" s="45">
        <v>193602.0</v>
      </c>
      <c r="AK237" s="42">
        <v>42.0</v>
      </c>
      <c r="AL237" s="44">
        <v>44115.0</v>
      </c>
      <c r="AM237" s="44">
        <v>45941.0</v>
      </c>
      <c r="AN237" s="42">
        <v>60.0</v>
      </c>
      <c r="AO237" s="42">
        <v>3000.0</v>
      </c>
      <c r="AP237" s="42">
        <v>180000.0</v>
      </c>
      <c r="AQ237" s="44">
        <v>45900.0</v>
      </c>
      <c r="AR237" s="42">
        <v>19947.0</v>
      </c>
      <c r="AS237" s="42">
        <v>21888.0</v>
      </c>
      <c r="AT237" s="42">
        <v>1941.0</v>
      </c>
      <c r="AU237" s="42">
        <v>21511.0</v>
      </c>
      <c r="AV237" s="42">
        <v>2390.0</v>
      </c>
      <c r="AW237" s="45">
        <v>6019.32</v>
      </c>
      <c r="AX237" s="45">
        <v>1320.0</v>
      </c>
      <c r="AY237" s="45">
        <v>125.0</v>
      </c>
      <c r="AZ237" s="45">
        <v>290.99</v>
      </c>
      <c r="BA237" s="45">
        <v>1083.24</v>
      </c>
      <c r="BB237" s="45">
        <v>8838.55</v>
      </c>
      <c r="BC237" s="45">
        <v>1325.78</v>
      </c>
      <c r="BD237" s="45">
        <v>10164.33</v>
      </c>
      <c r="BE237" s="44">
        <v>45748.0</v>
      </c>
      <c r="BF237" s="44">
        <v>45838.0</v>
      </c>
      <c r="BG237" s="42">
        <v>16774.0</v>
      </c>
      <c r="BH237" s="42">
        <v>21888.0</v>
      </c>
      <c r="BI237" s="42">
        <v>5114.0</v>
      </c>
      <c r="BJ237" s="42">
        <v>9000.0</v>
      </c>
      <c r="BK237" s="42">
        <v>-3886.0</v>
      </c>
      <c r="BL237" s="45">
        <v>0.51</v>
      </c>
      <c r="BM237" s="45">
        <v>1.49</v>
      </c>
      <c r="BN237" s="45">
        <v>0.0</v>
      </c>
      <c r="BO237" s="45">
        <v>0.0</v>
      </c>
      <c r="BP237" s="45">
        <v>0.0</v>
      </c>
      <c r="BQ237" s="45">
        <v>-256.48</v>
      </c>
      <c r="BR237" s="45">
        <v>0.0</v>
      </c>
      <c r="BS237" s="45">
        <v>0.0</v>
      </c>
      <c r="BT237" s="45">
        <v>0.0</v>
      </c>
      <c r="BU237" s="45">
        <v>0.0</v>
      </c>
      <c r="BV237" s="45">
        <v>0.0</v>
      </c>
      <c r="BW237" s="45">
        <v>0.0</v>
      </c>
      <c r="BX237" s="45">
        <v>0.0</v>
      </c>
      <c r="BY237" s="45">
        <v>3382.9</v>
      </c>
      <c r="BZ237" s="42">
        <v>0.0</v>
      </c>
      <c r="CA237" s="45">
        <v>0.0</v>
      </c>
      <c r="CB237" s="42">
        <v>0.0</v>
      </c>
      <c r="CC237" s="45">
        <v>0.0</v>
      </c>
      <c r="CD237" s="45">
        <v>0.0</v>
      </c>
      <c r="CE237" s="45">
        <v>0.0</v>
      </c>
      <c r="CF237" s="45">
        <v>0.0</v>
      </c>
      <c r="CG237" s="45">
        <v>0.0</v>
      </c>
      <c r="CH237" s="45">
        <v>8198.01</v>
      </c>
      <c r="CI237" s="45">
        <v>1069.3</v>
      </c>
      <c r="CJ237" s="45">
        <v>7128.71</v>
      </c>
      <c r="CK237" s="45">
        <v>3.67</v>
      </c>
      <c r="CL237" s="42">
        <v>0.0</v>
      </c>
      <c r="CM237" s="42">
        <v>0.0</v>
      </c>
      <c r="CN237" s="42">
        <v>0.0</v>
      </c>
      <c r="CO237" s="42">
        <v>100.0</v>
      </c>
      <c r="CP237" s="44"/>
      <c r="CQ237" s="42">
        <v>0.0</v>
      </c>
      <c r="CR237" s="42">
        <v>0.0</v>
      </c>
      <c r="CS237" s="42">
        <v>0.0</v>
      </c>
      <c r="CT237" s="42">
        <v>-6771.0</v>
      </c>
      <c r="CU237" s="44">
        <v>47391.0</v>
      </c>
      <c r="CV237" s="44">
        <v>47391.0</v>
      </c>
      <c r="CW237" s="42">
        <v>180377.0</v>
      </c>
      <c r="CX237" s="42" t="s">
        <v>122</v>
      </c>
      <c r="CY237" s="42" t="s">
        <v>123</v>
      </c>
      <c r="CZ237" s="45">
        <v>249.9</v>
      </c>
      <c r="DA237" s="45">
        <v>730.1</v>
      </c>
      <c r="DB237" s="45">
        <v>-3194.84</v>
      </c>
      <c r="DC237" s="45">
        <v>0.44</v>
      </c>
      <c r="DD237" s="45">
        <v>-1709.84</v>
      </c>
      <c r="DE237" s="45">
        <v>-1966.32</v>
      </c>
      <c r="DF237" s="42"/>
    </row>
    <row r="238" ht="13.5" customHeight="1">
      <c r="A238" s="42" t="s">
        <v>203</v>
      </c>
      <c r="B238" s="43">
        <v>44044.0</v>
      </c>
      <c r="C238" s="42" t="s">
        <v>136</v>
      </c>
      <c r="D238" s="42" t="s">
        <v>125</v>
      </c>
      <c r="E238" s="42" t="s">
        <v>126</v>
      </c>
      <c r="F238" s="42" t="s">
        <v>176</v>
      </c>
      <c r="G238" s="42" t="s">
        <v>140</v>
      </c>
      <c r="H238" s="42" t="s">
        <v>129</v>
      </c>
      <c r="I238" s="44">
        <v>44069.0</v>
      </c>
      <c r="J238" s="44">
        <v>44072.0</v>
      </c>
      <c r="K238" s="42">
        <f t="shared" si="1"/>
        <v>3</v>
      </c>
      <c r="L238" s="42">
        <v>1.0</v>
      </c>
      <c r="M238" s="42">
        <f t="shared" si="2"/>
        <v>2</v>
      </c>
      <c r="N238" s="44">
        <v>44051.0</v>
      </c>
      <c r="O238" s="44">
        <v>44116.0</v>
      </c>
      <c r="P238" s="42">
        <f t="shared" si="3"/>
        <v>65</v>
      </c>
      <c r="Q238" s="42">
        <v>90.0</v>
      </c>
      <c r="R238" s="42">
        <f t="shared" si="4"/>
        <v>-25</v>
      </c>
      <c r="S238" s="42" t="s">
        <v>683</v>
      </c>
      <c r="T238" s="42" t="s">
        <v>684</v>
      </c>
      <c r="U238" s="42" t="s">
        <v>117</v>
      </c>
      <c r="V238" s="42" t="s">
        <v>147</v>
      </c>
      <c r="W238" s="42" t="s">
        <v>182</v>
      </c>
      <c r="X238" s="42" t="s">
        <v>183</v>
      </c>
      <c r="Y238" s="42">
        <v>2024.0</v>
      </c>
      <c r="Z238" s="42" t="s">
        <v>135</v>
      </c>
      <c r="AA238" s="42">
        <v>1998.0</v>
      </c>
      <c r="AB238" s="42">
        <v>16.0</v>
      </c>
      <c r="AC238" s="42">
        <v>0.0</v>
      </c>
      <c r="AD238" s="45">
        <v>491833.91</v>
      </c>
      <c r="AE238" s="45">
        <v>35437.99</v>
      </c>
      <c r="AF238" s="46">
        <v>0.07</v>
      </c>
      <c r="AG238" s="45">
        <v>112471.96</v>
      </c>
      <c r="AH238" s="45">
        <v>2633.0</v>
      </c>
      <c r="AI238" s="42">
        <v>7.75</v>
      </c>
      <c r="AJ238" s="45">
        <v>269830.0</v>
      </c>
      <c r="AK238" s="42">
        <v>54.86</v>
      </c>
      <c r="AL238" s="44">
        <v>44116.0</v>
      </c>
      <c r="AM238" s="44">
        <v>45942.0</v>
      </c>
      <c r="AN238" s="42">
        <v>40.0</v>
      </c>
      <c r="AO238" s="42">
        <v>5500.0</v>
      </c>
      <c r="AP238" s="42">
        <v>220000.0</v>
      </c>
      <c r="AQ238" s="44">
        <v>45900.0</v>
      </c>
      <c r="AR238" s="42">
        <v>7738.0</v>
      </c>
      <c r="AS238" s="42">
        <v>8031.0</v>
      </c>
      <c r="AT238" s="42">
        <v>293.0</v>
      </c>
      <c r="AU238" s="42">
        <v>7415.0</v>
      </c>
      <c r="AV238" s="42">
        <v>927.0</v>
      </c>
      <c r="AW238" s="45">
        <v>11225.86</v>
      </c>
      <c r="AX238" s="45">
        <v>3080.0</v>
      </c>
      <c r="AY238" s="45">
        <v>125.0</v>
      </c>
      <c r="AZ238" s="45">
        <v>290.98</v>
      </c>
      <c r="BA238" s="45">
        <v>1538.21</v>
      </c>
      <c r="BB238" s="45">
        <v>16260.05</v>
      </c>
      <c r="BC238" s="45">
        <v>2439.01</v>
      </c>
      <c r="BD238" s="45">
        <v>18699.06</v>
      </c>
      <c r="BE238" s="44">
        <v>45748.0</v>
      </c>
      <c r="BF238" s="44">
        <v>45838.0</v>
      </c>
      <c r="BG238" s="42">
        <v>5978.0</v>
      </c>
      <c r="BH238" s="42">
        <v>8031.0</v>
      </c>
      <c r="BI238" s="42">
        <v>2053.0</v>
      </c>
      <c r="BJ238" s="42">
        <v>16500.0</v>
      </c>
      <c r="BK238" s="42">
        <v>-14447.0</v>
      </c>
      <c r="BL238" s="45">
        <v>0.64</v>
      </c>
      <c r="BM238" s="45">
        <v>1.01</v>
      </c>
      <c r="BN238" s="45">
        <v>0.0</v>
      </c>
      <c r="BO238" s="45">
        <v>0.0</v>
      </c>
      <c r="BP238" s="45">
        <v>0.0</v>
      </c>
      <c r="BQ238" s="45">
        <v>-1213.55</v>
      </c>
      <c r="BR238" s="45">
        <v>0.0</v>
      </c>
      <c r="BS238" s="45">
        <v>0.0</v>
      </c>
      <c r="BT238" s="45">
        <v>0.0</v>
      </c>
      <c r="BU238" s="45">
        <v>0.0</v>
      </c>
      <c r="BV238" s="45">
        <v>0.0</v>
      </c>
      <c r="BW238" s="45">
        <v>0.0</v>
      </c>
      <c r="BX238" s="45">
        <v>0.0</v>
      </c>
      <c r="BY238" s="45">
        <v>0.0</v>
      </c>
      <c r="BZ238" s="42">
        <v>0.0</v>
      </c>
      <c r="CA238" s="45">
        <v>0.0</v>
      </c>
      <c r="CB238" s="42">
        <v>0.0</v>
      </c>
      <c r="CC238" s="45">
        <v>0.0</v>
      </c>
      <c r="CD238" s="45">
        <v>0.0</v>
      </c>
      <c r="CE238" s="45">
        <v>0.0</v>
      </c>
      <c r="CF238" s="45">
        <v>0.0</v>
      </c>
      <c r="CG238" s="45">
        <v>0.0</v>
      </c>
      <c r="CH238" s="45">
        <v>9395.19</v>
      </c>
      <c r="CI238" s="45">
        <v>1225.46</v>
      </c>
      <c r="CJ238" s="45">
        <v>8169.73</v>
      </c>
      <c r="CK238" s="45">
        <v>27.88</v>
      </c>
      <c r="CL238" s="42">
        <v>0.0</v>
      </c>
      <c r="CM238" s="42">
        <v>0.0</v>
      </c>
      <c r="CN238" s="42">
        <v>0.0</v>
      </c>
      <c r="CO238" s="42">
        <v>100.0</v>
      </c>
      <c r="CP238" s="44"/>
      <c r="CQ238" s="42">
        <v>0.0</v>
      </c>
      <c r="CR238" s="42">
        <v>0.0</v>
      </c>
      <c r="CS238" s="42">
        <v>0.0</v>
      </c>
      <c r="CT238" s="42">
        <v>-40924.0</v>
      </c>
      <c r="CU238" s="44">
        <v>46812.0</v>
      </c>
      <c r="CV238" s="44">
        <v>46812.0</v>
      </c>
      <c r="CW238" s="42">
        <v>220616.0</v>
      </c>
      <c r="CX238" s="42" t="s">
        <v>122</v>
      </c>
      <c r="CY238" s="42" t="s">
        <v>123</v>
      </c>
      <c r="CZ238" s="45">
        <v>0.0</v>
      </c>
      <c r="DA238" s="45">
        <v>0.0</v>
      </c>
      <c r="DB238" s="45">
        <v>-22917.44</v>
      </c>
      <c r="DC238" s="45">
        <v>0.56</v>
      </c>
      <c r="DD238" s="45">
        <v>-8090.32</v>
      </c>
      <c r="DE238" s="45">
        <v>-9303.87</v>
      </c>
      <c r="DF238" s="42"/>
    </row>
    <row r="239" ht="13.5" customHeight="1">
      <c r="A239" s="42" t="s">
        <v>203</v>
      </c>
      <c r="B239" s="43">
        <v>44044.0</v>
      </c>
      <c r="C239" s="42" t="s">
        <v>109</v>
      </c>
      <c r="D239" s="42" t="s">
        <v>137</v>
      </c>
      <c r="E239" s="42" t="s">
        <v>138</v>
      </c>
      <c r="F239" s="42" t="s">
        <v>176</v>
      </c>
      <c r="G239" s="42" t="s">
        <v>140</v>
      </c>
      <c r="H239" s="42" t="s">
        <v>141</v>
      </c>
      <c r="I239" s="44">
        <v>44070.0</v>
      </c>
      <c r="J239" s="44">
        <v>44071.0</v>
      </c>
      <c r="K239" s="42">
        <f t="shared" si="1"/>
        <v>1</v>
      </c>
      <c r="L239" s="42">
        <v>1.0</v>
      </c>
      <c r="M239" s="42">
        <f t="shared" si="2"/>
        <v>0</v>
      </c>
      <c r="N239" s="44">
        <v>44053.0</v>
      </c>
      <c r="O239" s="44">
        <v>44117.0</v>
      </c>
      <c r="P239" s="42">
        <f t="shared" si="3"/>
        <v>64</v>
      </c>
      <c r="Q239" s="42">
        <v>90.0</v>
      </c>
      <c r="R239" s="42">
        <f t="shared" si="4"/>
        <v>-26</v>
      </c>
      <c r="S239" s="42" t="s">
        <v>685</v>
      </c>
      <c r="T239" s="42" t="s">
        <v>686</v>
      </c>
      <c r="U239" s="42" t="s">
        <v>117</v>
      </c>
      <c r="V239" s="42" t="s">
        <v>147</v>
      </c>
      <c r="W239" s="42" t="s">
        <v>182</v>
      </c>
      <c r="X239" s="42" t="s">
        <v>183</v>
      </c>
      <c r="Y239" s="42">
        <v>2024.0</v>
      </c>
      <c r="Z239" s="42" t="s">
        <v>135</v>
      </c>
      <c r="AA239" s="42">
        <v>1998.0</v>
      </c>
      <c r="AB239" s="42">
        <v>16.0</v>
      </c>
      <c r="AC239" s="42">
        <v>0.0</v>
      </c>
      <c r="AD239" s="45">
        <v>491833.91</v>
      </c>
      <c r="AE239" s="45">
        <v>35437.99</v>
      </c>
      <c r="AF239" s="46">
        <v>0.07</v>
      </c>
      <c r="AG239" s="45">
        <v>108316.69</v>
      </c>
      <c r="AH239" s="45">
        <v>2322.0</v>
      </c>
      <c r="AI239" s="42">
        <v>7.75</v>
      </c>
      <c r="AJ239" s="45">
        <v>269830.0</v>
      </c>
      <c r="AK239" s="42">
        <v>54.86</v>
      </c>
      <c r="AL239" s="44">
        <v>44117.0</v>
      </c>
      <c r="AM239" s="44">
        <v>45943.0</v>
      </c>
      <c r="AN239" s="42">
        <v>40.0</v>
      </c>
      <c r="AO239" s="42">
        <v>5500.0</v>
      </c>
      <c r="AP239" s="42">
        <v>220000.0</v>
      </c>
      <c r="AQ239" s="44">
        <v>45900.0</v>
      </c>
      <c r="AR239" s="42">
        <v>23047.0</v>
      </c>
      <c r="AS239" s="42">
        <v>28726.0</v>
      </c>
      <c r="AT239" s="42">
        <v>5679.0</v>
      </c>
      <c r="AU239" s="42">
        <v>28645.0</v>
      </c>
      <c r="AV239" s="42">
        <v>3581.0</v>
      </c>
      <c r="AW239" s="45">
        <v>11098.68</v>
      </c>
      <c r="AX239" s="45">
        <v>3080.0</v>
      </c>
      <c r="AY239" s="45">
        <v>125.0</v>
      </c>
      <c r="AZ239" s="45">
        <v>290.98</v>
      </c>
      <c r="BA239" s="45">
        <v>1538.21</v>
      </c>
      <c r="BB239" s="45">
        <v>16132.87</v>
      </c>
      <c r="BC239" s="45">
        <v>2419.93</v>
      </c>
      <c r="BD239" s="45">
        <v>18552.8</v>
      </c>
      <c r="BE239" s="44">
        <v>45748.0</v>
      </c>
      <c r="BF239" s="44">
        <v>45838.0</v>
      </c>
      <c r="BG239" s="42">
        <v>18953.0</v>
      </c>
      <c r="BH239" s="42">
        <v>28726.0</v>
      </c>
      <c r="BI239" s="42">
        <v>9773.0</v>
      </c>
      <c r="BJ239" s="42">
        <v>16500.0</v>
      </c>
      <c r="BK239" s="42">
        <v>-6727.0</v>
      </c>
      <c r="BL239" s="45">
        <v>0.64</v>
      </c>
      <c r="BM239" s="45">
        <v>1.01</v>
      </c>
      <c r="BN239" s="45">
        <v>0.0</v>
      </c>
      <c r="BO239" s="45">
        <v>0.0</v>
      </c>
      <c r="BP239" s="45">
        <v>0.0</v>
      </c>
      <c r="BQ239" s="45">
        <v>-565.07</v>
      </c>
      <c r="BR239" s="45">
        <v>0.0</v>
      </c>
      <c r="BS239" s="45">
        <v>0.0</v>
      </c>
      <c r="BT239" s="45">
        <v>0.0</v>
      </c>
      <c r="BU239" s="45">
        <v>0.0</v>
      </c>
      <c r="BV239" s="45">
        <v>0.0</v>
      </c>
      <c r="BW239" s="45">
        <v>0.0</v>
      </c>
      <c r="BX239" s="45">
        <v>0.0</v>
      </c>
      <c r="BY239" s="45">
        <v>12938.39</v>
      </c>
      <c r="BZ239" s="42">
        <v>0.0</v>
      </c>
      <c r="CA239" s="45">
        <v>0.0</v>
      </c>
      <c r="CB239" s="42">
        <v>0.0</v>
      </c>
      <c r="CC239" s="45">
        <v>0.0</v>
      </c>
      <c r="CD239" s="45">
        <v>0.0</v>
      </c>
      <c r="CE239" s="45">
        <v>0.0</v>
      </c>
      <c r="CF239" s="45">
        <v>0.0</v>
      </c>
      <c r="CG239" s="45">
        <v>0.0</v>
      </c>
      <c r="CH239" s="45">
        <v>14220.61</v>
      </c>
      <c r="CI239" s="45">
        <v>1854.86</v>
      </c>
      <c r="CJ239" s="45">
        <v>12365.75</v>
      </c>
      <c r="CK239" s="45">
        <v>2.18</v>
      </c>
      <c r="CL239" s="42">
        <v>0.0</v>
      </c>
      <c r="CM239" s="42">
        <v>0.0</v>
      </c>
      <c r="CN239" s="42">
        <v>0.0</v>
      </c>
      <c r="CO239" s="42">
        <v>100.0</v>
      </c>
      <c r="CP239" s="44"/>
      <c r="CQ239" s="42">
        <v>0.0</v>
      </c>
      <c r="CR239" s="42">
        <v>0.0</v>
      </c>
      <c r="CS239" s="42">
        <v>0.0</v>
      </c>
      <c r="CT239" s="42">
        <v>-19694.0</v>
      </c>
      <c r="CU239" s="44">
        <v>46812.0</v>
      </c>
      <c r="CV239" s="44">
        <v>46812.0</v>
      </c>
      <c r="CW239" s="42">
        <v>220081.0</v>
      </c>
      <c r="CX239" s="42" t="s">
        <v>122</v>
      </c>
      <c r="CY239" s="42" t="s">
        <v>123</v>
      </c>
      <c r="CZ239" s="45">
        <v>0.0</v>
      </c>
      <c r="DA239" s="45">
        <v>0.0</v>
      </c>
      <c r="DB239" s="45">
        <v>-11028.64</v>
      </c>
      <c r="DC239" s="45">
        <v>0.56</v>
      </c>
      <c r="DD239" s="45">
        <v>-3767.12</v>
      </c>
      <c r="DE239" s="45">
        <v>-4332.19</v>
      </c>
      <c r="DF239" s="42"/>
    </row>
    <row r="240" ht="13.5" customHeight="1">
      <c r="A240" s="42" t="s">
        <v>203</v>
      </c>
      <c r="B240" s="43">
        <v>44044.0</v>
      </c>
      <c r="C240" s="42" t="s">
        <v>124</v>
      </c>
      <c r="D240" s="42" t="s">
        <v>110</v>
      </c>
      <c r="E240" s="42" t="s">
        <v>111</v>
      </c>
      <c r="F240" s="42" t="s">
        <v>196</v>
      </c>
      <c r="G240" s="42" t="s">
        <v>140</v>
      </c>
      <c r="H240" s="42" t="s">
        <v>114</v>
      </c>
      <c r="I240" s="44">
        <v>44071.0</v>
      </c>
      <c r="J240" s="44">
        <v>44072.0</v>
      </c>
      <c r="K240" s="42">
        <f t="shared" si="1"/>
        <v>1</v>
      </c>
      <c r="L240" s="42">
        <v>1.0</v>
      </c>
      <c r="M240" s="42">
        <f t="shared" si="2"/>
        <v>0</v>
      </c>
      <c r="N240" s="44">
        <v>44054.0</v>
      </c>
      <c r="O240" s="44">
        <v>44118.0</v>
      </c>
      <c r="P240" s="42">
        <f t="shared" si="3"/>
        <v>64</v>
      </c>
      <c r="Q240" s="42">
        <v>90.0</v>
      </c>
      <c r="R240" s="42">
        <f t="shared" si="4"/>
        <v>-26</v>
      </c>
      <c r="S240" s="42" t="s">
        <v>687</v>
      </c>
      <c r="T240" s="42" t="s">
        <v>688</v>
      </c>
      <c r="U240" s="42" t="s">
        <v>117</v>
      </c>
      <c r="V240" s="42" t="s">
        <v>132</v>
      </c>
      <c r="W240" s="42" t="s">
        <v>119</v>
      </c>
      <c r="X240" s="42" t="s">
        <v>433</v>
      </c>
      <c r="Y240" s="42">
        <v>2024.0</v>
      </c>
      <c r="Z240" s="42" t="s">
        <v>135</v>
      </c>
      <c r="AA240" s="42">
        <v>2498.0</v>
      </c>
      <c r="AB240" s="42">
        <v>16.0</v>
      </c>
      <c r="AC240" s="42">
        <v>0.0</v>
      </c>
      <c r="AD240" s="45">
        <v>439391.0</v>
      </c>
      <c r="AE240" s="45">
        <v>51930.79</v>
      </c>
      <c r="AF240" s="46">
        <v>0.12</v>
      </c>
      <c r="AG240" s="45">
        <v>34877.65</v>
      </c>
      <c r="AH240" s="45">
        <v>2124.0</v>
      </c>
      <c r="AI240" s="42">
        <v>7.75</v>
      </c>
      <c r="AJ240" s="45">
        <v>158181.0</v>
      </c>
      <c r="AK240" s="42">
        <v>36.0</v>
      </c>
      <c r="AL240" s="44">
        <v>44118.0</v>
      </c>
      <c r="AM240" s="44">
        <v>45944.0</v>
      </c>
      <c r="AN240" s="42">
        <v>60.0</v>
      </c>
      <c r="AO240" s="42">
        <v>3000.0</v>
      </c>
      <c r="AP240" s="42">
        <v>180000.0</v>
      </c>
      <c r="AQ240" s="44">
        <v>45900.0</v>
      </c>
      <c r="AR240" s="42">
        <v>21860.0</v>
      </c>
      <c r="AS240" s="42">
        <v>22789.0</v>
      </c>
      <c r="AT240" s="42">
        <v>929.0</v>
      </c>
      <c r="AU240" s="42">
        <v>22321.0</v>
      </c>
      <c r="AV240" s="42">
        <v>2790.0</v>
      </c>
      <c r="AW240" s="45">
        <v>7220.1</v>
      </c>
      <c r="AX240" s="45">
        <v>1380.0</v>
      </c>
      <c r="AY240" s="45">
        <v>125.0</v>
      </c>
      <c r="AZ240" s="45">
        <v>291.0</v>
      </c>
      <c r="BA240" s="45">
        <v>1553.61</v>
      </c>
      <c r="BB240" s="45">
        <v>10569.71</v>
      </c>
      <c r="BC240" s="45">
        <v>1585.46</v>
      </c>
      <c r="BD240" s="45">
        <v>12155.17</v>
      </c>
      <c r="BE240" s="44">
        <v>45748.0</v>
      </c>
      <c r="BF240" s="44">
        <v>45838.0</v>
      </c>
      <c r="BG240" s="42">
        <v>14964.0</v>
      </c>
      <c r="BH240" s="42">
        <v>22789.0</v>
      </c>
      <c r="BI240" s="42">
        <v>7825.0</v>
      </c>
      <c r="BJ240" s="42">
        <v>9000.0</v>
      </c>
      <c r="BK240" s="42">
        <v>-1175.0</v>
      </c>
      <c r="BL240" s="45">
        <v>0.87</v>
      </c>
      <c r="BM240" s="45">
        <v>1.22</v>
      </c>
      <c r="BN240" s="45">
        <v>0.0</v>
      </c>
      <c r="BO240" s="45">
        <v>0.0</v>
      </c>
      <c r="BP240" s="45">
        <v>0.0</v>
      </c>
      <c r="BQ240" s="45">
        <v>-81.08</v>
      </c>
      <c r="BR240" s="45">
        <v>0.0</v>
      </c>
      <c r="BS240" s="45">
        <v>0.0</v>
      </c>
      <c r="BT240" s="45">
        <v>0.0</v>
      </c>
      <c r="BU240" s="45">
        <v>0.0</v>
      </c>
      <c r="BV240" s="45">
        <v>0.0</v>
      </c>
      <c r="BW240" s="45">
        <v>0.0</v>
      </c>
      <c r="BX240" s="45">
        <v>0.0</v>
      </c>
      <c r="BY240" s="45">
        <v>1392.4</v>
      </c>
      <c r="BZ240" s="42">
        <v>0.0</v>
      </c>
      <c r="CA240" s="45">
        <v>0.0</v>
      </c>
      <c r="CB240" s="42">
        <v>0.0</v>
      </c>
      <c r="CC240" s="45">
        <v>0.0</v>
      </c>
      <c r="CD240" s="45">
        <v>0.0</v>
      </c>
      <c r="CE240" s="45">
        <v>0.0</v>
      </c>
      <c r="CF240" s="45">
        <v>0.0</v>
      </c>
      <c r="CG240" s="45">
        <v>0.0</v>
      </c>
      <c r="CH240" s="45">
        <v>11533.59</v>
      </c>
      <c r="CI240" s="45">
        <v>1504.38</v>
      </c>
      <c r="CJ240" s="45">
        <v>10029.21</v>
      </c>
      <c r="CK240" s="45">
        <v>10.8</v>
      </c>
      <c r="CL240" s="42">
        <v>0.0</v>
      </c>
      <c r="CM240" s="42">
        <v>0.0</v>
      </c>
      <c r="CN240" s="42">
        <v>0.0</v>
      </c>
      <c r="CO240" s="42">
        <v>100.0</v>
      </c>
      <c r="CP240" s="44"/>
      <c r="CQ240" s="42">
        <v>0.0</v>
      </c>
      <c r="CR240" s="42">
        <v>0.0</v>
      </c>
      <c r="CS240" s="42">
        <v>0.0</v>
      </c>
      <c r="CT240" s="42">
        <v>-4539.0</v>
      </c>
      <c r="CU240" s="44">
        <v>47422.0</v>
      </c>
      <c r="CV240" s="44">
        <v>47422.0</v>
      </c>
      <c r="CW240" s="42">
        <v>180468.0</v>
      </c>
      <c r="CX240" s="42" t="s">
        <v>122</v>
      </c>
      <c r="CY240" s="42" t="s">
        <v>123</v>
      </c>
      <c r="CZ240" s="45">
        <v>654.58</v>
      </c>
      <c r="DA240" s="45">
        <v>0.0</v>
      </c>
      <c r="DB240" s="45">
        <v>-2742.52</v>
      </c>
      <c r="DC240" s="45">
        <v>0.46</v>
      </c>
      <c r="DD240" s="45">
        <v>-540.5</v>
      </c>
      <c r="DE240" s="45">
        <v>-621.58</v>
      </c>
      <c r="DF240" s="42"/>
    </row>
    <row r="241" ht="13.5" customHeight="1">
      <c r="A241" s="42" t="s">
        <v>203</v>
      </c>
      <c r="B241" s="43">
        <v>44044.0</v>
      </c>
      <c r="C241" s="42" t="s">
        <v>136</v>
      </c>
      <c r="D241" s="42" t="s">
        <v>125</v>
      </c>
      <c r="E241" s="42" t="s">
        <v>126</v>
      </c>
      <c r="F241" s="42" t="s">
        <v>176</v>
      </c>
      <c r="G241" s="42" t="s">
        <v>140</v>
      </c>
      <c r="H241" s="42" t="s">
        <v>129</v>
      </c>
      <c r="I241" s="44">
        <v>44072.0</v>
      </c>
      <c r="J241" s="44">
        <v>44073.0</v>
      </c>
      <c r="K241" s="42">
        <f t="shared" si="1"/>
        <v>1</v>
      </c>
      <c r="L241" s="42">
        <v>1.0</v>
      </c>
      <c r="M241" s="42">
        <f t="shared" si="2"/>
        <v>0</v>
      </c>
      <c r="N241" s="44">
        <v>44055.0</v>
      </c>
      <c r="O241" s="44">
        <v>44119.0</v>
      </c>
      <c r="P241" s="42">
        <f t="shared" si="3"/>
        <v>64</v>
      </c>
      <c r="Q241" s="42">
        <v>90.0</v>
      </c>
      <c r="R241" s="42">
        <f t="shared" si="4"/>
        <v>-26</v>
      </c>
      <c r="S241" s="42" t="s">
        <v>689</v>
      </c>
      <c r="T241" s="42" t="s">
        <v>690</v>
      </c>
      <c r="U241" s="42" t="s">
        <v>117</v>
      </c>
      <c r="V241" s="42" t="s">
        <v>147</v>
      </c>
      <c r="W241" s="42" t="s">
        <v>133</v>
      </c>
      <c r="X241" s="42" t="s">
        <v>168</v>
      </c>
      <c r="Y241" s="42">
        <v>2024.0</v>
      </c>
      <c r="Z241" s="42" t="s">
        <v>135</v>
      </c>
      <c r="AA241" s="42">
        <v>2498.0</v>
      </c>
      <c r="AB241" s="42">
        <v>16.0</v>
      </c>
      <c r="AC241" s="42">
        <v>0.0</v>
      </c>
      <c r="AD241" s="45">
        <v>460956.52</v>
      </c>
      <c r="AE241" s="45">
        <v>86959.0</v>
      </c>
      <c r="AF241" s="46">
        <v>0.19</v>
      </c>
      <c r="AG241" s="45">
        <v>12932.38</v>
      </c>
      <c r="AH241" s="45">
        <v>2345.0</v>
      </c>
      <c r="AI241" s="42">
        <v>7.75</v>
      </c>
      <c r="AJ241" s="45">
        <v>193602.0</v>
      </c>
      <c r="AK241" s="42">
        <v>42.0</v>
      </c>
      <c r="AL241" s="44">
        <v>44119.0</v>
      </c>
      <c r="AM241" s="44">
        <v>45945.0</v>
      </c>
      <c r="AN241" s="42">
        <v>60.0</v>
      </c>
      <c r="AO241" s="42">
        <v>3000.0</v>
      </c>
      <c r="AP241" s="42">
        <v>180000.0</v>
      </c>
      <c r="AQ241" s="44">
        <v>45900.0</v>
      </c>
      <c r="AR241" s="42">
        <v>24636.0</v>
      </c>
      <c r="AS241" s="42">
        <v>27183.0</v>
      </c>
      <c r="AT241" s="42">
        <v>2547.0</v>
      </c>
      <c r="AU241" s="42">
        <v>26806.0</v>
      </c>
      <c r="AV241" s="42">
        <v>3351.0</v>
      </c>
      <c r="AW241" s="45">
        <v>6016.07</v>
      </c>
      <c r="AX241" s="45">
        <v>1320.0</v>
      </c>
      <c r="AY241" s="45">
        <v>125.0</v>
      </c>
      <c r="AZ241" s="45">
        <v>290.99</v>
      </c>
      <c r="BA241" s="45">
        <v>1083.24</v>
      </c>
      <c r="BB241" s="45">
        <v>8835.3</v>
      </c>
      <c r="BC241" s="45">
        <v>1325.3</v>
      </c>
      <c r="BD241" s="45">
        <v>10160.6</v>
      </c>
      <c r="BE241" s="44">
        <v>45748.0</v>
      </c>
      <c r="BF241" s="44">
        <v>45838.0</v>
      </c>
      <c r="BG241" s="42">
        <v>18657.0</v>
      </c>
      <c r="BH241" s="42">
        <v>27183.0</v>
      </c>
      <c r="BI241" s="42">
        <v>8526.0</v>
      </c>
      <c r="BJ241" s="42">
        <v>9000.0</v>
      </c>
      <c r="BK241" s="42">
        <v>-474.0</v>
      </c>
      <c r="BL241" s="45">
        <v>0.51</v>
      </c>
      <c r="BM241" s="45">
        <v>1.49</v>
      </c>
      <c r="BN241" s="45">
        <v>0.0</v>
      </c>
      <c r="BO241" s="45">
        <v>0.0</v>
      </c>
      <c r="BP241" s="45">
        <v>0.0</v>
      </c>
      <c r="BQ241" s="45">
        <v>-31.28</v>
      </c>
      <c r="BR241" s="45">
        <v>0.0</v>
      </c>
      <c r="BS241" s="45">
        <v>0.0</v>
      </c>
      <c r="BT241" s="45">
        <v>0.0</v>
      </c>
      <c r="BU241" s="45">
        <v>0.0</v>
      </c>
      <c r="BV241" s="45">
        <v>0.0</v>
      </c>
      <c r="BW241" s="45">
        <v>0.0</v>
      </c>
      <c r="BX241" s="45">
        <v>0.0</v>
      </c>
      <c r="BY241" s="45">
        <v>2865.61</v>
      </c>
      <c r="BZ241" s="42">
        <v>0.0</v>
      </c>
      <c r="CA241" s="45">
        <v>0.0</v>
      </c>
      <c r="CB241" s="42">
        <v>0.0</v>
      </c>
      <c r="CC241" s="45">
        <v>0.0</v>
      </c>
      <c r="CD241" s="45">
        <v>0.0</v>
      </c>
      <c r="CE241" s="45">
        <v>0.0</v>
      </c>
      <c r="CF241" s="45">
        <v>0.0</v>
      </c>
      <c r="CG241" s="45">
        <v>0.0</v>
      </c>
      <c r="CH241" s="45">
        <v>9920.76</v>
      </c>
      <c r="CI241" s="45">
        <v>1294.02</v>
      </c>
      <c r="CJ241" s="45">
        <v>8626.74</v>
      </c>
      <c r="CK241" s="45">
        <v>3.39</v>
      </c>
      <c r="CL241" s="42">
        <v>0.0</v>
      </c>
      <c r="CM241" s="42">
        <v>0.0</v>
      </c>
      <c r="CN241" s="42">
        <v>0.0</v>
      </c>
      <c r="CO241" s="42">
        <v>100.0</v>
      </c>
      <c r="CP241" s="44"/>
      <c r="CQ241" s="42">
        <v>0.0</v>
      </c>
      <c r="CR241" s="42">
        <v>0.0</v>
      </c>
      <c r="CS241" s="42">
        <v>0.0</v>
      </c>
      <c r="CT241" s="42">
        <v>-152.0</v>
      </c>
      <c r="CU241" s="44">
        <v>47422.0</v>
      </c>
      <c r="CV241" s="44">
        <v>47422.0</v>
      </c>
      <c r="CW241" s="42">
        <v>180377.0</v>
      </c>
      <c r="CX241" s="42" t="s">
        <v>122</v>
      </c>
      <c r="CY241" s="42" t="s">
        <v>123</v>
      </c>
      <c r="CZ241" s="45">
        <v>1399.95</v>
      </c>
      <c r="DA241" s="45">
        <v>4090.05</v>
      </c>
      <c r="DB241" s="45">
        <v>-1376.39</v>
      </c>
      <c r="DC241" s="45">
        <v>0.44</v>
      </c>
      <c r="DD241" s="45">
        <v>-208.56</v>
      </c>
      <c r="DE241" s="45">
        <v>-239.84</v>
      </c>
      <c r="DF241" s="42"/>
    </row>
    <row r="242" ht="13.5" customHeight="1">
      <c r="A242" s="42" t="s">
        <v>228</v>
      </c>
      <c r="B242" s="43">
        <v>44044.0</v>
      </c>
      <c r="C242" s="42" t="s">
        <v>109</v>
      </c>
      <c r="D242" s="42" t="s">
        <v>137</v>
      </c>
      <c r="E242" s="42" t="s">
        <v>138</v>
      </c>
      <c r="F242" s="42" t="s">
        <v>176</v>
      </c>
      <c r="G242" s="42" t="s">
        <v>140</v>
      </c>
      <c r="H242" s="42" t="s">
        <v>141</v>
      </c>
      <c r="I242" s="44">
        <v>44073.0</v>
      </c>
      <c r="J242" s="44">
        <v>44074.0</v>
      </c>
      <c r="K242" s="42">
        <f t="shared" si="1"/>
        <v>1</v>
      </c>
      <c r="L242" s="42">
        <v>1.0</v>
      </c>
      <c r="M242" s="42">
        <f t="shared" si="2"/>
        <v>0</v>
      </c>
      <c r="N242" s="44">
        <v>44056.0</v>
      </c>
      <c r="O242" s="44">
        <v>44188.0</v>
      </c>
      <c r="P242" s="42">
        <f t="shared" si="3"/>
        <v>132</v>
      </c>
      <c r="Q242" s="42">
        <v>90.0</v>
      </c>
      <c r="R242" s="42">
        <f t="shared" si="4"/>
        <v>42</v>
      </c>
      <c r="S242" s="42" t="s">
        <v>691</v>
      </c>
      <c r="T242" s="42" t="s">
        <v>692</v>
      </c>
      <c r="U242" s="42" t="s">
        <v>117</v>
      </c>
      <c r="V242" s="42" t="s">
        <v>147</v>
      </c>
      <c r="W242" s="42" t="s">
        <v>133</v>
      </c>
      <c r="X242" s="42" t="s">
        <v>168</v>
      </c>
      <c r="Y242" s="42">
        <v>2024.0</v>
      </c>
      <c r="Z242" s="42" t="s">
        <v>135</v>
      </c>
      <c r="AA242" s="42">
        <v>2498.0</v>
      </c>
      <c r="AB242" s="42">
        <v>16.0</v>
      </c>
      <c r="AC242" s="42">
        <v>0.0</v>
      </c>
      <c r="AD242" s="45">
        <v>460956.52</v>
      </c>
      <c r="AE242" s="45">
        <v>86959.0</v>
      </c>
      <c r="AF242" s="46">
        <v>0.19</v>
      </c>
      <c r="AG242" s="45">
        <v>34244.68</v>
      </c>
      <c r="AH242" s="45">
        <v>2447.0</v>
      </c>
      <c r="AI242" s="42">
        <v>7.75</v>
      </c>
      <c r="AJ242" s="45">
        <v>202821.0</v>
      </c>
      <c r="AK242" s="42">
        <v>44.0</v>
      </c>
      <c r="AL242" s="44">
        <v>44188.0</v>
      </c>
      <c r="AM242" s="44">
        <v>46014.0</v>
      </c>
      <c r="AN242" s="42">
        <v>44.0</v>
      </c>
      <c r="AO242" s="42">
        <v>5000.0</v>
      </c>
      <c r="AP242" s="42">
        <v>220000.0</v>
      </c>
      <c r="AQ242" s="44">
        <v>45900.0</v>
      </c>
      <c r="AR242" s="42">
        <v>11599.0</v>
      </c>
      <c r="AS242" s="42">
        <v>12627.0</v>
      </c>
      <c r="AT242" s="42">
        <v>1028.0</v>
      </c>
      <c r="AU242" s="42">
        <v>12025.0</v>
      </c>
      <c r="AV242" s="42">
        <v>1503.0</v>
      </c>
      <c r="AW242" s="45">
        <v>7581.81</v>
      </c>
      <c r="AX242" s="45">
        <v>2000.0</v>
      </c>
      <c r="AY242" s="45">
        <v>125.0</v>
      </c>
      <c r="AZ242" s="45">
        <v>291.0</v>
      </c>
      <c r="BA242" s="45">
        <v>1089.17</v>
      </c>
      <c r="BB242" s="45">
        <v>11086.98</v>
      </c>
      <c r="BC242" s="45">
        <v>1663.05</v>
      </c>
      <c r="BD242" s="45">
        <v>12750.03</v>
      </c>
      <c r="BE242" s="44">
        <v>45748.0</v>
      </c>
      <c r="BF242" s="44">
        <v>45838.0</v>
      </c>
      <c r="BG242" s="42">
        <v>7864.0</v>
      </c>
      <c r="BH242" s="42">
        <v>12627.0</v>
      </c>
      <c r="BI242" s="42">
        <v>4763.0</v>
      </c>
      <c r="BJ242" s="42">
        <v>15000.0</v>
      </c>
      <c r="BK242" s="42">
        <v>-10237.0</v>
      </c>
      <c r="BL242" s="45">
        <v>0.46</v>
      </c>
      <c r="BM242" s="45">
        <v>1.17</v>
      </c>
      <c r="BN242" s="45">
        <v>0.0</v>
      </c>
      <c r="BO242" s="45">
        <v>0.0</v>
      </c>
      <c r="BP242" s="45">
        <v>0.0</v>
      </c>
      <c r="BQ242" s="45">
        <v>-614.22</v>
      </c>
      <c r="BR242" s="45">
        <v>0.0</v>
      </c>
      <c r="BS242" s="45">
        <v>0.0</v>
      </c>
      <c r="BT242" s="45">
        <v>0.0</v>
      </c>
      <c r="BU242" s="45">
        <v>0.0</v>
      </c>
      <c r="BV242" s="45">
        <v>0.0</v>
      </c>
      <c r="BW242" s="45">
        <v>0.0</v>
      </c>
      <c r="BX242" s="45">
        <v>0.0</v>
      </c>
      <c r="BY242" s="45">
        <v>1416.86</v>
      </c>
      <c r="BZ242" s="42">
        <v>0.0</v>
      </c>
      <c r="CA242" s="45">
        <v>0.0</v>
      </c>
      <c r="CB242" s="42">
        <v>0.0</v>
      </c>
      <c r="CC242" s="45">
        <v>0.0</v>
      </c>
      <c r="CD242" s="45">
        <v>0.0</v>
      </c>
      <c r="CE242" s="45">
        <v>0.0</v>
      </c>
      <c r="CF242" s="45">
        <v>0.0</v>
      </c>
      <c r="CG242" s="45">
        <v>0.0</v>
      </c>
      <c r="CH242" s="45">
        <v>8041.01</v>
      </c>
      <c r="CI242" s="45">
        <v>1048.83</v>
      </c>
      <c r="CJ242" s="45">
        <v>6992.18</v>
      </c>
      <c r="CK242" s="45">
        <v>6.8</v>
      </c>
      <c r="CL242" s="42">
        <v>0.0</v>
      </c>
      <c r="CM242" s="42">
        <v>0.0</v>
      </c>
      <c r="CN242" s="42">
        <v>0.0</v>
      </c>
      <c r="CO242" s="42">
        <v>100.0</v>
      </c>
      <c r="CP242" s="44"/>
      <c r="CQ242" s="42">
        <v>0.0</v>
      </c>
      <c r="CR242" s="42">
        <v>0.0</v>
      </c>
      <c r="CS242" s="42">
        <v>0.0</v>
      </c>
      <c r="CT242" s="42">
        <v>-32906.0</v>
      </c>
      <c r="CU242" s="44">
        <v>46934.0</v>
      </c>
      <c r="CV242" s="44">
        <v>46934.0</v>
      </c>
      <c r="CW242" s="42">
        <v>220602.0</v>
      </c>
      <c r="CX242" s="42" t="s">
        <v>122</v>
      </c>
      <c r="CY242" s="42" t="s">
        <v>123</v>
      </c>
      <c r="CZ242" s="45">
        <v>0.0</v>
      </c>
      <c r="DA242" s="45">
        <v>0.0</v>
      </c>
      <c r="DB242" s="45">
        <v>-13162.4</v>
      </c>
      <c r="DC242" s="45">
        <v>0.4</v>
      </c>
      <c r="DD242" s="45">
        <v>-4094.8</v>
      </c>
      <c r="DE242" s="45">
        <v>-4709.02</v>
      </c>
      <c r="DF242" s="42"/>
    </row>
    <row r="243" ht="13.5" customHeight="1">
      <c r="A243" s="42" t="s">
        <v>228</v>
      </c>
      <c r="B243" s="43">
        <v>44044.0</v>
      </c>
      <c r="C243" s="42" t="s">
        <v>124</v>
      </c>
      <c r="D243" s="42" t="s">
        <v>110</v>
      </c>
      <c r="E243" s="42" t="s">
        <v>111</v>
      </c>
      <c r="F243" s="42" t="s">
        <v>176</v>
      </c>
      <c r="G243" s="42" t="s">
        <v>140</v>
      </c>
      <c r="H243" s="42" t="s">
        <v>114</v>
      </c>
      <c r="I243" s="44">
        <v>44074.0</v>
      </c>
      <c r="J243" s="44">
        <v>44079.0</v>
      </c>
      <c r="K243" s="42">
        <f t="shared" si="1"/>
        <v>5</v>
      </c>
      <c r="L243" s="42">
        <v>1.0</v>
      </c>
      <c r="M243" s="42">
        <f t="shared" si="2"/>
        <v>4</v>
      </c>
      <c r="N243" s="44">
        <v>44057.0</v>
      </c>
      <c r="O243" s="44">
        <v>44098.0</v>
      </c>
      <c r="P243" s="42">
        <f t="shared" si="3"/>
        <v>41</v>
      </c>
      <c r="Q243" s="42">
        <v>90.0</v>
      </c>
      <c r="R243" s="42">
        <f t="shared" si="4"/>
        <v>-49</v>
      </c>
      <c r="S243" s="42" t="s">
        <v>693</v>
      </c>
      <c r="T243" s="42" t="s">
        <v>694</v>
      </c>
      <c r="U243" s="42" t="s">
        <v>117</v>
      </c>
      <c r="V243" s="42" t="s">
        <v>147</v>
      </c>
      <c r="W243" s="42" t="s">
        <v>133</v>
      </c>
      <c r="X243" s="42" t="s">
        <v>168</v>
      </c>
      <c r="Y243" s="42">
        <v>2024.0</v>
      </c>
      <c r="Z243" s="42" t="s">
        <v>135</v>
      </c>
      <c r="AA243" s="42">
        <v>2498.0</v>
      </c>
      <c r="AB243" s="42">
        <v>16.0</v>
      </c>
      <c r="AC243" s="42">
        <v>0.0</v>
      </c>
      <c r="AD243" s="45">
        <v>460956.52</v>
      </c>
      <c r="AE243" s="45">
        <v>86959.0</v>
      </c>
      <c r="AF243" s="46">
        <v>0.19</v>
      </c>
      <c r="AG243" s="45">
        <v>35239.89</v>
      </c>
      <c r="AH243" s="45">
        <v>2447.0</v>
      </c>
      <c r="AI243" s="42">
        <v>7.75</v>
      </c>
      <c r="AJ243" s="45">
        <v>202821.0</v>
      </c>
      <c r="AK243" s="42">
        <v>44.0</v>
      </c>
      <c r="AL243" s="44">
        <v>44098.0</v>
      </c>
      <c r="AM243" s="44">
        <v>45924.0</v>
      </c>
      <c r="AN243" s="42">
        <v>44.0</v>
      </c>
      <c r="AO243" s="42">
        <v>5000.0</v>
      </c>
      <c r="AP243" s="42">
        <v>220000.0</v>
      </c>
      <c r="AQ243" s="44">
        <v>45900.0</v>
      </c>
      <c r="AR243" s="42">
        <v>13936.0</v>
      </c>
      <c r="AS243" s="42">
        <v>14473.0</v>
      </c>
      <c r="AT243" s="42">
        <v>537.0</v>
      </c>
      <c r="AU243" s="42">
        <v>13879.0</v>
      </c>
      <c r="AV243" s="42">
        <v>1735.0</v>
      </c>
      <c r="AW243" s="45">
        <v>7607.9</v>
      </c>
      <c r="AX243" s="45">
        <v>2000.0</v>
      </c>
      <c r="AY243" s="45">
        <v>125.0</v>
      </c>
      <c r="AZ243" s="45">
        <v>291.0</v>
      </c>
      <c r="BA243" s="45">
        <v>1089.17</v>
      </c>
      <c r="BB243" s="45">
        <v>11113.07</v>
      </c>
      <c r="BC243" s="45">
        <v>1666.96</v>
      </c>
      <c r="BD243" s="45">
        <v>12780.03</v>
      </c>
      <c r="BE243" s="44">
        <v>45748.0</v>
      </c>
      <c r="BF243" s="44">
        <v>45838.0</v>
      </c>
      <c r="BG243" s="42">
        <v>9969.0</v>
      </c>
      <c r="BH243" s="42">
        <v>14473.0</v>
      </c>
      <c r="BI243" s="42">
        <v>4504.0</v>
      </c>
      <c r="BJ243" s="42">
        <v>15000.0</v>
      </c>
      <c r="BK243" s="42">
        <v>-10496.0</v>
      </c>
      <c r="BL243" s="45">
        <v>0.46</v>
      </c>
      <c r="BM243" s="45">
        <v>1.17</v>
      </c>
      <c r="BN243" s="45">
        <v>0.0</v>
      </c>
      <c r="BO243" s="45">
        <v>0.0</v>
      </c>
      <c r="BP243" s="45">
        <v>0.0</v>
      </c>
      <c r="BQ243" s="45">
        <v>-629.76</v>
      </c>
      <c r="BR243" s="45">
        <v>0.0</v>
      </c>
      <c r="BS243" s="45">
        <v>0.0</v>
      </c>
      <c r="BT243" s="45">
        <v>0.0</v>
      </c>
      <c r="BU243" s="45">
        <v>0.0</v>
      </c>
      <c r="BV243" s="45">
        <v>0.0</v>
      </c>
      <c r="BW243" s="45">
        <v>0.0</v>
      </c>
      <c r="BX243" s="45">
        <v>0.0</v>
      </c>
      <c r="BY243" s="45">
        <v>1391.26</v>
      </c>
      <c r="BZ243" s="42">
        <v>0.0</v>
      </c>
      <c r="CA243" s="45">
        <v>0.0</v>
      </c>
      <c r="CB243" s="42">
        <v>0.0</v>
      </c>
      <c r="CC243" s="45">
        <v>0.0</v>
      </c>
      <c r="CD243" s="45">
        <v>0.0</v>
      </c>
      <c r="CE243" s="45">
        <v>0.0</v>
      </c>
      <c r="CF243" s="45">
        <v>0.0</v>
      </c>
      <c r="CG243" s="45">
        <v>0.0</v>
      </c>
      <c r="CH243" s="45">
        <v>7951.87</v>
      </c>
      <c r="CI243" s="45">
        <v>1037.2</v>
      </c>
      <c r="CJ243" s="45">
        <v>6914.67</v>
      </c>
      <c r="CK243" s="45">
        <v>12.88</v>
      </c>
      <c r="CL243" s="42">
        <v>0.0</v>
      </c>
      <c r="CM243" s="42">
        <v>0.0</v>
      </c>
      <c r="CN243" s="42">
        <v>0.0</v>
      </c>
      <c r="CO243" s="42">
        <v>100.0</v>
      </c>
      <c r="CP243" s="44"/>
      <c r="CQ243" s="42">
        <v>0.0</v>
      </c>
      <c r="CR243" s="42">
        <v>0.0</v>
      </c>
      <c r="CS243" s="42">
        <v>0.0</v>
      </c>
      <c r="CT243" s="42">
        <v>-31052.0</v>
      </c>
      <c r="CU243" s="44">
        <v>46934.0</v>
      </c>
      <c r="CV243" s="44">
        <v>46934.0</v>
      </c>
      <c r="CW243" s="42">
        <v>220594.0</v>
      </c>
      <c r="CX243" s="42" t="s">
        <v>122</v>
      </c>
      <c r="CY243" s="42" t="s">
        <v>123</v>
      </c>
      <c r="CZ243" s="45">
        <v>0.0</v>
      </c>
      <c r="DA243" s="45">
        <v>0.0</v>
      </c>
      <c r="DB243" s="45">
        <v>-12420.8</v>
      </c>
      <c r="DC243" s="45">
        <v>0.4</v>
      </c>
      <c r="DD243" s="45">
        <v>-4198.4</v>
      </c>
      <c r="DE243" s="45">
        <v>-4828.16</v>
      </c>
      <c r="DF243" s="42"/>
    </row>
    <row r="244" ht="13.5" customHeight="1">
      <c r="A244" s="47" t="s">
        <v>108</v>
      </c>
      <c r="B244" s="48">
        <v>44075.0</v>
      </c>
      <c r="C244" s="47" t="s">
        <v>136</v>
      </c>
      <c r="D244" s="47" t="s">
        <v>125</v>
      </c>
      <c r="E244" s="47" t="s">
        <v>126</v>
      </c>
      <c r="F244" s="47" t="s">
        <v>176</v>
      </c>
      <c r="G244" s="47" t="s">
        <v>140</v>
      </c>
      <c r="H244" s="47" t="s">
        <v>129</v>
      </c>
      <c r="I244" s="49">
        <v>44075.0</v>
      </c>
      <c r="J244" s="49">
        <v>44076.0</v>
      </c>
      <c r="K244" s="47">
        <f t="shared" si="1"/>
        <v>1</v>
      </c>
      <c r="L244" s="47">
        <v>1.0</v>
      </c>
      <c r="M244" s="47">
        <f t="shared" si="2"/>
        <v>0</v>
      </c>
      <c r="N244" s="49">
        <v>44089.0</v>
      </c>
      <c r="O244" s="49">
        <v>44099.0</v>
      </c>
      <c r="P244" s="47">
        <f t="shared" si="3"/>
        <v>10</v>
      </c>
      <c r="Q244" s="47">
        <v>90.0</v>
      </c>
      <c r="R244" s="47">
        <f t="shared" si="4"/>
        <v>-80</v>
      </c>
      <c r="S244" s="47" t="s">
        <v>695</v>
      </c>
      <c r="T244" s="47" t="s">
        <v>696</v>
      </c>
      <c r="U244" s="47" t="s">
        <v>117</v>
      </c>
      <c r="V244" s="47" t="s">
        <v>147</v>
      </c>
      <c r="W244" s="47" t="s">
        <v>119</v>
      </c>
      <c r="X244" s="47" t="s">
        <v>335</v>
      </c>
      <c r="Y244" s="47">
        <v>2024.0</v>
      </c>
      <c r="Z244" s="47" t="s">
        <v>135</v>
      </c>
      <c r="AA244" s="47">
        <v>2498.0</v>
      </c>
      <c r="AB244" s="47">
        <v>16.0</v>
      </c>
      <c r="AC244" s="47">
        <v>0.0</v>
      </c>
      <c r="AD244" s="50">
        <v>471652.17</v>
      </c>
      <c r="AE244" s="50">
        <v>59766.96</v>
      </c>
      <c r="AF244" s="51">
        <v>0.13</v>
      </c>
      <c r="AG244" s="50">
        <v>35928.0</v>
      </c>
      <c r="AH244" s="50">
        <v>2526.0</v>
      </c>
      <c r="AI244" s="47">
        <v>7.75</v>
      </c>
      <c r="AJ244" s="50">
        <v>252324.0</v>
      </c>
      <c r="AK244" s="47">
        <v>53.5</v>
      </c>
      <c r="AL244" s="49">
        <v>44099.0</v>
      </c>
      <c r="AM244" s="49">
        <v>45925.0</v>
      </c>
      <c r="AN244" s="47">
        <v>60.0</v>
      </c>
      <c r="AO244" s="47">
        <v>5000.0</v>
      </c>
      <c r="AP244" s="47">
        <v>220000.0</v>
      </c>
      <c r="AQ244" s="49">
        <v>45930.0</v>
      </c>
      <c r="AR244" s="47">
        <v>21504.0</v>
      </c>
      <c r="AS244" s="47">
        <v>27967.0</v>
      </c>
      <c r="AT244" s="47">
        <v>6463.0</v>
      </c>
      <c r="AU244" s="47">
        <v>27337.0</v>
      </c>
      <c r="AV244" s="47">
        <v>3417.0</v>
      </c>
      <c r="AW244" s="50">
        <v>7675.57</v>
      </c>
      <c r="AX244" s="50">
        <v>2850.0</v>
      </c>
      <c r="AY244" s="50">
        <v>125.0</v>
      </c>
      <c r="AZ244" s="50">
        <v>291.0</v>
      </c>
      <c r="BA244" s="50">
        <v>1538.21</v>
      </c>
      <c r="BB244" s="50">
        <v>12479.78</v>
      </c>
      <c r="BC244" s="50">
        <v>1871.97</v>
      </c>
      <c r="BD244" s="50">
        <v>14351.75</v>
      </c>
      <c r="BE244" s="49">
        <v>45748.0</v>
      </c>
      <c r="BF244" s="49">
        <v>45838.0</v>
      </c>
      <c r="BG244" s="47">
        <v>17123.0</v>
      </c>
      <c r="BH244" s="47">
        <v>27967.0</v>
      </c>
      <c r="BI244" s="47">
        <v>10844.0</v>
      </c>
      <c r="BJ244" s="47">
        <v>15000.0</v>
      </c>
      <c r="BK244" s="47">
        <v>-4156.0</v>
      </c>
      <c r="BL244" s="50">
        <v>0.66</v>
      </c>
      <c r="BM244" s="50">
        <v>1.0</v>
      </c>
      <c r="BN244" s="50">
        <v>0.0</v>
      </c>
      <c r="BO244" s="50">
        <v>0.0</v>
      </c>
      <c r="BP244" s="50">
        <v>0.0</v>
      </c>
      <c r="BQ244" s="50">
        <v>-355.34</v>
      </c>
      <c r="BR244" s="50">
        <v>0.0</v>
      </c>
      <c r="BS244" s="50">
        <v>0.0</v>
      </c>
      <c r="BT244" s="50">
        <v>0.0</v>
      </c>
      <c r="BU244" s="50">
        <v>0.0</v>
      </c>
      <c r="BV244" s="50">
        <v>0.0</v>
      </c>
      <c r="BW244" s="50">
        <v>0.0</v>
      </c>
      <c r="BX244" s="50">
        <v>0.0</v>
      </c>
      <c r="BY244" s="50">
        <v>7996.56</v>
      </c>
      <c r="BZ244" s="47">
        <v>0.0</v>
      </c>
      <c r="CA244" s="50">
        <v>0.0</v>
      </c>
      <c r="CB244" s="47">
        <v>0.0</v>
      </c>
      <c r="CC244" s="50">
        <v>0.0</v>
      </c>
      <c r="CD244" s="50">
        <v>0.0</v>
      </c>
      <c r="CE244" s="50">
        <v>0.0</v>
      </c>
      <c r="CF244" s="50">
        <v>0.0</v>
      </c>
      <c r="CG244" s="50">
        <v>0.0</v>
      </c>
      <c r="CH244" s="50">
        <v>11627.49</v>
      </c>
      <c r="CI244" s="50">
        <v>1516.63</v>
      </c>
      <c r="CJ244" s="50">
        <v>10110.86</v>
      </c>
      <c r="CK244" s="50">
        <v>1.56</v>
      </c>
      <c r="CL244" s="47">
        <v>0.0</v>
      </c>
      <c r="CM244" s="47">
        <v>0.0</v>
      </c>
      <c r="CN244" s="47">
        <v>0.0</v>
      </c>
      <c r="CO244" s="47">
        <v>100.0</v>
      </c>
      <c r="CP244" s="49"/>
      <c r="CQ244" s="47">
        <v>0.0</v>
      </c>
      <c r="CR244" s="47">
        <v>0.0</v>
      </c>
      <c r="CS244" s="47">
        <v>0.0</v>
      </c>
      <c r="CT244" s="47">
        <v>-16443.0</v>
      </c>
      <c r="CU244" s="49">
        <v>46934.0</v>
      </c>
      <c r="CV244" s="49">
        <v>46934.0</v>
      </c>
      <c r="CW244" s="47">
        <v>220630.0</v>
      </c>
      <c r="CX244" s="47" t="s">
        <v>122</v>
      </c>
      <c r="CY244" s="47" t="s">
        <v>123</v>
      </c>
      <c r="CZ244" s="50">
        <v>0.0</v>
      </c>
      <c r="DA244" s="50">
        <v>0.0</v>
      </c>
      <c r="DB244" s="50">
        <v>-9372.51</v>
      </c>
      <c r="DC244" s="50">
        <v>0.57</v>
      </c>
      <c r="DD244" s="50">
        <v>-2368.92</v>
      </c>
      <c r="DE244" s="50">
        <v>-2724.26</v>
      </c>
      <c r="DF244" s="47"/>
    </row>
    <row r="245" ht="13.5" customHeight="1">
      <c r="A245" s="47" t="s">
        <v>108</v>
      </c>
      <c r="B245" s="48">
        <v>44075.0</v>
      </c>
      <c r="C245" s="47" t="s">
        <v>109</v>
      </c>
      <c r="D245" s="47" t="s">
        <v>110</v>
      </c>
      <c r="E245" s="47" t="s">
        <v>111</v>
      </c>
      <c r="F245" s="47" t="s">
        <v>176</v>
      </c>
      <c r="G245" s="47" t="s">
        <v>140</v>
      </c>
      <c r="H245" s="47" t="s">
        <v>141</v>
      </c>
      <c r="I245" s="49">
        <v>44076.0</v>
      </c>
      <c r="J245" s="49">
        <v>44081.0</v>
      </c>
      <c r="K245" s="47">
        <f t="shared" si="1"/>
        <v>5</v>
      </c>
      <c r="L245" s="47">
        <v>1.0</v>
      </c>
      <c r="M245" s="47">
        <f t="shared" si="2"/>
        <v>4</v>
      </c>
      <c r="N245" s="49">
        <v>44090.0</v>
      </c>
      <c r="O245" s="49">
        <v>44100.0</v>
      </c>
      <c r="P245" s="47">
        <f t="shared" si="3"/>
        <v>10</v>
      </c>
      <c r="Q245" s="47">
        <v>90.0</v>
      </c>
      <c r="R245" s="47">
        <f t="shared" si="4"/>
        <v>-80</v>
      </c>
      <c r="S245" s="47" t="s">
        <v>697</v>
      </c>
      <c r="T245" s="47" t="s">
        <v>698</v>
      </c>
      <c r="U245" s="47" t="s">
        <v>117</v>
      </c>
      <c r="V245" s="47" t="s">
        <v>147</v>
      </c>
      <c r="W245" s="47" t="s">
        <v>133</v>
      </c>
      <c r="X245" s="47" t="s">
        <v>168</v>
      </c>
      <c r="Y245" s="47">
        <v>2024.0</v>
      </c>
      <c r="Z245" s="47" t="s">
        <v>135</v>
      </c>
      <c r="AA245" s="47">
        <v>2498.0</v>
      </c>
      <c r="AB245" s="47">
        <v>16.0</v>
      </c>
      <c r="AC245" s="47">
        <v>0.0</v>
      </c>
      <c r="AD245" s="50">
        <v>460956.52</v>
      </c>
      <c r="AE245" s="50">
        <v>86959.0</v>
      </c>
      <c r="AF245" s="51">
        <v>0.19</v>
      </c>
      <c r="AG245" s="50">
        <v>12071.29</v>
      </c>
      <c r="AH245" s="50">
        <v>2424.0</v>
      </c>
      <c r="AI245" s="47">
        <v>7.75</v>
      </c>
      <c r="AJ245" s="50">
        <v>193602.0</v>
      </c>
      <c r="AK245" s="47">
        <v>42.0</v>
      </c>
      <c r="AL245" s="49">
        <v>44100.0</v>
      </c>
      <c r="AM245" s="49">
        <v>45926.0</v>
      </c>
      <c r="AN245" s="47">
        <v>60.0</v>
      </c>
      <c r="AO245" s="47">
        <v>3000.0</v>
      </c>
      <c r="AP245" s="47">
        <v>180000.0</v>
      </c>
      <c r="AQ245" s="49">
        <v>45930.0</v>
      </c>
      <c r="AR245" s="47">
        <v>20870.0</v>
      </c>
      <c r="AS245" s="47">
        <v>24467.0</v>
      </c>
      <c r="AT245" s="47">
        <v>3597.0</v>
      </c>
      <c r="AU245" s="47">
        <v>24069.0</v>
      </c>
      <c r="AV245" s="47">
        <v>3009.0</v>
      </c>
      <c r="AW245" s="50">
        <v>6000.28</v>
      </c>
      <c r="AX245" s="50">
        <v>1320.0</v>
      </c>
      <c r="AY245" s="50">
        <v>125.0</v>
      </c>
      <c r="AZ245" s="50">
        <v>290.99</v>
      </c>
      <c r="BA245" s="50">
        <v>1083.24</v>
      </c>
      <c r="BB245" s="50">
        <v>8819.51</v>
      </c>
      <c r="BC245" s="50">
        <v>1322.93</v>
      </c>
      <c r="BD245" s="50">
        <v>10142.44</v>
      </c>
      <c r="BE245" s="49">
        <v>45748.0</v>
      </c>
      <c r="BF245" s="49">
        <v>45838.0</v>
      </c>
      <c r="BG245" s="47">
        <v>16311.0</v>
      </c>
      <c r="BH245" s="47">
        <v>24467.0</v>
      </c>
      <c r="BI245" s="47">
        <v>8156.0</v>
      </c>
      <c r="BJ245" s="47">
        <v>9000.0</v>
      </c>
      <c r="BK245" s="47">
        <v>-844.0</v>
      </c>
      <c r="BL245" s="50">
        <v>0.51</v>
      </c>
      <c r="BM245" s="50">
        <v>1.49</v>
      </c>
      <c r="BN245" s="50">
        <v>0.0</v>
      </c>
      <c r="BO245" s="50">
        <v>0.0</v>
      </c>
      <c r="BP245" s="50">
        <v>0.0</v>
      </c>
      <c r="BQ245" s="50">
        <v>-55.7</v>
      </c>
      <c r="BR245" s="50">
        <v>0.0</v>
      </c>
      <c r="BS245" s="50">
        <v>0.0</v>
      </c>
      <c r="BT245" s="50">
        <v>0.0</v>
      </c>
      <c r="BU245" s="50">
        <v>0.0</v>
      </c>
      <c r="BV245" s="50">
        <v>0.0</v>
      </c>
      <c r="BW245" s="50">
        <v>0.0</v>
      </c>
      <c r="BX245" s="50">
        <v>0.0</v>
      </c>
      <c r="BY245" s="50">
        <v>5732.85</v>
      </c>
      <c r="BZ245" s="47">
        <v>0.0</v>
      </c>
      <c r="CA245" s="50">
        <v>0.0</v>
      </c>
      <c r="CB245" s="47">
        <v>0.0</v>
      </c>
      <c r="CC245" s="50">
        <v>0.0</v>
      </c>
      <c r="CD245" s="50">
        <v>0.0</v>
      </c>
      <c r="CE245" s="50">
        <v>0.0</v>
      </c>
      <c r="CF245" s="50">
        <v>0.0</v>
      </c>
      <c r="CG245" s="50">
        <v>0.0</v>
      </c>
      <c r="CH245" s="50">
        <v>9715.38</v>
      </c>
      <c r="CI245" s="50">
        <v>1267.23</v>
      </c>
      <c r="CJ245" s="50">
        <v>8448.15</v>
      </c>
      <c r="CK245" s="50">
        <v>2.35</v>
      </c>
      <c r="CL245" s="47">
        <v>0.0</v>
      </c>
      <c r="CM245" s="47">
        <v>0.0</v>
      </c>
      <c r="CN245" s="47">
        <v>0.0</v>
      </c>
      <c r="CO245" s="47">
        <v>100.0</v>
      </c>
      <c r="CP245" s="49"/>
      <c r="CQ245" s="47">
        <v>0.0</v>
      </c>
      <c r="CR245" s="47">
        <v>0.0</v>
      </c>
      <c r="CS245" s="47">
        <v>0.0</v>
      </c>
      <c r="CT245" s="47">
        <v>-2199.0</v>
      </c>
      <c r="CU245" s="49">
        <v>47422.0</v>
      </c>
      <c r="CV245" s="49">
        <v>47422.0</v>
      </c>
      <c r="CW245" s="47">
        <v>180398.0</v>
      </c>
      <c r="CX245" s="47" t="s">
        <v>122</v>
      </c>
      <c r="CY245" s="47" t="s">
        <v>123</v>
      </c>
      <c r="CZ245" s="50">
        <v>434.01</v>
      </c>
      <c r="DA245" s="50">
        <v>1267.99</v>
      </c>
      <c r="DB245" s="50">
        <v>-1342.0</v>
      </c>
      <c r="DC245" s="50">
        <v>0.44</v>
      </c>
      <c r="DD245" s="50">
        <v>-371.36</v>
      </c>
      <c r="DE245" s="50">
        <v>-427.06</v>
      </c>
      <c r="DF245" s="47"/>
    </row>
    <row r="246" ht="13.5" customHeight="1">
      <c r="A246" s="47" t="s">
        <v>108</v>
      </c>
      <c r="B246" s="48">
        <v>44075.0</v>
      </c>
      <c r="C246" s="47" t="s">
        <v>124</v>
      </c>
      <c r="D246" s="47" t="s">
        <v>125</v>
      </c>
      <c r="E246" s="47" t="s">
        <v>126</v>
      </c>
      <c r="F246" s="47" t="s">
        <v>196</v>
      </c>
      <c r="G246" s="47" t="s">
        <v>140</v>
      </c>
      <c r="H246" s="47" t="s">
        <v>114</v>
      </c>
      <c r="I246" s="49">
        <v>44077.0</v>
      </c>
      <c r="J246" s="49">
        <v>44078.0</v>
      </c>
      <c r="K246" s="47">
        <f t="shared" si="1"/>
        <v>1</v>
      </c>
      <c r="L246" s="47">
        <v>1.0</v>
      </c>
      <c r="M246" s="47">
        <f t="shared" si="2"/>
        <v>0</v>
      </c>
      <c r="N246" s="49">
        <v>44091.0</v>
      </c>
      <c r="O246" s="49">
        <v>44192.0</v>
      </c>
      <c r="P246" s="47">
        <f t="shared" si="3"/>
        <v>101</v>
      </c>
      <c r="Q246" s="47">
        <v>90.0</v>
      </c>
      <c r="R246" s="47">
        <f t="shared" si="4"/>
        <v>11</v>
      </c>
      <c r="S246" s="47" t="s">
        <v>699</v>
      </c>
      <c r="T246" s="47" t="s">
        <v>700</v>
      </c>
      <c r="U246" s="47" t="s">
        <v>117</v>
      </c>
      <c r="V246" s="47" t="s">
        <v>147</v>
      </c>
      <c r="W246" s="47" t="s">
        <v>133</v>
      </c>
      <c r="X246" s="47" t="s">
        <v>168</v>
      </c>
      <c r="Y246" s="47">
        <v>2024.0</v>
      </c>
      <c r="Z246" s="47" t="s">
        <v>135</v>
      </c>
      <c r="AA246" s="47">
        <v>2498.0</v>
      </c>
      <c r="AB246" s="47">
        <v>16.0</v>
      </c>
      <c r="AC246" s="47">
        <v>0.0</v>
      </c>
      <c r="AD246" s="50">
        <v>467913.04</v>
      </c>
      <c r="AE246" s="50">
        <v>93915.52</v>
      </c>
      <c r="AF246" s="51">
        <v>0.2</v>
      </c>
      <c r="AG246" s="50">
        <v>30859.42</v>
      </c>
      <c r="AH246" s="50">
        <v>2345.0</v>
      </c>
      <c r="AI246" s="47">
        <v>7.75</v>
      </c>
      <c r="AJ246" s="50">
        <v>196523.0</v>
      </c>
      <c r="AK246" s="47">
        <v>42.0</v>
      </c>
      <c r="AL246" s="49">
        <v>44192.0</v>
      </c>
      <c r="AM246" s="49">
        <v>46018.0</v>
      </c>
      <c r="AN246" s="47">
        <v>60.0</v>
      </c>
      <c r="AO246" s="47">
        <v>3000.0</v>
      </c>
      <c r="AP246" s="47">
        <v>180000.0</v>
      </c>
      <c r="AQ246" s="49">
        <v>46022.0</v>
      </c>
      <c r="AR246" s="47">
        <v>13035.0</v>
      </c>
      <c r="AS246" s="47">
        <v>16583.0</v>
      </c>
      <c r="AT246" s="47">
        <v>3548.0</v>
      </c>
      <c r="AU246" s="47">
        <v>16256.0</v>
      </c>
      <c r="AV246" s="47">
        <v>2032.0</v>
      </c>
      <c r="AW246" s="50">
        <v>6337.05</v>
      </c>
      <c r="AX246" s="50">
        <v>1320.0</v>
      </c>
      <c r="AY246" s="50">
        <v>125.0</v>
      </c>
      <c r="AZ246" s="50">
        <v>290.99</v>
      </c>
      <c r="BA246" s="50">
        <v>1083.24</v>
      </c>
      <c r="BB246" s="50">
        <v>9156.28</v>
      </c>
      <c r="BC246" s="50">
        <v>1373.44</v>
      </c>
      <c r="BD246" s="50">
        <v>10529.72</v>
      </c>
      <c r="BE246" s="49">
        <v>45748.0</v>
      </c>
      <c r="BF246" s="49">
        <v>45838.0</v>
      </c>
      <c r="BG246" s="47">
        <v>9796.0</v>
      </c>
      <c r="BH246" s="47">
        <v>16583.0</v>
      </c>
      <c r="BI246" s="47">
        <v>6787.0</v>
      </c>
      <c r="BJ246" s="47">
        <v>9000.0</v>
      </c>
      <c r="BK246" s="47">
        <v>-2213.0</v>
      </c>
      <c r="BL246" s="50">
        <v>0.51</v>
      </c>
      <c r="BM246" s="50">
        <v>1.51</v>
      </c>
      <c r="BN246" s="50">
        <v>0.0</v>
      </c>
      <c r="BO246" s="50">
        <v>0.0</v>
      </c>
      <c r="BP246" s="50">
        <v>0.0</v>
      </c>
      <c r="BQ246" s="50">
        <v>-146.06</v>
      </c>
      <c r="BR246" s="50">
        <v>0.0</v>
      </c>
      <c r="BS246" s="50">
        <v>0.0</v>
      </c>
      <c r="BT246" s="50">
        <v>0.0</v>
      </c>
      <c r="BU246" s="50">
        <v>0.0</v>
      </c>
      <c r="BV246" s="50">
        <v>0.0</v>
      </c>
      <c r="BW246" s="50">
        <v>0.0</v>
      </c>
      <c r="BX246" s="50">
        <v>0.0</v>
      </c>
      <c r="BY246" s="50">
        <v>6438.29</v>
      </c>
      <c r="BZ246" s="47">
        <v>0.0</v>
      </c>
      <c r="CA246" s="50">
        <v>0.0</v>
      </c>
      <c r="CB246" s="47">
        <v>0.0</v>
      </c>
      <c r="CC246" s="50">
        <v>0.0</v>
      </c>
      <c r="CD246" s="50">
        <v>0.0</v>
      </c>
      <c r="CE246" s="50">
        <v>0.0</v>
      </c>
      <c r="CF246" s="50">
        <v>0.0</v>
      </c>
      <c r="CG246" s="50">
        <v>0.0</v>
      </c>
      <c r="CH246" s="50">
        <v>9409.94</v>
      </c>
      <c r="CI246" s="50">
        <v>1227.38</v>
      </c>
      <c r="CJ246" s="50">
        <v>8182.56</v>
      </c>
      <c r="CK246" s="50">
        <v>2.31</v>
      </c>
      <c r="CL246" s="47">
        <v>0.0</v>
      </c>
      <c r="CM246" s="47">
        <v>0.0</v>
      </c>
      <c r="CN246" s="47">
        <v>0.0</v>
      </c>
      <c r="CO246" s="47">
        <v>100.0</v>
      </c>
      <c r="CP246" s="49"/>
      <c r="CQ246" s="47">
        <v>0.0</v>
      </c>
      <c r="CR246" s="47">
        <v>0.0</v>
      </c>
      <c r="CS246" s="47">
        <v>0.0</v>
      </c>
      <c r="CT246" s="47">
        <v>-9223.0</v>
      </c>
      <c r="CU246" s="49">
        <v>47422.0</v>
      </c>
      <c r="CV246" s="49">
        <v>47422.0</v>
      </c>
      <c r="CW246" s="47">
        <v>180327.0</v>
      </c>
      <c r="CX246" s="47" t="s">
        <v>122</v>
      </c>
      <c r="CY246" s="47" t="s">
        <v>123</v>
      </c>
      <c r="CZ246" s="50">
        <v>0.0</v>
      </c>
      <c r="DA246" s="50">
        <v>0.0</v>
      </c>
      <c r="DB246" s="50">
        <v>-4058.12</v>
      </c>
      <c r="DC246" s="50">
        <v>0.44</v>
      </c>
      <c r="DD246" s="50">
        <v>-973.72</v>
      </c>
      <c r="DE246" s="50">
        <v>-1119.78</v>
      </c>
      <c r="DF246" s="47"/>
    </row>
    <row r="247" ht="13.5" customHeight="1">
      <c r="A247" s="47" t="s">
        <v>144</v>
      </c>
      <c r="B247" s="48">
        <v>44075.0</v>
      </c>
      <c r="C247" s="47" t="s">
        <v>136</v>
      </c>
      <c r="D247" s="47" t="s">
        <v>137</v>
      </c>
      <c r="E247" s="47" t="s">
        <v>138</v>
      </c>
      <c r="F247" s="47" t="s">
        <v>176</v>
      </c>
      <c r="G247" s="47" t="s">
        <v>140</v>
      </c>
      <c r="H247" s="47" t="s">
        <v>129</v>
      </c>
      <c r="I247" s="49">
        <v>44078.0</v>
      </c>
      <c r="J247" s="49">
        <v>44079.0</v>
      </c>
      <c r="K247" s="47">
        <f t="shared" si="1"/>
        <v>1</v>
      </c>
      <c r="L247" s="47">
        <v>1.0</v>
      </c>
      <c r="M247" s="47">
        <f t="shared" si="2"/>
        <v>0</v>
      </c>
      <c r="N247" s="49">
        <v>44092.0</v>
      </c>
      <c r="O247" s="49">
        <v>44102.0</v>
      </c>
      <c r="P247" s="47">
        <f t="shared" si="3"/>
        <v>10</v>
      </c>
      <c r="Q247" s="47">
        <v>90.0</v>
      </c>
      <c r="R247" s="47">
        <f t="shared" si="4"/>
        <v>-80</v>
      </c>
      <c r="S247" s="47" t="s">
        <v>701</v>
      </c>
      <c r="T247" s="47" t="s">
        <v>702</v>
      </c>
      <c r="U247" s="47" t="s">
        <v>117</v>
      </c>
      <c r="V247" s="47" t="s">
        <v>207</v>
      </c>
      <c r="W247" s="47" t="s">
        <v>221</v>
      </c>
      <c r="X247" s="47" t="s">
        <v>222</v>
      </c>
      <c r="Y247" s="47">
        <v>2024.0</v>
      </c>
      <c r="Z247" s="47" t="s">
        <v>135</v>
      </c>
      <c r="AA247" s="47">
        <v>2198.0</v>
      </c>
      <c r="AB247" s="47">
        <v>16.0</v>
      </c>
      <c r="AC247" s="47">
        <v>2.0</v>
      </c>
      <c r="AD247" s="50">
        <v>791217.39</v>
      </c>
      <c r="AE247" s="50">
        <v>71209.56</v>
      </c>
      <c r="AF247" s="51">
        <v>0.09</v>
      </c>
      <c r="AG247" s="50">
        <v>10230.76</v>
      </c>
      <c r="AH247" s="50">
        <v>2648.5</v>
      </c>
      <c r="AI247" s="47">
        <v>7.75</v>
      </c>
      <c r="AJ247" s="50">
        <v>314363.0</v>
      </c>
      <c r="AK247" s="47">
        <v>39.73</v>
      </c>
      <c r="AL247" s="49">
        <v>44102.0</v>
      </c>
      <c r="AM247" s="49">
        <v>45928.0</v>
      </c>
      <c r="AN247" s="47">
        <v>60.0</v>
      </c>
      <c r="AO247" s="47">
        <v>2500.0</v>
      </c>
      <c r="AP247" s="47">
        <v>150000.0</v>
      </c>
      <c r="AQ247" s="49">
        <v>45930.0</v>
      </c>
      <c r="AR247" s="47">
        <v>13455.0</v>
      </c>
      <c r="AS247" s="47">
        <v>15215.0</v>
      </c>
      <c r="AT247" s="47">
        <v>1760.0</v>
      </c>
      <c r="AU247" s="47">
        <v>14502.0</v>
      </c>
      <c r="AV247" s="47">
        <v>1813.0</v>
      </c>
      <c r="AW247" s="50">
        <v>11507.37</v>
      </c>
      <c r="AX247" s="50">
        <v>1850.0</v>
      </c>
      <c r="AY247" s="50">
        <v>125.0</v>
      </c>
      <c r="AZ247" s="50">
        <v>291.0</v>
      </c>
      <c r="BA247" s="50">
        <v>1522.99</v>
      </c>
      <c r="BB247" s="50">
        <v>15296.36</v>
      </c>
      <c r="BC247" s="50">
        <v>2294.45</v>
      </c>
      <c r="BD247" s="50">
        <v>17590.81</v>
      </c>
      <c r="BE247" s="49">
        <v>45748.0</v>
      </c>
      <c r="BF247" s="49">
        <v>45838.0</v>
      </c>
      <c r="BG247" s="47">
        <v>9580.0</v>
      </c>
      <c r="BH247" s="47">
        <v>15215.0</v>
      </c>
      <c r="BI247" s="47">
        <v>5635.0</v>
      </c>
      <c r="BJ247" s="47">
        <v>7500.0</v>
      </c>
      <c r="BK247" s="47">
        <v>-1865.0</v>
      </c>
      <c r="BL247" s="50">
        <v>0.85</v>
      </c>
      <c r="BM247" s="50">
        <v>3.18</v>
      </c>
      <c r="BN247" s="50">
        <v>0.0</v>
      </c>
      <c r="BO247" s="50">
        <v>0.0</v>
      </c>
      <c r="BP247" s="50">
        <v>0.0</v>
      </c>
      <c r="BQ247" s="50">
        <v>-207.02</v>
      </c>
      <c r="BR247" s="50">
        <v>0.0</v>
      </c>
      <c r="BS247" s="50">
        <v>0.0</v>
      </c>
      <c r="BT247" s="50">
        <v>0.0</v>
      </c>
      <c r="BU247" s="50">
        <v>0.0</v>
      </c>
      <c r="BV247" s="50">
        <v>0.0</v>
      </c>
      <c r="BW247" s="50">
        <v>0.0</v>
      </c>
      <c r="BX247" s="50">
        <v>0.0</v>
      </c>
      <c r="BY247" s="50">
        <v>5897.65</v>
      </c>
      <c r="BZ247" s="47">
        <v>0.0</v>
      </c>
      <c r="CA247" s="50">
        <v>0.0</v>
      </c>
      <c r="CB247" s="47">
        <v>0.0</v>
      </c>
      <c r="CC247" s="50">
        <v>0.0</v>
      </c>
      <c r="CD247" s="50">
        <v>0.0</v>
      </c>
      <c r="CE247" s="50">
        <v>0.0</v>
      </c>
      <c r="CF247" s="50">
        <v>0.0</v>
      </c>
      <c r="CG247" s="50">
        <v>0.0</v>
      </c>
      <c r="CH247" s="50">
        <v>16003.69</v>
      </c>
      <c r="CI247" s="50">
        <v>2087.43</v>
      </c>
      <c r="CJ247" s="50">
        <v>13916.26</v>
      </c>
      <c r="CK247" s="50">
        <v>7.91</v>
      </c>
      <c r="CL247" s="47">
        <v>0.0</v>
      </c>
      <c r="CM247" s="47">
        <v>0.0</v>
      </c>
      <c r="CN247" s="47">
        <v>0.0</v>
      </c>
      <c r="CO247" s="47">
        <v>100.0</v>
      </c>
      <c r="CP247" s="49"/>
      <c r="CQ247" s="47">
        <v>0.0</v>
      </c>
      <c r="CR247" s="47">
        <v>0.0</v>
      </c>
      <c r="CS247" s="47">
        <v>0.0</v>
      </c>
      <c r="CT247" s="47">
        <v>-6237.0</v>
      </c>
      <c r="CU247" s="49">
        <v>47422.0</v>
      </c>
      <c r="CV247" s="49">
        <v>47422.0</v>
      </c>
      <c r="CW247" s="47">
        <v>150713.0</v>
      </c>
      <c r="CX247" s="47" t="s">
        <v>122</v>
      </c>
      <c r="CY247" s="47" t="s">
        <v>123</v>
      </c>
      <c r="CZ247" s="50">
        <v>0.0</v>
      </c>
      <c r="DA247" s="50">
        <v>0.0</v>
      </c>
      <c r="DB247" s="50">
        <v>-4615.38</v>
      </c>
      <c r="DC247" s="50">
        <v>0.74</v>
      </c>
      <c r="DD247" s="50">
        <v>-1380.1</v>
      </c>
      <c r="DE247" s="50">
        <v>-1587.12</v>
      </c>
      <c r="DF247" s="47"/>
    </row>
    <row r="248" ht="13.5" customHeight="1">
      <c r="A248" s="47" t="s">
        <v>144</v>
      </c>
      <c r="B248" s="48">
        <v>44075.0</v>
      </c>
      <c r="C248" s="47" t="s">
        <v>109</v>
      </c>
      <c r="D248" s="47" t="s">
        <v>110</v>
      </c>
      <c r="E248" s="47" t="s">
        <v>111</v>
      </c>
      <c r="F248" s="47" t="s">
        <v>402</v>
      </c>
      <c r="G248" s="47" t="s">
        <v>140</v>
      </c>
      <c r="H248" s="47" t="s">
        <v>141</v>
      </c>
      <c r="I248" s="49">
        <v>44079.0</v>
      </c>
      <c r="J248" s="49">
        <v>44080.0</v>
      </c>
      <c r="K248" s="47">
        <f t="shared" si="1"/>
        <v>1</v>
      </c>
      <c r="L248" s="47">
        <v>1.0</v>
      </c>
      <c r="M248" s="47">
        <f t="shared" si="2"/>
        <v>0</v>
      </c>
      <c r="N248" s="49">
        <v>44093.0</v>
      </c>
      <c r="O248" s="49">
        <v>44103.0</v>
      </c>
      <c r="P248" s="47">
        <f t="shared" si="3"/>
        <v>10</v>
      </c>
      <c r="Q248" s="47">
        <v>90.0</v>
      </c>
      <c r="R248" s="47">
        <f t="shared" si="4"/>
        <v>-80</v>
      </c>
      <c r="S248" s="47" t="s">
        <v>703</v>
      </c>
      <c r="T248" s="47" t="s">
        <v>704</v>
      </c>
      <c r="U248" s="47" t="s">
        <v>117</v>
      </c>
      <c r="V248" s="47" t="s">
        <v>207</v>
      </c>
      <c r="W248" s="47" t="s">
        <v>705</v>
      </c>
      <c r="X248" s="47" t="s">
        <v>706</v>
      </c>
      <c r="Y248" s="47">
        <v>2024.0</v>
      </c>
      <c r="Z248" s="47" t="s">
        <v>135</v>
      </c>
      <c r="AA248" s="47">
        <v>1998.0</v>
      </c>
      <c r="AB248" s="47">
        <v>16.0</v>
      </c>
      <c r="AC248" s="47">
        <v>0.0</v>
      </c>
      <c r="AD248" s="50">
        <v>967565.0</v>
      </c>
      <c r="AE248" s="50">
        <v>56424.2</v>
      </c>
      <c r="AF248" s="51">
        <v>0.06</v>
      </c>
      <c r="AG248" s="50">
        <v>15313.48</v>
      </c>
      <c r="AH248" s="50">
        <v>2633.0</v>
      </c>
      <c r="AI248" s="47">
        <v>7.75</v>
      </c>
      <c r="AJ248" s="50">
        <v>430289.0</v>
      </c>
      <c r="AK248" s="47">
        <v>44.47</v>
      </c>
      <c r="AL248" s="49">
        <v>44103.0</v>
      </c>
      <c r="AM248" s="49">
        <v>45929.0</v>
      </c>
      <c r="AN248" s="47">
        <v>60.0</v>
      </c>
      <c r="AO248" s="47">
        <v>5000.0</v>
      </c>
      <c r="AP248" s="47">
        <v>220000.0</v>
      </c>
      <c r="AQ248" s="49">
        <v>45930.0</v>
      </c>
      <c r="AR248" s="47">
        <v>18969.0</v>
      </c>
      <c r="AS248" s="47">
        <v>23832.0</v>
      </c>
      <c r="AT248" s="47">
        <v>4863.0</v>
      </c>
      <c r="AU248" s="47">
        <v>23127.0</v>
      </c>
      <c r="AV248" s="47">
        <v>2891.0</v>
      </c>
      <c r="AW248" s="50">
        <v>16962.37</v>
      </c>
      <c r="AX248" s="50">
        <v>3000.0</v>
      </c>
      <c r="AY248" s="50">
        <v>190.0</v>
      </c>
      <c r="AZ248" s="50">
        <v>291.0</v>
      </c>
      <c r="BA248" s="50">
        <v>1538.21</v>
      </c>
      <c r="BB248" s="50">
        <v>21981.58</v>
      </c>
      <c r="BC248" s="50">
        <v>3297.24</v>
      </c>
      <c r="BD248" s="50">
        <v>25278.82</v>
      </c>
      <c r="BE248" s="49">
        <v>45769.0</v>
      </c>
      <c r="BF248" s="49">
        <v>45838.0</v>
      </c>
      <c r="BG248" s="47">
        <v>13638.0</v>
      </c>
      <c r="BH248" s="47">
        <v>23832.0</v>
      </c>
      <c r="BI248" s="47">
        <v>10194.0</v>
      </c>
      <c r="BJ248" s="47">
        <v>15000.0</v>
      </c>
      <c r="BK248" s="47">
        <v>-4806.0</v>
      </c>
      <c r="BL248" s="50">
        <v>0.69</v>
      </c>
      <c r="BM248" s="50">
        <v>2.44</v>
      </c>
      <c r="BN248" s="50">
        <v>0.0</v>
      </c>
      <c r="BO248" s="50">
        <v>0.0</v>
      </c>
      <c r="BP248" s="50">
        <v>0.0</v>
      </c>
      <c r="BQ248" s="50">
        <v>-432.54</v>
      </c>
      <c r="BR248" s="50">
        <v>0.0</v>
      </c>
      <c r="BS248" s="50">
        <v>0.0</v>
      </c>
      <c r="BT248" s="50">
        <v>0.0</v>
      </c>
      <c r="BU248" s="50">
        <v>0.0</v>
      </c>
      <c r="BV248" s="50">
        <v>0.0</v>
      </c>
      <c r="BW248" s="50">
        <v>0.0</v>
      </c>
      <c r="BX248" s="50">
        <v>0.0</v>
      </c>
      <c r="BY248" s="50">
        <v>7852.02</v>
      </c>
      <c r="BZ248" s="47">
        <v>0.0</v>
      </c>
      <c r="CA248" s="50">
        <v>0.0</v>
      </c>
      <c r="CB248" s="47">
        <v>0.0</v>
      </c>
      <c r="CC248" s="50">
        <v>0.0</v>
      </c>
      <c r="CD248" s="50">
        <v>0.0</v>
      </c>
      <c r="CE248" s="50">
        <v>0.0</v>
      </c>
      <c r="CF248" s="50">
        <v>0.0</v>
      </c>
      <c r="CG248" s="50">
        <v>0.0</v>
      </c>
      <c r="CH248" s="50">
        <v>21962.68</v>
      </c>
      <c r="CI248" s="50">
        <v>2864.7</v>
      </c>
      <c r="CJ248" s="50">
        <v>19097.98</v>
      </c>
      <c r="CK248" s="50">
        <v>3.93</v>
      </c>
      <c r="CL248" s="47">
        <v>0.0</v>
      </c>
      <c r="CM248" s="47">
        <v>0.0</v>
      </c>
      <c r="CN248" s="47">
        <v>0.0</v>
      </c>
      <c r="CO248" s="47">
        <v>100.0</v>
      </c>
      <c r="CP248" s="49"/>
      <c r="CQ248" s="47">
        <v>0.0</v>
      </c>
      <c r="CR248" s="47">
        <v>0.0</v>
      </c>
      <c r="CS248" s="47">
        <v>0.0</v>
      </c>
      <c r="CT248" s="47">
        <v>-18516.0</v>
      </c>
      <c r="CU248" s="49">
        <v>46925.0</v>
      </c>
      <c r="CV248" s="49">
        <v>46925.0</v>
      </c>
      <c r="CW248" s="47">
        <v>220705.0</v>
      </c>
      <c r="CX248" s="47" t="s">
        <v>122</v>
      </c>
      <c r="CY248" s="47" t="s">
        <v>123</v>
      </c>
      <c r="CZ248" s="50">
        <v>5422.8</v>
      </c>
      <c r="DA248" s="50">
        <v>0.0</v>
      </c>
      <c r="DB248" s="50">
        <v>-16532.4</v>
      </c>
      <c r="DC248" s="50">
        <v>0.6</v>
      </c>
      <c r="DD248" s="50">
        <v>-2883.6</v>
      </c>
      <c r="DE248" s="50">
        <v>-3316.14</v>
      </c>
      <c r="DF248" s="47"/>
    </row>
    <row r="249" ht="13.5" customHeight="1">
      <c r="A249" s="47" t="s">
        <v>144</v>
      </c>
      <c r="B249" s="48">
        <v>44075.0</v>
      </c>
      <c r="C249" s="47" t="s">
        <v>124</v>
      </c>
      <c r="D249" s="47" t="s">
        <v>125</v>
      </c>
      <c r="E249" s="47" t="s">
        <v>126</v>
      </c>
      <c r="F249" s="47" t="s">
        <v>176</v>
      </c>
      <c r="G249" s="47" t="s">
        <v>140</v>
      </c>
      <c r="H249" s="47" t="s">
        <v>114</v>
      </c>
      <c r="I249" s="49">
        <v>44080.0</v>
      </c>
      <c r="J249" s="49">
        <v>44084.0</v>
      </c>
      <c r="K249" s="47">
        <f t="shared" si="1"/>
        <v>4</v>
      </c>
      <c r="L249" s="47">
        <v>1.0</v>
      </c>
      <c r="M249" s="47">
        <f t="shared" si="2"/>
        <v>3</v>
      </c>
      <c r="N249" s="49">
        <v>44094.0</v>
      </c>
      <c r="O249" s="49">
        <v>44165.0</v>
      </c>
      <c r="P249" s="47">
        <f t="shared" si="3"/>
        <v>71</v>
      </c>
      <c r="Q249" s="47">
        <v>90.0</v>
      </c>
      <c r="R249" s="47">
        <f t="shared" si="4"/>
        <v>-19</v>
      </c>
      <c r="S249" s="47" t="s">
        <v>707</v>
      </c>
      <c r="T249" s="47" t="s">
        <v>708</v>
      </c>
      <c r="U249" s="47" t="s">
        <v>117</v>
      </c>
      <c r="V249" s="47" t="s">
        <v>147</v>
      </c>
      <c r="W249" s="47" t="s">
        <v>182</v>
      </c>
      <c r="X249" s="47" t="s">
        <v>259</v>
      </c>
      <c r="Y249" s="47">
        <v>2024.0</v>
      </c>
      <c r="Z249" s="47" t="s">
        <v>135</v>
      </c>
      <c r="AA249" s="47">
        <v>1998.0</v>
      </c>
      <c r="AB249" s="47">
        <v>16.0</v>
      </c>
      <c r="AC249" s="47">
        <v>1.0</v>
      </c>
      <c r="AD249" s="50">
        <v>454434.78</v>
      </c>
      <c r="AE249" s="50">
        <v>28631.78</v>
      </c>
      <c r="AF249" s="51">
        <v>0.06</v>
      </c>
      <c r="AG249" s="50">
        <v>36355.56</v>
      </c>
      <c r="AH249" s="50">
        <v>2633.0</v>
      </c>
      <c r="AI249" s="47">
        <v>7.75</v>
      </c>
      <c r="AJ249" s="50">
        <v>235306.0</v>
      </c>
      <c r="AK249" s="47">
        <v>51.78</v>
      </c>
      <c r="AL249" s="49">
        <v>44165.0</v>
      </c>
      <c r="AM249" s="49">
        <v>45991.0</v>
      </c>
      <c r="AN249" s="47">
        <v>60.0</v>
      </c>
      <c r="AO249" s="47">
        <v>3000.0</v>
      </c>
      <c r="AP249" s="47">
        <v>180000.0</v>
      </c>
      <c r="AQ249" s="49">
        <v>45930.0</v>
      </c>
      <c r="AR249" s="47">
        <v>15288.0</v>
      </c>
      <c r="AS249" s="47">
        <v>17018.0</v>
      </c>
      <c r="AT249" s="47">
        <v>1730.0</v>
      </c>
      <c r="AU249" s="47">
        <v>16363.0</v>
      </c>
      <c r="AV249" s="47">
        <v>2045.0</v>
      </c>
      <c r="AW249" s="50">
        <v>7005.61</v>
      </c>
      <c r="AX249" s="50">
        <v>1830.0</v>
      </c>
      <c r="AY249" s="50">
        <v>125.0</v>
      </c>
      <c r="AZ249" s="50">
        <v>290.99</v>
      </c>
      <c r="BA249" s="50">
        <v>1522.99</v>
      </c>
      <c r="BB249" s="50">
        <v>10774.59</v>
      </c>
      <c r="BC249" s="50">
        <v>1616.19</v>
      </c>
      <c r="BD249" s="50">
        <v>12390.78</v>
      </c>
      <c r="BE249" s="49">
        <v>45748.0</v>
      </c>
      <c r="BF249" s="49">
        <v>45838.0</v>
      </c>
      <c r="BG249" s="47">
        <v>12282.0</v>
      </c>
      <c r="BH249" s="47">
        <v>17018.0</v>
      </c>
      <c r="BI249" s="47">
        <v>4736.0</v>
      </c>
      <c r="BJ249" s="47">
        <v>9000.0</v>
      </c>
      <c r="BK249" s="47">
        <v>-4264.0</v>
      </c>
      <c r="BL249" s="50">
        <v>0.7</v>
      </c>
      <c r="BM249" s="50">
        <v>1.22</v>
      </c>
      <c r="BN249" s="50">
        <v>0.0</v>
      </c>
      <c r="BO249" s="50">
        <v>0.0</v>
      </c>
      <c r="BP249" s="50">
        <v>0.0</v>
      </c>
      <c r="BQ249" s="50">
        <v>-390.16</v>
      </c>
      <c r="BR249" s="50">
        <v>0.0</v>
      </c>
      <c r="BS249" s="50">
        <v>0.0</v>
      </c>
      <c r="BT249" s="50">
        <v>0.0</v>
      </c>
      <c r="BU249" s="50">
        <v>174.0</v>
      </c>
      <c r="BV249" s="50">
        <v>0.0</v>
      </c>
      <c r="BW249" s="50">
        <v>0.0</v>
      </c>
      <c r="BX249" s="50">
        <v>0.0</v>
      </c>
      <c r="BY249" s="50">
        <v>2998.01</v>
      </c>
      <c r="BZ249" s="47">
        <v>0.0</v>
      </c>
      <c r="CA249" s="50">
        <v>0.0</v>
      </c>
      <c r="CB249" s="47">
        <v>0.0</v>
      </c>
      <c r="CC249" s="50">
        <v>0.0</v>
      </c>
      <c r="CD249" s="50">
        <v>0.0</v>
      </c>
      <c r="CE249" s="50">
        <v>174.0</v>
      </c>
      <c r="CF249" s="50">
        <v>26.1</v>
      </c>
      <c r="CG249" s="50">
        <v>200.1</v>
      </c>
      <c r="CH249" s="50">
        <v>9599.68</v>
      </c>
      <c r="CI249" s="50">
        <v>1252.13</v>
      </c>
      <c r="CJ249" s="50">
        <v>8347.55</v>
      </c>
      <c r="CK249" s="50">
        <v>4.83</v>
      </c>
      <c r="CL249" s="47">
        <v>0.0</v>
      </c>
      <c r="CM249" s="47">
        <v>0.0</v>
      </c>
      <c r="CN249" s="47">
        <v>0.0</v>
      </c>
      <c r="CO249" s="47">
        <v>100.0</v>
      </c>
      <c r="CP249" s="49"/>
      <c r="CQ249" s="47">
        <v>0.0</v>
      </c>
      <c r="CR249" s="47">
        <v>0.0</v>
      </c>
      <c r="CS249" s="47">
        <v>0.0</v>
      </c>
      <c r="CT249" s="47">
        <v>-7637.0</v>
      </c>
      <c r="CU249" s="49">
        <v>47422.0</v>
      </c>
      <c r="CV249" s="49">
        <v>47422.0</v>
      </c>
      <c r="CW249" s="47">
        <v>180655.0</v>
      </c>
      <c r="CX249" s="47" t="s">
        <v>122</v>
      </c>
      <c r="CY249" s="47" t="s">
        <v>123</v>
      </c>
      <c r="CZ249" s="50">
        <v>0.0</v>
      </c>
      <c r="DA249" s="50">
        <v>0.0</v>
      </c>
      <c r="DB249" s="50">
        <v>-4658.57</v>
      </c>
      <c r="DC249" s="50">
        <v>0.61</v>
      </c>
      <c r="DD249" s="50">
        <v>-2601.04</v>
      </c>
      <c r="DE249" s="50">
        <v>-2991.2</v>
      </c>
      <c r="DF249" s="47"/>
    </row>
    <row r="250" ht="13.5" customHeight="1">
      <c r="A250" s="47" t="s">
        <v>144</v>
      </c>
      <c r="B250" s="48">
        <v>44075.0</v>
      </c>
      <c r="C250" s="47" t="s">
        <v>136</v>
      </c>
      <c r="D250" s="47" t="s">
        <v>137</v>
      </c>
      <c r="E250" s="47" t="s">
        <v>138</v>
      </c>
      <c r="F250" s="47" t="s">
        <v>176</v>
      </c>
      <c r="G250" s="47" t="s">
        <v>140</v>
      </c>
      <c r="H250" s="47" t="s">
        <v>129</v>
      </c>
      <c r="I250" s="49">
        <v>44081.0</v>
      </c>
      <c r="J250" s="49">
        <v>44082.0</v>
      </c>
      <c r="K250" s="47">
        <f t="shared" si="1"/>
        <v>1</v>
      </c>
      <c r="L250" s="47">
        <v>1.0</v>
      </c>
      <c r="M250" s="47">
        <f t="shared" si="2"/>
        <v>0</v>
      </c>
      <c r="N250" s="49">
        <v>44095.0</v>
      </c>
      <c r="O250" s="49">
        <v>44105.0</v>
      </c>
      <c r="P250" s="47">
        <f t="shared" si="3"/>
        <v>10</v>
      </c>
      <c r="Q250" s="47">
        <v>90.0</v>
      </c>
      <c r="R250" s="47">
        <f t="shared" si="4"/>
        <v>-80</v>
      </c>
      <c r="S250" s="47" t="s">
        <v>709</v>
      </c>
      <c r="T250" s="47" t="s">
        <v>710</v>
      </c>
      <c r="U250" s="47" t="s">
        <v>117</v>
      </c>
      <c r="V250" s="47" t="s">
        <v>147</v>
      </c>
      <c r="W250" s="47" t="s">
        <v>182</v>
      </c>
      <c r="X250" s="47" t="s">
        <v>259</v>
      </c>
      <c r="Y250" s="47">
        <v>2024.0</v>
      </c>
      <c r="Z250" s="47" t="s">
        <v>135</v>
      </c>
      <c r="AA250" s="47">
        <v>1998.0</v>
      </c>
      <c r="AB250" s="47">
        <v>16.0</v>
      </c>
      <c r="AC250" s="47">
        <v>4.0</v>
      </c>
      <c r="AD250" s="50">
        <v>454434.78</v>
      </c>
      <c r="AE250" s="50">
        <v>28631.78</v>
      </c>
      <c r="AF250" s="51">
        <v>0.06</v>
      </c>
      <c r="AG250" s="50">
        <v>36173.22</v>
      </c>
      <c r="AH250" s="50">
        <v>2633.0</v>
      </c>
      <c r="AI250" s="47">
        <v>7.75</v>
      </c>
      <c r="AJ250" s="50">
        <v>235306.0</v>
      </c>
      <c r="AK250" s="47">
        <v>51.78</v>
      </c>
      <c r="AL250" s="49">
        <v>44105.0</v>
      </c>
      <c r="AM250" s="49">
        <v>45931.0</v>
      </c>
      <c r="AN250" s="47">
        <v>60.0</v>
      </c>
      <c r="AO250" s="47">
        <v>3000.0</v>
      </c>
      <c r="AP250" s="47">
        <v>180000.0</v>
      </c>
      <c r="AQ250" s="49">
        <v>45930.0</v>
      </c>
      <c r="AR250" s="47">
        <v>16911.0</v>
      </c>
      <c r="AS250" s="47">
        <v>16911.0</v>
      </c>
      <c r="AT250" s="47">
        <v>1.0</v>
      </c>
      <c r="AU250" s="47">
        <v>16123.0</v>
      </c>
      <c r="AV250" s="47">
        <v>2015.0</v>
      </c>
      <c r="AW250" s="50">
        <v>7002.02</v>
      </c>
      <c r="AX250" s="50">
        <v>1830.0</v>
      </c>
      <c r="AY250" s="50">
        <v>125.0</v>
      </c>
      <c r="AZ250" s="50">
        <v>290.99</v>
      </c>
      <c r="BA250" s="50">
        <v>1522.99</v>
      </c>
      <c r="BB250" s="50">
        <v>10771.0</v>
      </c>
      <c r="BC250" s="50">
        <v>1615.65</v>
      </c>
      <c r="BD250" s="50">
        <v>12386.65</v>
      </c>
      <c r="BE250" s="49">
        <v>45748.0</v>
      </c>
      <c r="BF250" s="49">
        <v>45838.0</v>
      </c>
      <c r="BG250" s="47">
        <v>14862.0</v>
      </c>
      <c r="BH250" s="47">
        <v>16911.0</v>
      </c>
      <c r="BI250" s="47">
        <v>2049.0</v>
      </c>
      <c r="BJ250" s="47">
        <v>9000.0</v>
      </c>
      <c r="BK250" s="47">
        <v>-6951.0</v>
      </c>
      <c r="BL250" s="50">
        <v>0.7</v>
      </c>
      <c r="BM250" s="50">
        <v>1.22</v>
      </c>
      <c r="BN250" s="50">
        <v>0.0</v>
      </c>
      <c r="BO250" s="50">
        <v>0.0</v>
      </c>
      <c r="BP250" s="50">
        <v>0.0</v>
      </c>
      <c r="BQ250" s="50">
        <v>-636.02</v>
      </c>
      <c r="BR250" s="50">
        <v>0.0</v>
      </c>
      <c r="BS250" s="50">
        <v>0.0</v>
      </c>
      <c r="BT250" s="50">
        <v>0.0</v>
      </c>
      <c r="BU250" s="50">
        <v>0.0</v>
      </c>
      <c r="BV250" s="50">
        <v>0.0</v>
      </c>
      <c r="BW250" s="50">
        <v>0.0</v>
      </c>
      <c r="BX250" s="50">
        <v>0.0</v>
      </c>
      <c r="BY250" s="50">
        <v>0.0</v>
      </c>
      <c r="BZ250" s="47">
        <v>0.0</v>
      </c>
      <c r="CA250" s="50">
        <v>0.0</v>
      </c>
      <c r="CB250" s="47">
        <v>0.0</v>
      </c>
      <c r="CC250" s="50">
        <v>0.0</v>
      </c>
      <c r="CD250" s="50">
        <v>0.0</v>
      </c>
      <c r="CE250" s="50">
        <v>0.0</v>
      </c>
      <c r="CF250" s="50">
        <v>0.0</v>
      </c>
      <c r="CG250" s="50">
        <v>0.0</v>
      </c>
      <c r="CH250" s="50">
        <v>7510.52</v>
      </c>
      <c r="CI250" s="50">
        <v>979.63</v>
      </c>
      <c r="CJ250" s="50">
        <v>6530.89</v>
      </c>
      <c r="CK250" s="50">
        <v>6530.89</v>
      </c>
      <c r="CL250" s="47">
        <v>0.0</v>
      </c>
      <c r="CM250" s="47">
        <v>0.0</v>
      </c>
      <c r="CN250" s="47">
        <v>0.0</v>
      </c>
      <c r="CO250" s="47">
        <v>100.0</v>
      </c>
      <c r="CP250" s="49"/>
      <c r="CQ250" s="47">
        <v>0.0</v>
      </c>
      <c r="CR250" s="47">
        <v>0.0</v>
      </c>
      <c r="CS250" s="47">
        <v>0.0</v>
      </c>
      <c r="CT250" s="47">
        <v>-7877.0</v>
      </c>
      <c r="CU250" s="49">
        <v>47422.0</v>
      </c>
      <c r="CV250" s="49">
        <v>47422.0</v>
      </c>
      <c r="CW250" s="47">
        <v>180788.0</v>
      </c>
      <c r="CX250" s="47" t="s">
        <v>122</v>
      </c>
      <c r="CY250" s="47" t="s">
        <v>123</v>
      </c>
      <c r="CZ250" s="50">
        <v>4885.3</v>
      </c>
      <c r="DA250" s="50">
        <v>8514.38</v>
      </c>
      <c r="DB250" s="50">
        <v>-9062.16</v>
      </c>
      <c r="DC250" s="50">
        <v>0.61</v>
      </c>
      <c r="DD250" s="50">
        <v>-4240.11</v>
      </c>
      <c r="DE250" s="50">
        <v>-4876.13</v>
      </c>
      <c r="DF250" s="47"/>
    </row>
    <row r="251" ht="13.5" customHeight="1">
      <c r="A251" s="47" t="s">
        <v>157</v>
      </c>
      <c r="B251" s="48">
        <v>44075.0</v>
      </c>
      <c r="C251" s="47" t="s">
        <v>109</v>
      </c>
      <c r="D251" s="47" t="s">
        <v>110</v>
      </c>
      <c r="E251" s="47" t="s">
        <v>111</v>
      </c>
      <c r="F251" s="47" t="s">
        <v>196</v>
      </c>
      <c r="G251" s="47" t="s">
        <v>140</v>
      </c>
      <c r="H251" s="47" t="s">
        <v>141</v>
      </c>
      <c r="I251" s="49">
        <v>44082.0</v>
      </c>
      <c r="J251" s="49">
        <v>44083.0</v>
      </c>
      <c r="K251" s="47">
        <f t="shared" si="1"/>
        <v>1</v>
      </c>
      <c r="L251" s="47">
        <v>1.0</v>
      </c>
      <c r="M251" s="47">
        <f t="shared" si="2"/>
        <v>0</v>
      </c>
      <c r="N251" s="49">
        <v>44096.0</v>
      </c>
      <c r="O251" s="49">
        <v>44106.0</v>
      </c>
      <c r="P251" s="47">
        <f t="shared" si="3"/>
        <v>10</v>
      </c>
      <c r="Q251" s="47">
        <v>90.0</v>
      </c>
      <c r="R251" s="47">
        <f t="shared" si="4"/>
        <v>-80</v>
      </c>
      <c r="S251" s="47" t="s">
        <v>711</v>
      </c>
      <c r="T251" s="47" t="s">
        <v>712</v>
      </c>
      <c r="U251" s="47" t="s">
        <v>117</v>
      </c>
      <c r="V251" s="47" t="s">
        <v>147</v>
      </c>
      <c r="W251" s="47" t="s">
        <v>182</v>
      </c>
      <c r="X251" s="47" t="s">
        <v>259</v>
      </c>
      <c r="Y251" s="47">
        <v>2024.0</v>
      </c>
      <c r="Z251" s="47" t="s">
        <v>135</v>
      </c>
      <c r="AA251" s="47">
        <v>1998.0</v>
      </c>
      <c r="AB251" s="47">
        <v>16.0</v>
      </c>
      <c r="AC251" s="47">
        <v>0.0</v>
      </c>
      <c r="AD251" s="50">
        <v>453264.78</v>
      </c>
      <c r="AE251" s="50">
        <v>18259.71</v>
      </c>
      <c r="AF251" s="51">
        <v>0.04</v>
      </c>
      <c r="AG251" s="50">
        <v>53358.32</v>
      </c>
      <c r="AH251" s="50">
        <v>2531.0</v>
      </c>
      <c r="AI251" s="47">
        <v>7.75</v>
      </c>
      <c r="AJ251" s="50">
        <v>234700.0</v>
      </c>
      <c r="AK251" s="47">
        <v>51.78</v>
      </c>
      <c r="AL251" s="49">
        <v>44106.0</v>
      </c>
      <c r="AM251" s="49">
        <v>45932.0</v>
      </c>
      <c r="AN251" s="47">
        <v>60.0</v>
      </c>
      <c r="AO251" s="47">
        <v>3000.0</v>
      </c>
      <c r="AP251" s="47">
        <v>180000.0</v>
      </c>
      <c r="AQ251" s="49">
        <v>45930.0</v>
      </c>
      <c r="AR251" s="47">
        <v>21532.0</v>
      </c>
      <c r="AS251" s="47">
        <v>24327.0</v>
      </c>
      <c r="AT251" s="47">
        <v>2795.0</v>
      </c>
      <c r="AU251" s="47">
        <v>23943.0</v>
      </c>
      <c r="AV251" s="47">
        <v>2993.0</v>
      </c>
      <c r="AW251" s="50">
        <v>7540.69</v>
      </c>
      <c r="AX251" s="50">
        <v>1800.0</v>
      </c>
      <c r="AY251" s="50">
        <v>125.0</v>
      </c>
      <c r="AZ251" s="50">
        <v>291.0</v>
      </c>
      <c r="BA251" s="50">
        <v>1522.99</v>
      </c>
      <c r="BB251" s="50">
        <v>11279.68</v>
      </c>
      <c r="BC251" s="50">
        <v>1691.95</v>
      </c>
      <c r="BD251" s="50">
        <v>12971.63</v>
      </c>
      <c r="BE251" s="49">
        <v>45748.0</v>
      </c>
      <c r="BF251" s="49">
        <v>45838.0</v>
      </c>
      <c r="BG251" s="47">
        <v>15598.0</v>
      </c>
      <c r="BH251" s="47">
        <v>24327.0</v>
      </c>
      <c r="BI251" s="47">
        <v>8729.0</v>
      </c>
      <c r="BJ251" s="47">
        <v>9000.0</v>
      </c>
      <c r="BK251" s="47">
        <v>-271.0</v>
      </c>
      <c r="BL251" s="50">
        <v>0.69</v>
      </c>
      <c r="BM251" s="50">
        <v>1.21</v>
      </c>
      <c r="BN251" s="50">
        <v>0.0</v>
      </c>
      <c r="BO251" s="50">
        <v>0.0</v>
      </c>
      <c r="BP251" s="50">
        <v>0.0</v>
      </c>
      <c r="BQ251" s="50">
        <v>0.0</v>
      </c>
      <c r="BR251" s="50">
        <v>0.0</v>
      </c>
      <c r="BS251" s="50">
        <v>0.0</v>
      </c>
      <c r="BT251" s="50">
        <v>0.0</v>
      </c>
      <c r="BU251" s="50">
        <v>0.0</v>
      </c>
      <c r="BV251" s="50">
        <v>0.0</v>
      </c>
      <c r="BW251" s="50">
        <v>0.0</v>
      </c>
      <c r="BX251" s="50">
        <v>0.0</v>
      </c>
      <c r="BY251" s="50">
        <v>6714.78</v>
      </c>
      <c r="BZ251" s="47">
        <v>0.0</v>
      </c>
      <c r="CA251" s="50">
        <v>0.0</v>
      </c>
      <c r="CB251" s="47">
        <v>0.0</v>
      </c>
      <c r="CC251" s="50">
        <v>0.0</v>
      </c>
      <c r="CD251" s="50">
        <v>0.0</v>
      </c>
      <c r="CE251" s="50">
        <v>0.0</v>
      </c>
      <c r="CF251" s="50">
        <v>0.0</v>
      </c>
      <c r="CG251" s="50">
        <v>0.0</v>
      </c>
      <c r="CH251" s="50">
        <v>12971.63</v>
      </c>
      <c r="CI251" s="50">
        <v>1691.95</v>
      </c>
      <c r="CJ251" s="50">
        <v>11279.68</v>
      </c>
      <c r="CK251" s="50">
        <v>4.04</v>
      </c>
      <c r="CL251" s="47">
        <v>0.0</v>
      </c>
      <c r="CM251" s="47">
        <v>0.0</v>
      </c>
      <c r="CN251" s="47">
        <v>0.0</v>
      </c>
      <c r="CO251" s="47">
        <v>100.0</v>
      </c>
      <c r="CP251" s="49"/>
      <c r="CQ251" s="47">
        <v>0.0</v>
      </c>
      <c r="CR251" s="47">
        <v>0.0</v>
      </c>
      <c r="CS251" s="47">
        <v>0.0</v>
      </c>
      <c r="CT251" s="47">
        <v>-254.0</v>
      </c>
      <c r="CU251" s="49">
        <v>47422.0</v>
      </c>
      <c r="CV251" s="49">
        <v>47422.0</v>
      </c>
      <c r="CW251" s="47">
        <v>180384.0</v>
      </c>
      <c r="CX251" s="47" t="s">
        <v>122</v>
      </c>
      <c r="CY251" s="47" t="s">
        <v>123</v>
      </c>
      <c r="CZ251" s="50">
        <v>358.8</v>
      </c>
      <c r="DA251" s="50">
        <v>629.2</v>
      </c>
      <c r="DB251" s="50">
        <v>-301.8</v>
      </c>
      <c r="DC251" s="50">
        <v>0.6</v>
      </c>
      <c r="DD251" s="50">
        <v>0.0</v>
      </c>
      <c r="DE251" s="50">
        <v>0.0</v>
      </c>
      <c r="DF251" s="47"/>
    </row>
    <row r="252" ht="13.5" customHeight="1">
      <c r="A252" s="47" t="s">
        <v>157</v>
      </c>
      <c r="B252" s="48">
        <v>44075.0</v>
      </c>
      <c r="C252" s="47" t="s">
        <v>124</v>
      </c>
      <c r="D252" s="47" t="s">
        <v>125</v>
      </c>
      <c r="E252" s="47" t="s">
        <v>126</v>
      </c>
      <c r="F252" s="47" t="s">
        <v>176</v>
      </c>
      <c r="G252" s="47" t="s">
        <v>140</v>
      </c>
      <c r="H252" s="47" t="s">
        <v>114</v>
      </c>
      <c r="I252" s="49">
        <v>44083.0</v>
      </c>
      <c r="J252" s="49">
        <v>44084.0</v>
      </c>
      <c r="K252" s="47">
        <f t="shared" si="1"/>
        <v>1</v>
      </c>
      <c r="L252" s="47">
        <v>1.0</v>
      </c>
      <c r="M252" s="47">
        <f t="shared" si="2"/>
        <v>0</v>
      </c>
      <c r="N252" s="49">
        <v>44097.0</v>
      </c>
      <c r="O252" s="49">
        <v>44107.0</v>
      </c>
      <c r="P252" s="47">
        <f t="shared" si="3"/>
        <v>10</v>
      </c>
      <c r="Q252" s="47">
        <v>90.0</v>
      </c>
      <c r="R252" s="47">
        <f t="shared" si="4"/>
        <v>-80</v>
      </c>
      <c r="S252" s="47" t="s">
        <v>713</v>
      </c>
      <c r="T252" s="47" t="s">
        <v>714</v>
      </c>
      <c r="U252" s="47" t="s">
        <v>117</v>
      </c>
      <c r="V252" s="47" t="s">
        <v>147</v>
      </c>
      <c r="W252" s="47" t="s">
        <v>133</v>
      </c>
      <c r="X252" s="47" t="s">
        <v>215</v>
      </c>
      <c r="Y252" s="47">
        <v>2024.0</v>
      </c>
      <c r="Z252" s="47" t="s">
        <v>135</v>
      </c>
      <c r="AA252" s="47">
        <v>1898.0</v>
      </c>
      <c r="AB252" s="47">
        <v>16.0</v>
      </c>
      <c r="AC252" s="47">
        <v>0.0</v>
      </c>
      <c r="AD252" s="50">
        <v>494347.83</v>
      </c>
      <c r="AE252" s="50">
        <v>92264.14</v>
      </c>
      <c r="AF252" s="51">
        <v>0.19</v>
      </c>
      <c r="AG252" s="50">
        <v>170066.64</v>
      </c>
      <c r="AH252" s="50">
        <v>2447.0</v>
      </c>
      <c r="AI252" s="47">
        <v>7.75</v>
      </c>
      <c r="AJ252" s="50">
        <v>213043.0</v>
      </c>
      <c r="AK252" s="47">
        <v>43.1</v>
      </c>
      <c r="AL252" s="49">
        <v>44107.0</v>
      </c>
      <c r="AM252" s="49">
        <v>45933.0</v>
      </c>
      <c r="AN252" s="47">
        <v>60.0</v>
      </c>
      <c r="AO252" s="47">
        <v>2500.0</v>
      </c>
      <c r="AP252" s="47">
        <v>150000.0</v>
      </c>
      <c r="AQ252" s="49">
        <v>45961.0</v>
      </c>
      <c r="AR252" s="47">
        <v>15924.0</v>
      </c>
      <c r="AS252" s="47">
        <v>18611.0</v>
      </c>
      <c r="AT252" s="47">
        <v>2687.0</v>
      </c>
      <c r="AU252" s="47">
        <v>17831.0</v>
      </c>
      <c r="AV252" s="47">
        <v>2547.0</v>
      </c>
      <c r="AW252" s="50">
        <v>9552.64</v>
      </c>
      <c r="AX252" s="50">
        <v>1750.0</v>
      </c>
      <c r="AY252" s="50">
        <v>125.0</v>
      </c>
      <c r="AZ252" s="50">
        <v>290.99</v>
      </c>
      <c r="BA252" s="50">
        <v>1522.99</v>
      </c>
      <c r="BB252" s="50">
        <v>13241.62</v>
      </c>
      <c r="BC252" s="50">
        <v>1986.24</v>
      </c>
      <c r="BD252" s="50">
        <v>15227.86</v>
      </c>
      <c r="BE252" s="49">
        <v>45748.0</v>
      </c>
      <c r="BF252" s="49">
        <v>45838.0</v>
      </c>
      <c r="BG252" s="47">
        <v>12117.0</v>
      </c>
      <c r="BH252" s="47">
        <v>18611.0</v>
      </c>
      <c r="BI252" s="47">
        <v>6494.0</v>
      </c>
      <c r="BJ252" s="47">
        <v>7500.0</v>
      </c>
      <c r="BK252" s="47">
        <v>-1006.0</v>
      </c>
      <c r="BL252" s="50">
        <v>0.81</v>
      </c>
      <c r="BM252" s="50">
        <v>1.88</v>
      </c>
      <c r="BN252" s="50">
        <v>0.0</v>
      </c>
      <c r="BO252" s="50">
        <v>0.0</v>
      </c>
      <c r="BP252" s="50">
        <v>0.0</v>
      </c>
      <c r="BQ252" s="50">
        <v>-105.63</v>
      </c>
      <c r="BR252" s="50">
        <v>0.0</v>
      </c>
      <c r="BS252" s="50">
        <v>0.0</v>
      </c>
      <c r="BT252" s="50">
        <v>0.0</v>
      </c>
      <c r="BU252" s="50">
        <v>0.0</v>
      </c>
      <c r="BV252" s="50">
        <v>0.0</v>
      </c>
      <c r="BW252" s="50">
        <v>0.0</v>
      </c>
      <c r="BX252" s="50">
        <v>0.0</v>
      </c>
      <c r="BY252" s="50">
        <v>5981.84</v>
      </c>
      <c r="BZ252" s="47">
        <v>0.0</v>
      </c>
      <c r="CA252" s="50">
        <v>110.0</v>
      </c>
      <c r="CB252" s="47">
        <v>0.0</v>
      </c>
      <c r="CC252" s="50">
        <v>0.0</v>
      </c>
      <c r="CD252" s="50">
        <v>0.0</v>
      </c>
      <c r="CE252" s="50">
        <v>0.0</v>
      </c>
      <c r="CF252" s="50">
        <v>0.0</v>
      </c>
      <c r="CG252" s="50">
        <v>0.0</v>
      </c>
      <c r="CH252" s="50">
        <v>14418.03</v>
      </c>
      <c r="CI252" s="50">
        <v>1880.61</v>
      </c>
      <c r="CJ252" s="50">
        <v>12537.42</v>
      </c>
      <c r="CK252" s="50">
        <v>4.67</v>
      </c>
      <c r="CL252" s="47">
        <v>0.0</v>
      </c>
      <c r="CM252" s="47">
        <v>0.0</v>
      </c>
      <c r="CN252" s="47">
        <v>0.0</v>
      </c>
      <c r="CO252" s="47">
        <v>100.0</v>
      </c>
      <c r="CP252" s="49"/>
      <c r="CQ252" s="47">
        <v>0.0</v>
      </c>
      <c r="CR252" s="47">
        <v>0.0</v>
      </c>
      <c r="CS252" s="47">
        <v>0.0</v>
      </c>
      <c r="CT252" s="47">
        <v>-984.0</v>
      </c>
      <c r="CU252" s="49">
        <v>47452.0</v>
      </c>
      <c r="CV252" s="49">
        <v>47452.0</v>
      </c>
      <c r="CW252" s="47">
        <v>150780.0</v>
      </c>
      <c r="CX252" s="47" t="s">
        <v>122</v>
      </c>
      <c r="CY252" s="47" t="s">
        <v>123</v>
      </c>
      <c r="CZ252" s="50">
        <v>1639.44</v>
      </c>
      <c r="DA252" s="50">
        <v>3805.12</v>
      </c>
      <c r="DB252" s="50">
        <v>-2105.6</v>
      </c>
      <c r="DC252" s="50">
        <v>0.7</v>
      </c>
      <c r="DD252" s="50">
        <v>-704.2</v>
      </c>
      <c r="DE252" s="50">
        <v>-809.83</v>
      </c>
      <c r="DF252" s="47"/>
    </row>
    <row r="253" ht="13.5" customHeight="1">
      <c r="A253" s="47" t="s">
        <v>157</v>
      </c>
      <c r="B253" s="48">
        <v>44075.0</v>
      </c>
      <c r="C253" s="47" t="s">
        <v>136</v>
      </c>
      <c r="D253" s="47" t="s">
        <v>137</v>
      </c>
      <c r="E253" s="47" t="s">
        <v>138</v>
      </c>
      <c r="F253" s="47" t="s">
        <v>176</v>
      </c>
      <c r="G253" s="47" t="s">
        <v>140</v>
      </c>
      <c r="H253" s="47" t="s">
        <v>129</v>
      </c>
      <c r="I253" s="49">
        <v>44084.0</v>
      </c>
      <c r="J253" s="49">
        <v>44085.0</v>
      </c>
      <c r="K253" s="47">
        <f t="shared" si="1"/>
        <v>1</v>
      </c>
      <c r="L253" s="47">
        <v>1.0</v>
      </c>
      <c r="M253" s="47">
        <f t="shared" si="2"/>
        <v>0</v>
      </c>
      <c r="N253" s="49">
        <v>44098.0</v>
      </c>
      <c r="O253" s="49">
        <v>44108.0</v>
      </c>
      <c r="P253" s="47">
        <f t="shared" si="3"/>
        <v>10</v>
      </c>
      <c r="Q253" s="47">
        <v>90.0</v>
      </c>
      <c r="R253" s="47">
        <f t="shared" si="4"/>
        <v>-80</v>
      </c>
      <c r="S253" s="47" t="s">
        <v>715</v>
      </c>
      <c r="T253" s="47" t="s">
        <v>716</v>
      </c>
      <c r="U253" s="47" t="s">
        <v>117</v>
      </c>
      <c r="V253" s="47" t="s">
        <v>147</v>
      </c>
      <c r="W253" s="47" t="s">
        <v>133</v>
      </c>
      <c r="X253" s="47" t="s">
        <v>168</v>
      </c>
      <c r="Y253" s="47">
        <v>2024.0</v>
      </c>
      <c r="Z253" s="47" t="s">
        <v>135</v>
      </c>
      <c r="AA253" s="47">
        <v>2498.0</v>
      </c>
      <c r="AB253" s="47">
        <v>16.0</v>
      </c>
      <c r="AC253" s="47">
        <v>1.0</v>
      </c>
      <c r="AD253" s="50">
        <v>460956.52</v>
      </c>
      <c r="AE253" s="50">
        <v>86959.0</v>
      </c>
      <c r="AF253" s="51">
        <v>0.19</v>
      </c>
      <c r="AG253" s="50">
        <v>49370.36</v>
      </c>
      <c r="AH253" s="50">
        <v>2447.0</v>
      </c>
      <c r="AI253" s="47">
        <v>7.75</v>
      </c>
      <c r="AJ253" s="50">
        <v>202821.0</v>
      </c>
      <c r="AK253" s="47">
        <v>44.0</v>
      </c>
      <c r="AL253" s="49">
        <v>44108.0</v>
      </c>
      <c r="AM253" s="49">
        <v>45934.0</v>
      </c>
      <c r="AN253" s="47">
        <v>60.0</v>
      </c>
      <c r="AO253" s="47">
        <v>7000.0</v>
      </c>
      <c r="AP253" s="47">
        <v>217000.0</v>
      </c>
      <c r="AQ253" s="49">
        <v>45961.0</v>
      </c>
      <c r="AR253" s="47">
        <v>28574.0</v>
      </c>
      <c r="AS253" s="47">
        <v>34844.0</v>
      </c>
      <c r="AT253" s="47">
        <v>6270.0</v>
      </c>
      <c r="AU253" s="47">
        <v>34205.0</v>
      </c>
      <c r="AV253" s="47">
        <v>4886.0</v>
      </c>
      <c r="AW253" s="50">
        <v>10110.29</v>
      </c>
      <c r="AX253" s="50">
        <v>3290.0</v>
      </c>
      <c r="AY253" s="50">
        <v>125.0</v>
      </c>
      <c r="AZ253" s="50">
        <v>291.0</v>
      </c>
      <c r="BA253" s="50">
        <v>1089.17</v>
      </c>
      <c r="BB253" s="50">
        <v>14905.46</v>
      </c>
      <c r="BC253" s="50">
        <v>2235.82</v>
      </c>
      <c r="BD253" s="50">
        <v>17141.28</v>
      </c>
      <c r="BE253" s="49">
        <v>45748.0</v>
      </c>
      <c r="BF253" s="49">
        <v>45838.0</v>
      </c>
      <c r="BG253" s="47">
        <v>19536.0</v>
      </c>
      <c r="BH253" s="47">
        <v>34844.0</v>
      </c>
      <c r="BI253" s="47">
        <v>15308.0</v>
      </c>
      <c r="BJ253" s="47">
        <v>21000.0</v>
      </c>
      <c r="BK253" s="47">
        <v>-5692.0</v>
      </c>
      <c r="BL253" s="50">
        <v>0.54</v>
      </c>
      <c r="BM253" s="50">
        <v>1.19</v>
      </c>
      <c r="BN253" s="50">
        <v>0.0</v>
      </c>
      <c r="BO253" s="50">
        <v>0.0</v>
      </c>
      <c r="BP253" s="50">
        <v>0.0</v>
      </c>
      <c r="BQ253" s="50">
        <v>-401.29</v>
      </c>
      <c r="BR253" s="50">
        <v>0.0</v>
      </c>
      <c r="BS253" s="50">
        <v>0.0</v>
      </c>
      <c r="BT253" s="50">
        <v>0.0</v>
      </c>
      <c r="BU253" s="50">
        <v>0.0</v>
      </c>
      <c r="BV253" s="50">
        <v>0.0</v>
      </c>
      <c r="BW253" s="50">
        <v>0.0</v>
      </c>
      <c r="BX253" s="50">
        <v>0.0</v>
      </c>
      <c r="BY253" s="50">
        <v>12184.93</v>
      </c>
      <c r="BZ253" s="47">
        <v>0.0</v>
      </c>
      <c r="CA253" s="50">
        <v>0.0</v>
      </c>
      <c r="CB253" s="47">
        <v>0.0</v>
      </c>
      <c r="CC253" s="50">
        <v>0.0</v>
      </c>
      <c r="CD253" s="50">
        <v>0.0</v>
      </c>
      <c r="CE253" s="50">
        <v>0.0</v>
      </c>
      <c r="CF253" s="50">
        <v>0.0</v>
      </c>
      <c r="CG253" s="50">
        <v>0.0</v>
      </c>
      <c r="CH253" s="50">
        <v>14064.75</v>
      </c>
      <c r="CI253" s="50">
        <v>1834.53</v>
      </c>
      <c r="CJ253" s="50">
        <v>12230.22</v>
      </c>
      <c r="CK253" s="50">
        <v>1.95</v>
      </c>
      <c r="CL253" s="47">
        <v>0.0</v>
      </c>
      <c r="CM253" s="47">
        <v>0.0</v>
      </c>
      <c r="CN253" s="47">
        <v>0.0</v>
      </c>
      <c r="CO253" s="47">
        <v>100.0</v>
      </c>
      <c r="CP253" s="49"/>
      <c r="CQ253" s="47">
        <v>0.0</v>
      </c>
      <c r="CR253" s="47">
        <v>0.0</v>
      </c>
      <c r="CS253" s="47">
        <v>0.0</v>
      </c>
      <c r="CT253" s="47">
        <v>-18477.0</v>
      </c>
      <c r="CU253" s="49">
        <v>46568.0</v>
      </c>
      <c r="CV253" s="49">
        <v>46568.0</v>
      </c>
      <c r="CW253" s="47">
        <v>217639.0</v>
      </c>
      <c r="CX253" s="47" t="s">
        <v>122</v>
      </c>
      <c r="CY253" s="47" t="s">
        <v>123</v>
      </c>
      <c r="CZ253" s="50">
        <v>2631.53</v>
      </c>
      <c r="DA253" s="50">
        <v>0.0</v>
      </c>
      <c r="DB253" s="50">
        <v>-11315.72</v>
      </c>
      <c r="DC253" s="50">
        <v>0.47</v>
      </c>
      <c r="DD253" s="50">
        <v>-2675.24</v>
      </c>
      <c r="DE253" s="50">
        <v>-3076.53</v>
      </c>
      <c r="DF253" s="47"/>
    </row>
    <row r="254" ht="13.5" customHeight="1">
      <c r="A254" s="47" t="s">
        <v>157</v>
      </c>
      <c r="B254" s="48">
        <v>44075.0</v>
      </c>
      <c r="C254" s="47" t="s">
        <v>109</v>
      </c>
      <c r="D254" s="47" t="s">
        <v>110</v>
      </c>
      <c r="E254" s="47" t="s">
        <v>111</v>
      </c>
      <c r="F254" s="47" t="s">
        <v>172</v>
      </c>
      <c r="G254" s="47" t="s">
        <v>140</v>
      </c>
      <c r="H254" s="47" t="s">
        <v>141</v>
      </c>
      <c r="I254" s="49">
        <v>44085.0</v>
      </c>
      <c r="J254" s="49">
        <v>44086.0</v>
      </c>
      <c r="K254" s="47">
        <f t="shared" si="1"/>
        <v>1</v>
      </c>
      <c r="L254" s="47">
        <v>1.0</v>
      </c>
      <c r="M254" s="47">
        <f t="shared" si="2"/>
        <v>0</v>
      </c>
      <c r="N254" s="49">
        <v>44099.0</v>
      </c>
      <c r="O254" s="49">
        <v>44109.0</v>
      </c>
      <c r="P254" s="47">
        <f t="shared" si="3"/>
        <v>10</v>
      </c>
      <c r="Q254" s="47">
        <v>90.0</v>
      </c>
      <c r="R254" s="47">
        <f t="shared" si="4"/>
        <v>-80</v>
      </c>
      <c r="S254" s="47" t="s">
        <v>717</v>
      </c>
      <c r="T254" s="47" t="s">
        <v>718</v>
      </c>
      <c r="U254" s="47" t="s">
        <v>117</v>
      </c>
      <c r="V254" s="47" t="s">
        <v>190</v>
      </c>
      <c r="W254" s="47" t="s">
        <v>194</v>
      </c>
      <c r="X254" s="47" t="s">
        <v>195</v>
      </c>
      <c r="Y254" s="47">
        <v>2024.0</v>
      </c>
      <c r="Z254" s="47" t="s">
        <v>121</v>
      </c>
      <c r="AA254" s="47">
        <v>1198.0</v>
      </c>
      <c r="AB254" s="47">
        <v>16.0</v>
      </c>
      <c r="AC254" s="47">
        <v>0.0</v>
      </c>
      <c r="AD254" s="50">
        <v>184260.87</v>
      </c>
      <c r="AE254" s="50">
        <v>11200.0</v>
      </c>
      <c r="AF254" s="51">
        <v>0.06</v>
      </c>
      <c r="AG254" s="50">
        <v>7943.49</v>
      </c>
      <c r="AH254" s="50">
        <v>1662.0</v>
      </c>
      <c r="AI254" s="47">
        <v>7.75</v>
      </c>
      <c r="AJ254" s="50">
        <v>99780.0</v>
      </c>
      <c r="AK254" s="47">
        <v>54.15</v>
      </c>
      <c r="AL254" s="49">
        <v>44109.0</v>
      </c>
      <c r="AM254" s="49">
        <v>45935.0</v>
      </c>
      <c r="AN254" s="47">
        <v>60.0</v>
      </c>
      <c r="AO254" s="47">
        <v>2000.0</v>
      </c>
      <c r="AP254" s="47">
        <v>120000.0</v>
      </c>
      <c r="AQ254" s="49">
        <v>45961.0</v>
      </c>
      <c r="AR254" s="47">
        <v>4902.0</v>
      </c>
      <c r="AS254" s="47">
        <v>5895.0</v>
      </c>
      <c r="AT254" s="47">
        <v>993.0</v>
      </c>
      <c r="AU254" s="47">
        <v>5276.0</v>
      </c>
      <c r="AV254" s="47">
        <v>754.0</v>
      </c>
      <c r="AW254" s="50">
        <v>3096.4</v>
      </c>
      <c r="AX254" s="50">
        <v>1220.0</v>
      </c>
      <c r="AY254" s="50">
        <v>125.0</v>
      </c>
      <c r="AZ254" s="50">
        <v>290.99</v>
      </c>
      <c r="BA254" s="50">
        <v>1083.24</v>
      </c>
      <c r="BB254" s="50">
        <v>5815.63</v>
      </c>
      <c r="BC254" s="50">
        <v>872.34</v>
      </c>
      <c r="BD254" s="50">
        <v>6687.97</v>
      </c>
      <c r="BE254" s="49">
        <v>45748.0</v>
      </c>
      <c r="BF254" s="49">
        <v>45838.0</v>
      </c>
      <c r="BG254" s="47">
        <v>3159.0</v>
      </c>
      <c r="BH254" s="47">
        <v>5895.0</v>
      </c>
      <c r="BI254" s="47">
        <v>2736.0</v>
      </c>
      <c r="BJ254" s="47">
        <v>6000.0</v>
      </c>
      <c r="BK254" s="47">
        <v>-3264.0</v>
      </c>
      <c r="BL254" s="50">
        <v>0.7</v>
      </c>
      <c r="BM254" s="50">
        <v>0.7</v>
      </c>
      <c r="BN254" s="50">
        <v>0.0</v>
      </c>
      <c r="BO254" s="50">
        <v>0.0</v>
      </c>
      <c r="BP254" s="50">
        <v>0.0</v>
      </c>
      <c r="BQ254" s="50">
        <v>-298.66</v>
      </c>
      <c r="BR254" s="50">
        <v>0.0</v>
      </c>
      <c r="BS254" s="50">
        <v>0.0</v>
      </c>
      <c r="BT254" s="50">
        <v>0.0</v>
      </c>
      <c r="BU254" s="50">
        <v>0.0</v>
      </c>
      <c r="BV254" s="50">
        <v>0.0</v>
      </c>
      <c r="BW254" s="50">
        <v>0.0</v>
      </c>
      <c r="BX254" s="50">
        <v>0.0</v>
      </c>
      <c r="BY254" s="50">
        <v>1248.48</v>
      </c>
      <c r="BZ254" s="47">
        <v>0.0</v>
      </c>
      <c r="CA254" s="50">
        <v>0.0</v>
      </c>
      <c r="CB254" s="47">
        <v>0.0</v>
      </c>
      <c r="CC254" s="50">
        <v>0.0</v>
      </c>
      <c r="CD254" s="50">
        <v>0.0</v>
      </c>
      <c r="CE254" s="50">
        <v>0.0</v>
      </c>
      <c r="CF254" s="50">
        <v>0.0</v>
      </c>
      <c r="CG254" s="50">
        <v>0.0</v>
      </c>
      <c r="CH254" s="50">
        <v>4398.27</v>
      </c>
      <c r="CI254" s="50">
        <v>573.68</v>
      </c>
      <c r="CJ254" s="50">
        <v>3824.59</v>
      </c>
      <c r="CK254" s="50">
        <v>3.85</v>
      </c>
      <c r="CL254" s="47">
        <v>0.0</v>
      </c>
      <c r="CM254" s="47">
        <v>0.0</v>
      </c>
      <c r="CN254" s="47">
        <v>0.0</v>
      </c>
      <c r="CO254" s="47">
        <v>100.0</v>
      </c>
      <c r="CP254" s="49"/>
      <c r="CQ254" s="47">
        <v>0.0</v>
      </c>
      <c r="CR254" s="47">
        <v>0.0</v>
      </c>
      <c r="CS254" s="47">
        <v>0.0</v>
      </c>
      <c r="CT254" s="47">
        <v>-9907.0</v>
      </c>
      <c r="CU254" s="49">
        <v>47452.0</v>
      </c>
      <c r="CV254" s="49">
        <v>47452.0</v>
      </c>
      <c r="CW254" s="47">
        <v>120619.0</v>
      </c>
      <c r="CX254" s="47" t="s">
        <v>122</v>
      </c>
      <c r="CY254" s="47" t="s">
        <v>123</v>
      </c>
      <c r="CZ254" s="50">
        <v>2685.83</v>
      </c>
      <c r="DA254" s="50">
        <v>0.0</v>
      </c>
      <c r="DB254" s="50">
        <v>-8729.1</v>
      </c>
      <c r="DC254" s="50">
        <v>0.61</v>
      </c>
      <c r="DD254" s="50">
        <v>-1991.04</v>
      </c>
      <c r="DE254" s="50">
        <v>-2289.7</v>
      </c>
      <c r="DF254" s="47"/>
    </row>
    <row r="255" ht="13.5" customHeight="1">
      <c r="A255" s="47" t="s">
        <v>157</v>
      </c>
      <c r="B255" s="48">
        <v>44075.0</v>
      </c>
      <c r="C255" s="47" t="s">
        <v>124</v>
      </c>
      <c r="D255" s="47" t="s">
        <v>125</v>
      </c>
      <c r="E255" s="47" t="s">
        <v>126</v>
      </c>
      <c r="F255" s="47" t="s">
        <v>172</v>
      </c>
      <c r="G255" s="47" t="s">
        <v>140</v>
      </c>
      <c r="H255" s="47" t="s">
        <v>114</v>
      </c>
      <c r="I255" s="49">
        <v>44086.0</v>
      </c>
      <c r="J255" s="49">
        <v>44087.0</v>
      </c>
      <c r="K255" s="47">
        <f t="shared" si="1"/>
        <v>1</v>
      </c>
      <c r="L255" s="47">
        <v>1.0</v>
      </c>
      <c r="M255" s="47">
        <f t="shared" si="2"/>
        <v>0</v>
      </c>
      <c r="N255" s="49">
        <v>44100.0</v>
      </c>
      <c r="O255" s="49">
        <v>44110.0</v>
      </c>
      <c r="P255" s="47">
        <f t="shared" si="3"/>
        <v>10</v>
      </c>
      <c r="Q255" s="47">
        <v>90.0</v>
      </c>
      <c r="R255" s="47">
        <f t="shared" si="4"/>
        <v>-80</v>
      </c>
      <c r="S255" s="47" t="s">
        <v>719</v>
      </c>
      <c r="T255" s="47" t="s">
        <v>720</v>
      </c>
      <c r="U255" s="47" t="s">
        <v>117</v>
      </c>
      <c r="V255" s="47" t="s">
        <v>190</v>
      </c>
      <c r="W255" s="47" t="s">
        <v>194</v>
      </c>
      <c r="X255" s="47" t="s">
        <v>195</v>
      </c>
      <c r="Y255" s="47">
        <v>2024.0</v>
      </c>
      <c r="Z255" s="47" t="s">
        <v>121</v>
      </c>
      <c r="AA255" s="47">
        <v>1198.0</v>
      </c>
      <c r="AB255" s="47">
        <v>16.0</v>
      </c>
      <c r="AC255" s="47">
        <v>0.0</v>
      </c>
      <c r="AD255" s="50">
        <v>184261.0</v>
      </c>
      <c r="AE255" s="50">
        <v>11200.13</v>
      </c>
      <c r="AF255" s="51">
        <v>0.06</v>
      </c>
      <c r="AG255" s="50">
        <v>7961.91</v>
      </c>
      <c r="AH255" s="50">
        <v>1662.0</v>
      </c>
      <c r="AI255" s="47">
        <v>7.75</v>
      </c>
      <c r="AJ255" s="50">
        <v>99780.0</v>
      </c>
      <c r="AK255" s="47">
        <v>54.15</v>
      </c>
      <c r="AL255" s="49">
        <v>44110.0</v>
      </c>
      <c r="AM255" s="49">
        <v>45936.0</v>
      </c>
      <c r="AN255" s="47">
        <v>60.0</v>
      </c>
      <c r="AO255" s="47">
        <v>2000.0</v>
      </c>
      <c r="AP255" s="47">
        <v>120000.0</v>
      </c>
      <c r="AQ255" s="49">
        <v>45961.0</v>
      </c>
      <c r="AR255" s="47">
        <v>5685.0</v>
      </c>
      <c r="AS255" s="47">
        <v>6896.0</v>
      </c>
      <c r="AT255" s="47">
        <v>1211.0</v>
      </c>
      <c r="AU255" s="47">
        <v>6280.0</v>
      </c>
      <c r="AV255" s="47">
        <v>897.0</v>
      </c>
      <c r="AW255" s="50">
        <v>3096.77</v>
      </c>
      <c r="AX255" s="50">
        <v>740.0</v>
      </c>
      <c r="AY255" s="50">
        <v>125.0</v>
      </c>
      <c r="AZ255" s="50">
        <v>290.99</v>
      </c>
      <c r="BA255" s="50">
        <v>1083.24</v>
      </c>
      <c r="BB255" s="50">
        <v>5336.0</v>
      </c>
      <c r="BC255" s="50">
        <v>800.4</v>
      </c>
      <c r="BD255" s="50">
        <v>6136.4</v>
      </c>
      <c r="BE255" s="49">
        <v>45748.0</v>
      </c>
      <c r="BF255" s="49">
        <v>45838.0</v>
      </c>
      <c r="BG255" s="47">
        <v>4300.0</v>
      </c>
      <c r="BH255" s="47">
        <v>6896.0</v>
      </c>
      <c r="BI255" s="47">
        <v>2596.0</v>
      </c>
      <c r="BJ255" s="47">
        <v>6000.0</v>
      </c>
      <c r="BK255" s="47">
        <v>-3404.0</v>
      </c>
      <c r="BL255" s="50">
        <v>0.43</v>
      </c>
      <c r="BM255" s="50">
        <v>0.7</v>
      </c>
      <c r="BN255" s="50">
        <v>0.0</v>
      </c>
      <c r="BO255" s="50">
        <v>0.0</v>
      </c>
      <c r="BP255" s="50">
        <v>0.0</v>
      </c>
      <c r="BQ255" s="50">
        <v>-188.92</v>
      </c>
      <c r="BR255" s="50">
        <v>0.0</v>
      </c>
      <c r="BS255" s="50">
        <v>0.0</v>
      </c>
      <c r="BT255" s="50">
        <v>0.0</v>
      </c>
      <c r="BU255" s="50">
        <v>0.0</v>
      </c>
      <c r="BV255" s="50">
        <v>0.0</v>
      </c>
      <c r="BW255" s="50">
        <v>0.0</v>
      </c>
      <c r="BX255" s="50">
        <v>0.0</v>
      </c>
      <c r="BY255" s="50">
        <v>1678.01</v>
      </c>
      <c r="BZ255" s="47">
        <v>0.0</v>
      </c>
      <c r="CA255" s="50">
        <v>0.0</v>
      </c>
      <c r="CB255" s="47">
        <v>0.0</v>
      </c>
      <c r="CC255" s="50">
        <v>0.0</v>
      </c>
      <c r="CD255" s="50">
        <v>0.0</v>
      </c>
      <c r="CE255" s="50">
        <v>0.0</v>
      </c>
      <c r="CF255" s="50">
        <v>0.0</v>
      </c>
      <c r="CG255" s="50">
        <v>0.0</v>
      </c>
      <c r="CH255" s="50">
        <v>4688.0</v>
      </c>
      <c r="CI255" s="50">
        <v>611.48</v>
      </c>
      <c r="CJ255" s="50">
        <v>4076.52</v>
      </c>
      <c r="CK255" s="50">
        <v>3.37</v>
      </c>
      <c r="CL255" s="47">
        <v>0.0</v>
      </c>
      <c r="CM255" s="47">
        <v>0.0</v>
      </c>
      <c r="CN255" s="47">
        <v>0.0</v>
      </c>
      <c r="CO255" s="47">
        <v>100.0</v>
      </c>
      <c r="CP255" s="49"/>
      <c r="CQ255" s="47">
        <v>0.0</v>
      </c>
      <c r="CR255" s="47">
        <v>0.0</v>
      </c>
      <c r="CS255" s="47">
        <v>0.0</v>
      </c>
      <c r="CT255" s="47">
        <v>-8903.0</v>
      </c>
      <c r="CU255" s="49">
        <v>47452.0</v>
      </c>
      <c r="CV255" s="49">
        <v>47452.0</v>
      </c>
      <c r="CW255" s="47">
        <v>120616.0</v>
      </c>
      <c r="CX255" s="47" t="s">
        <v>122</v>
      </c>
      <c r="CY255" s="47" t="s">
        <v>123</v>
      </c>
      <c r="CZ255" s="50">
        <v>1119.62</v>
      </c>
      <c r="DA255" s="50">
        <v>0.0</v>
      </c>
      <c r="DB255" s="50">
        <v>-4413.73</v>
      </c>
      <c r="DC255" s="50">
        <v>0.37</v>
      </c>
      <c r="DD255" s="50">
        <v>-1259.48</v>
      </c>
      <c r="DE255" s="50">
        <v>-1448.4</v>
      </c>
      <c r="DF255" s="47"/>
    </row>
    <row r="256" ht="13.5" customHeight="1">
      <c r="A256" s="47" t="s">
        <v>175</v>
      </c>
      <c r="B256" s="48">
        <v>44075.0</v>
      </c>
      <c r="C256" s="47" t="s">
        <v>136</v>
      </c>
      <c r="D256" s="47" t="s">
        <v>137</v>
      </c>
      <c r="E256" s="47" t="s">
        <v>138</v>
      </c>
      <c r="F256" s="47" t="s">
        <v>176</v>
      </c>
      <c r="G256" s="47" t="s">
        <v>140</v>
      </c>
      <c r="H256" s="47" t="s">
        <v>129</v>
      </c>
      <c r="I256" s="49">
        <v>44087.0</v>
      </c>
      <c r="J256" s="49">
        <v>44093.0</v>
      </c>
      <c r="K256" s="47">
        <f t="shared" si="1"/>
        <v>6</v>
      </c>
      <c r="L256" s="47">
        <v>1.0</v>
      </c>
      <c r="M256" s="47">
        <f t="shared" si="2"/>
        <v>5</v>
      </c>
      <c r="N256" s="49">
        <v>44101.0</v>
      </c>
      <c r="O256" s="49">
        <v>44111.0</v>
      </c>
      <c r="P256" s="47">
        <f t="shared" si="3"/>
        <v>10</v>
      </c>
      <c r="Q256" s="47">
        <v>90.0</v>
      </c>
      <c r="R256" s="47">
        <f t="shared" si="4"/>
        <v>-80</v>
      </c>
      <c r="S256" s="47" t="s">
        <v>721</v>
      </c>
      <c r="T256" s="47" t="s">
        <v>722</v>
      </c>
      <c r="U256" s="47" t="s">
        <v>117</v>
      </c>
      <c r="V256" s="47" t="s">
        <v>147</v>
      </c>
      <c r="W256" s="47" t="s">
        <v>133</v>
      </c>
      <c r="X256" s="47" t="s">
        <v>168</v>
      </c>
      <c r="Y256" s="47">
        <v>2024.0</v>
      </c>
      <c r="Z256" s="47" t="s">
        <v>135</v>
      </c>
      <c r="AA256" s="47">
        <v>2498.0</v>
      </c>
      <c r="AB256" s="47">
        <v>16.0</v>
      </c>
      <c r="AC256" s="47">
        <v>0.0</v>
      </c>
      <c r="AD256" s="50">
        <v>460956.52</v>
      </c>
      <c r="AE256" s="50">
        <v>86959.0</v>
      </c>
      <c r="AF256" s="51">
        <v>0.19</v>
      </c>
      <c r="AG256" s="50">
        <v>34999.97</v>
      </c>
      <c r="AH256" s="50">
        <v>2447.0</v>
      </c>
      <c r="AI256" s="47">
        <v>7.75</v>
      </c>
      <c r="AJ256" s="50">
        <v>202821.0</v>
      </c>
      <c r="AK256" s="47">
        <v>44.0</v>
      </c>
      <c r="AL256" s="49">
        <v>44111.0</v>
      </c>
      <c r="AM256" s="49">
        <v>45937.0</v>
      </c>
      <c r="AN256" s="47">
        <v>60.0</v>
      </c>
      <c r="AO256" s="47">
        <v>5000.0</v>
      </c>
      <c r="AP256" s="47">
        <v>220000.0</v>
      </c>
      <c r="AQ256" s="49">
        <v>45961.0</v>
      </c>
      <c r="AR256" s="47">
        <v>23849.0</v>
      </c>
      <c r="AS256" s="47">
        <v>32115.0</v>
      </c>
      <c r="AT256" s="47">
        <v>8266.0</v>
      </c>
      <c r="AU256" s="47">
        <v>31520.0</v>
      </c>
      <c r="AV256" s="47">
        <v>4503.0</v>
      </c>
      <c r="AW256" s="50">
        <v>7600.05</v>
      </c>
      <c r="AX256" s="50">
        <v>2100.0</v>
      </c>
      <c r="AY256" s="50">
        <v>125.0</v>
      </c>
      <c r="AZ256" s="50">
        <v>291.0</v>
      </c>
      <c r="BA256" s="50">
        <v>1089.17</v>
      </c>
      <c r="BB256" s="50">
        <v>11205.22</v>
      </c>
      <c r="BC256" s="50">
        <v>1680.78</v>
      </c>
      <c r="BD256" s="50">
        <v>12886.0</v>
      </c>
      <c r="BE256" s="49">
        <v>45748.0</v>
      </c>
      <c r="BF256" s="49">
        <v>45838.0</v>
      </c>
      <c r="BG256" s="47">
        <v>16575.0</v>
      </c>
      <c r="BH256" s="47">
        <v>32115.0</v>
      </c>
      <c r="BI256" s="47">
        <v>15540.0</v>
      </c>
      <c r="BJ256" s="47">
        <v>15000.0</v>
      </c>
      <c r="BK256" s="47">
        <v>540.0</v>
      </c>
      <c r="BL256" s="50">
        <v>0.48</v>
      </c>
      <c r="BM256" s="50">
        <v>1.17</v>
      </c>
      <c r="BN256" s="50">
        <v>0.0</v>
      </c>
      <c r="BO256" s="50">
        <v>0.0</v>
      </c>
      <c r="BP256" s="50">
        <v>0.0</v>
      </c>
      <c r="BQ256" s="50">
        <v>0.0</v>
      </c>
      <c r="BR256" s="50">
        <v>0.0</v>
      </c>
      <c r="BS256" s="50">
        <v>0.0</v>
      </c>
      <c r="BT256" s="50">
        <v>0.0</v>
      </c>
      <c r="BU256" s="50">
        <v>0.0</v>
      </c>
      <c r="BV256" s="50">
        <v>0.0</v>
      </c>
      <c r="BW256" s="50">
        <v>0.0</v>
      </c>
      <c r="BX256" s="50">
        <v>0.0</v>
      </c>
      <c r="BY256" s="50">
        <v>15339.51</v>
      </c>
      <c r="BZ256" s="47">
        <v>0.0</v>
      </c>
      <c r="CA256" s="50">
        <v>0.0</v>
      </c>
      <c r="CB256" s="47">
        <v>0.0</v>
      </c>
      <c r="CC256" s="50">
        <v>0.0</v>
      </c>
      <c r="CD256" s="50">
        <v>0.0</v>
      </c>
      <c r="CE256" s="50">
        <v>0.0</v>
      </c>
      <c r="CF256" s="50">
        <v>0.0</v>
      </c>
      <c r="CG256" s="50">
        <v>0.0</v>
      </c>
      <c r="CH256" s="50">
        <v>12886.0</v>
      </c>
      <c r="CI256" s="50">
        <v>1680.78</v>
      </c>
      <c r="CJ256" s="50">
        <v>11205.22</v>
      </c>
      <c r="CK256" s="50">
        <v>1.36</v>
      </c>
      <c r="CL256" s="47">
        <v>0.0</v>
      </c>
      <c r="CM256" s="47">
        <v>0.0</v>
      </c>
      <c r="CN256" s="47">
        <v>0.0</v>
      </c>
      <c r="CO256" s="47">
        <v>100.0</v>
      </c>
      <c r="CP256" s="49"/>
      <c r="CQ256" s="47">
        <v>0.0</v>
      </c>
      <c r="CR256" s="47">
        <v>0.0</v>
      </c>
      <c r="CS256" s="47">
        <v>0.0</v>
      </c>
      <c r="CT256" s="47">
        <v>-5288.0</v>
      </c>
      <c r="CU256" s="49">
        <v>46965.0</v>
      </c>
      <c r="CV256" s="49">
        <v>46965.0</v>
      </c>
      <c r="CW256" s="47">
        <v>220595.0</v>
      </c>
      <c r="CX256" s="47" t="s">
        <v>122</v>
      </c>
      <c r="CY256" s="47" t="s">
        <v>123</v>
      </c>
      <c r="CZ256" s="50">
        <v>0.0</v>
      </c>
      <c r="DA256" s="50">
        <v>0.0</v>
      </c>
      <c r="DB256" s="50">
        <v>-2447.76</v>
      </c>
      <c r="DC256" s="50">
        <v>0.42</v>
      </c>
      <c r="DD256" s="50">
        <v>0.0</v>
      </c>
      <c r="DE256" s="50">
        <v>0.0</v>
      </c>
      <c r="DF256" s="47"/>
    </row>
    <row r="257" ht="13.5" customHeight="1">
      <c r="A257" s="47" t="s">
        <v>175</v>
      </c>
      <c r="B257" s="48">
        <v>44075.0</v>
      </c>
      <c r="C257" s="47" t="s">
        <v>109</v>
      </c>
      <c r="D257" s="47" t="s">
        <v>110</v>
      </c>
      <c r="E257" s="47" t="s">
        <v>111</v>
      </c>
      <c r="F257" s="47" t="s">
        <v>176</v>
      </c>
      <c r="G257" s="47" t="s">
        <v>140</v>
      </c>
      <c r="H257" s="47" t="s">
        <v>141</v>
      </c>
      <c r="I257" s="49">
        <v>44088.0</v>
      </c>
      <c r="J257" s="49">
        <v>44089.0</v>
      </c>
      <c r="K257" s="47">
        <f t="shared" si="1"/>
        <v>1</v>
      </c>
      <c r="L257" s="47">
        <v>1.0</v>
      </c>
      <c r="M257" s="47">
        <f t="shared" si="2"/>
        <v>0</v>
      </c>
      <c r="N257" s="49">
        <v>44102.0</v>
      </c>
      <c r="O257" s="49">
        <v>44112.0</v>
      </c>
      <c r="P257" s="47">
        <f t="shared" si="3"/>
        <v>10</v>
      </c>
      <c r="Q257" s="47">
        <v>90.0</v>
      </c>
      <c r="R257" s="47">
        <f t="shared" si="4"/>
        <v>-80</v>
      </c>
      <c r="S257" s="47" t="s">
        <v>723</v>
      </c>
      <c r="T257" s="47" t="s">
        <v>724</v>
      </c>
      <c r="U257" s="47" t="s">
        <v>117</v>
      </c>
      <c r="V257" s="47" t="s">
        <v>147</v>
      </c>
      <c r="W257" s="47" t="s">
        <v>133</v>
      </c>
      <c r="X257" s="47" t="s">
        <v>168</v>
      </c>
      <c r="Y257" s="47">
        <v>2024.0</v>
      </c>
      <c r="Z257" s="47" t="s">
        <v>135</v>
      </c>
      <c r="AA257" s="47">
        <v>2498.0</v>
      </c>
      <c r="AB257" s="47">
        <v>16.0</v>
      </c>
      <c r="AC257" s="47">
        <v>0.0</v>
      </c>
      <c r="AD257" s="50">
        <v>460956.52</v>
      </c>
      <c r="AE257" s="50">
        <v>86959.0</v>
      </c>
      <c r="AF257" s="51">
        <v>0.19</v>
      </c>
      <c r="AG257" s="50">
        <v>49139.62</v>
      </c>
      <c r="AH257" s="50">
        <v>2447.0</v>
      </c>
      <c r="AI257" s="47">
        <v>7.75</v>
      </c>
      <c r="AJ257" s="50">
        <v>202821.0</v>
      </c>
      <c r="AK257" s="47">
        <v>44.0</v>
      </c>
      <c r="AL257" s="49">
        <v>44112.0</v>
      </c>
      <c r="AM257" s="49">
        <v>45938.0</v>
      </c>
      <c r="AN257" s="47">
        <v>60.0</v>
      </c>
      <c r="AO257" s="47">
        <v>7000.0</v>
      </c>
      <c r="AP257" s="47">
        <v>217000.0</v>
      </c>
      <c r="AQ257" s="49">
        <v>45961.0</v>
      </c>
      <c r="AR257" s="47">
        <v>32314.0</v>
      </c>
      <c r="AS257" s="47">
        <v>36498.0</v>
      </c>
      <c r="AT257" s="47">
        <v>4184.0</v>
      </c>
      <c r="AU257" s="47">
        <v>35858.0</v>
      </c>
      <c r="AV257" s="47">
        <v>5123.0</v>
      </c>
      <c r="AW257" s="50">
        <v>10102.98</v>
      </c>
      <c r="AX257" s="50">
        <v>3290.0</v>
      </c>
      <c r="AY257" s="50">
        <v>125.0</v>
      </c>
      <c r="AZ257" s="50">
        <v>291.0</v>
      </c>
      <c r="BA257" s="50">
        <v>1089.17</v>
      </c>
      <c r="BB257" s="50">
        <v>14898.15</v>
      </c>
      <c r="BC257" s="50">
        <v>2234.72</v>
      </c>
      <c r="BD257" s="50">
        <v>17132.87</v>
      </c>
      <c r="BE257" s="49">
        <v>45748.0</v>
      </c>
      <c r="BF257" s="49">
        <v>45838.0</v>
      </c>
      <c r="BG257" s="47">
        <v>17959.0</v>
      </c>
      <c r="BH257" s="47">
        <v>36498.0</v>
      </c>
      <c r="BI257" s="47">
        <v>18539.0</v>
      </c>
      <c r="BJ257" s="47">
        <v>21000.0</v>
      </c>
      <c r="BK257" s="47">
        <v>-2461.0</v>
      </c>
      <c r="BL257" s="50">
        <v>0.54</v>
      </c>
      <c r="BM257" s="50">
        <v>1.19</v>
      </c>
      <c r="BN257" s="50">
        <v>0.0</v>
      </c>
      <c r="BO257" s="50">
        <v>0.0</v>
      </c>
      <c r="BP257" s="50">
        <v>0.0</v>
      </c>
      <c r="BQ257" s="50">
        <v>-173.5</v>
      </c>
      <c r="BR257" s="50">
        <v>0.0</v>
      </c>
      <c r="BS257" s="50">
        <v>0.0</v>
      </c>
      <c r="BT257" s="50">
        <v>0.0</v>
      </c>
      <c r="BU257" s="50">
        <v>0.0</v>
      </c>
      <c r="BV257" s="50">
        <v>0.0</v>
      </c>
      <c r="BW257" s="50">
        <v>0.0</v>
      </c>
      <c r="BX257" s="50">
        <v>0.0</v>
      </c>
      <c r="BY257" s="50">
        <v>9636.4</v>
      </c>
      <c r="BZ257" s="47">
        <v>0.0</v>
      </c>
      <c r="CA257" s="50">
        <v>0.0</v>
      </c>
      <c r="CB257" s="47">
        <v>0.0</v>
      </c>
      <c r="CC257" s="50">
        <v>0.0</v>
      </c>
      <c r="CD257" s="50">
        <v>0.0</v>
      </c>
      <c r="CE257" s="50">
        <v>0.0</v>
      </c>
      <c r="CF257" s="50">
        <v>0.0</v>
      </c>
      <c r="CG257" s="50">
        <v>0.0</v>
      </c>
      <c r="CH257" s="50">
        <v>15802.7</v>
      </c>
      <c r="CI257" s="50">
        <v>2061.22</v>
      </c>
      <c r="CJ257" s="50">
        <v>13741.48</v>
      </c>
      <c r="CK257" s="50">
        <v>3.28</v>
      </c>
      <c r="CL257" s="47">
        <v>0.0</v>
      </c>
      <c r="CM257" s="47">
        <v>0.0</v>
      </c>
      <c r="CN257" s="47">
        <v>0.0</v>
      </c>
      <c r="CO257" s="47">
        <v>100.0</v>
      </c>
      <c r="CP257" s="49"/>
      <c r="CQ257" s="47">
        <v>0.0</v>
      </c>
      <c r="CR257" s="47">
        <v>0.0</v>
      </c>
      <c r="CS257" s="47">
        <v>0.0</v>
      </c>
      <c r="CT257" s="47">
        <v>-14522.0</v>
      </c>
      <c r="CU257" s="49">
        <v>46568.0</v>
      </c>
      <c r="CV257" s="49">
        <v>46568.0</v>
      </c>
      <c r="CW257" s="47">
        <v>217640.0</v>
      </c>
      <c r="CX257" s="47" t="s">
        <v>122</v>
      </c>
      <c r="CY257" s="47" t="s">
        <v>123</v>
      </c>
      <c r="CZ257" s="50">
        <v>3389.17</v>
      </c>
      <c r="DA257" s="50">
        <v>0.0</v>
      </c>
      <c r="DB257" s="50">
        <v>-10214.51</v>
      </c>
      <c r="DC257" s="50">
        <v>0.47</v>
      </c>
      <c r="DD257" s="50">
        <v>-1156.67</v>
      </c>
      <c r="DE257" s="50">
        <v>-1330.17</v>
      </c>
      <c r="DF257" s="47"/>
    </row>
    <row r="258" ht="13.5" customHeight="1">
      <c r="A258" s="47" t="s">
        <v>175</v>
      </c>
      <c r="B258" s="48">
        <v>44075.0</v>
      </c>
      <c r="C258" s="47" t="s">
        <v>124</v>
      </c>
      <c r="D258" s="47" t="s">
        <v>125</v>
      </c>
      <c r="E258" s="47" t="s">
        <v>126</v>
      </c>
      <c r="F258" s="47" t="s">
        <v>196</v>
      </c>
      <c r="G258" s="47" t="s">
        <v>140</v>
      </c>
      <c r="H258" s="47" t="s">
        <v>114</v>
      </c>
      <c r="I258" s="49">
        <v>44089.0</v>
      </c>
      <c r="J258" s="49">
        <v>44090.0</v>
      </c>
      <c r="K258" s="47">
        <f t="shared" si="1"/>
        <v>1</v>
      </c>
      <c r="L258" s="47">
        <v>1.0</v>
      </c>
      <c r="M258" s="47">
        <f t="shared" si="2"/>
        <v>0</v>
      </c>
      <c r="N258" s="49">
        <v>44103.0</v>
      </c>
      <c r="O258" s="49">
        <v>44113.0</v>
      </c>
      <c r="P258" s="47">
        <f t="shared" si="3"/>
        <v>10</v>
      </c>
      <c r="Q258" s="47">
        <v>90.0</v>
      </c>
      <c r="R258" s="47">
        <f t="shared" si="4"/>
        <v>-80</v>
      </c>
      <c r="S258" s="47" t="s">
        <v>725</v>
      </c>
      <c r="T258" s="47" t="s">
        <v>726</v>
      </c>
      <c r="U258" s="47" t="s">
        <v>117</v>
      </c>
      <c r="V258" s="47" t="s">
        <v>147</v>
      </c>
      <c r="W258" s="47" t="s">
        <v>182</v>
      </c>
      <c r="X258" s="47" t="s">
        <v>259</v>
      </c>
      <c r="Y258" s="47">
        <v>2024.0</v>
      </c>
      <c r="Z258" s="47" t="s">
        <v>135</v>
      </c>
      <c r="AA258" s="47">
        <v>1998.0</v>
      </c>
      <c r="AB258" s="47">
        <v>16.0</v>
      </c>
      <c r="AC258" s="47">
        <v>1.0</v>
      </c>
      <c r="AD258" s="50">
        <v>453264.78</v>
      </c>
      <c r="AE258" s="50">
        <v>19108.07</v>
      </c>
      <c r="AF258" s="51">
        <v>0.04</v>
      </c>
      <c r="AG258" s="50">
        <v>66970.87</v>
      </c>
      <c r="AH258" s="50">
        <v>2531.0</v>
      </c>
      <c r="AI258" s="47">
        <v>7.75</v>
      </c>
      <c r="AJ258" s="50">
        <v>234700.0</v>
      </c>
      <c r="AK258" s="47">
        <v>51.78</v>
      </c>
      <c r="AL258" s="49">
        <v>44113.0</v>
      </c>
      <c r="AM258" s="49">
        <v>45939.0</v>
      </c>
      <c r="AN258" s="47">
        <v>60.0</v>
      </c>
      <c r="AO258" s="47">
        <v>3000.0</v>
      </c>
      <c r="AP258" s="47">
        <v>180000.0</v>
      </c>
      <c r="AQ258" s="49">
        <v>45961.0</v>
      </c>
      <c r="AR258" s="47">
        <v>18566.0</v>
      </c>
      <c r="AS258" s="47">
        <v>21415.0</v>
      </c>
      <c r="AT258" s="47">
        <v>2849.0</v>
      </c>
      <c r="AU258" s="47">
        <v>21010.0</v>
      </c>
      <c r="AV258" s="47">
        <v>3001.0</v>
      </c>
      <c r="AW258" s="50">
        <v>7797.36</v>
      </c>
      <c r="AX258" s="50">
        <v>1800.0</v>
      </c>
      <c r="AY258" s="50">
        <v>125.0</v>
      </c>
      <c r="AZ258" s="50">
        <v>291.0</v>
      </c>
      <c r="BA258" s="50">
        <v>1522.99</v>
      </c>
      <c r="BB258" s="50">
        <v>11536.35</v>
      </c>
      <c r="BC258" s="50">
        <v>1730.45</v>
      </c>
      <c r="BD258" s="50">
        <v>13266.8</v>
      </c>
      <c r="BE258" s="49">
        <v>45748.0</v>
      </c>
      <c r="BF258" s="49">
        <v>45838.0</v>
      </c>
      <c r="BG258" s="47">
        <v>12008.0</v>
      </c>
      <c r="BH258" s="47">
        <v>21415.0</v>
      </c>
      <c r="BI258" s="47">
        <v>9407.0</v>
      </c>
      <c r="BJ258" s="47">
        <v>9000.0</v>
      </c>
      <c r="BK258" s="47">
        <v>407.0</v>
      </c>
      <c r="BL258" s="50">
        <v>0.69</v>
      </c>
      <c r="BM258" s="50">
        <v>1.21</v>
      </c>
      <c r="BN258" s="50">
        <v>0.0</v>
      </c>
      <c r="BO258" s="50">
        <v>0.0</v>
      </c>
      <c r="BP258" s="50">
        <v>0.0</v>
      </c>
      <c r="BQ258" s="50">
        <v>0.0</v>
      </c>
      <c r="BR258" s="50">
        <v>0.0</v>
      </c>
      <c r="BS258" s="50">
        <v>0.0</v>
      </c>
      <c r="BT258" s="50">
        <v>0.0</v>
      </c>
      <c r="BU258" s="50">
        <v>0.0</v>
      </c>
      <c r="BV258" s="50">
        <v>0.0</v>
      </c>
      <c r="BW258" s="50">
        <v>0.0</v>
      </c>
      <c r="BX258" s="50">
        <v>0.0</v>
      </c>
      <c r="BY258" s="50">
        <v>6298.94</v>
      </c>
      <c r="BZ258" s="47">
        <v>0.0</v>
      </c>
      <c r="CA258" s="50">
        <v>0.0</v>
      </c>
      <c r="CB258" s="47">
        <v>0.0</v>
      </c>
      <c r="CC258" s="50">
        <v>0.0</v>
      </c>
      <c r="CD258" s="50">
        <v>0.0</v>
      </c>
      <c r="CE258" s="50">
        <v>0.0</v>
      </c>
      <c r="CF258" s="50">
        <v>0.0</v>
      </c>
      <c r="CG258" s="50">
        <v>0.0</v>
      </c>
      <c r="CH258" s="50">
        <v>13266.8</v>
      </c>
      <c r="CI258" s="50">
        <v>1730.45</v>
      </c>
      <c r="CJ258" s="50">
        <v>11536.35</v>
      </c>
      <c r="CK258" s="50">
        <v>4.05</v>
      </c>
      <c r="CL258" s="47">
        <v>0.0</v>
      </c>
      <c r="CM258" s="47">
        <v>0.0</v>
      </c>
      <c r="CN258" s="47">
        <v>0.0</v>
      </c>
      <c r="CO258" s="47">
        <v>100.0</v>
      </c>
      <c r="CP258" s="49"/>
      <c r="CQ258" s="47">
        <v>0.0</v>
      </c>
      <c r="CR258" s="47">
        <v>0.0</v>
      </c>
      <c r="CS258" s="47">
        <v>0.0</v>
      </c>
      <c r="CT258" s="47">
        <v>-285.0</v>
      </c>
      <c r="CU258" s="49">
        <v>47452.0</v>
      </c>
      <c r="CV258" s="49">
        <v>47452.0</v>
      </c>
      <c r="CW258" s="47">
        <v>180405.0</v>
      </c>
      <c r="CX258" s="47" t="s">
        <v>122</v>
      </c>
      <c r="CY258" s="47" t="s">
        <v>123</v>
      </c>
      <c r="CZ258" s="50">
        <v>1831.26</v>
      </c>
      <c r="DA258" s="50">
        <v>3211.34</v>
      </c>
      <c r="DB258" s="50">
        <v>-2141.43</v>
      </c>
      <c r="DC258" s="50">
        <v>0.6</v>
      </c>
      <c r="DD258" s="50">
        <v>0.0</v>
      </c>
      <c r="DE258" s="50">
        <v>0.0</v>
      </c>
      <c r="DF258" s="47"/>
    </row>
    <row r="259" ht="13.5" customHeight="1">
      <c r="A259" s="47" t="s">
        <v>175</v>
      </c>
      <c r="B259" s="48">
        <v>44075.0</v>
      </c>
      <c r="C259" s="47" t="s">
        <v>136</v>
      </c>
      <c r="D259" s="47" t="s">
        <v>137</v>
      </c>
      <c r="E259" s="47" t="s">
        <v>138</v>
      </c>
      <c r="F259" s="47" t="s">
        <v>196</v>
      </c>
      <c r="G259" s="47" t="s">
        <v>140</v>
      </c>
      <c r="H259" s="47" t="s">
        <v>129</v>
      </c>
      <c r="I259" s="49">
        <v>44090.0</v>
      </c>
      <c r="J259" s="49">
        <v>44091.0</v>
      </c>
      <c r="K259" s="47">
        <f t="shared" si="1"/>
        <v>1</v>
      </c>
      <c r="L259" s="47">
        <v>1.0</v>
      </c>
      <c r="M259" s="47">
        <f t="shared" si="2"/>
        <v>0</v>
      </c>
      <c r="N259" s="49">
        <v>44104.0</v>
      </c>
      <c r="O259" s="49">
        <v>44114.0</v>
      </c>
      <c r="P259" s="47">
        <f t="shared" si="3"/>
        <v>10</v>
      </c>
      <c r="Q259" s="47">
        <v>90.0</v>
      </c>
      <c r="R259" s="47">
        <f t="shared" si="4"/>
        <v>-80</v>
      </c>
      <c r="S259" s="47" t="s">
        <v>727</v>
      </c>
      <c r="T259" s="47" t="s">
        <v>728</v>
      </c>
      <c r="U259" s="47" t="s">
        <v>117</v>
      </c>
      <c r="V259" s="47" t="s">
        <v>147</v>
      </c>
      <c r="W259" s="47" t="s">
        <v>182</v>
      </c>
      <c r="X259" s="47" t="s">
        <v>259</v>
      </c>
      <c r="Y259" s="47">
        <v>2024.0</v>
      </c>
      <c r="Z259" s="47" t="s">
        <v>135</v>
      </c>
      <c r="AA259" s="47">
        <v>1998.0</v>
      </c>
      <c r="AB259" s="47">
        <v>16.0</v>
      </c>
      <c r="AC259" s="47">
        <v>3.0</v>
      </c>
      <c r="AD259" s="50">
        <v>521254.5</v>
      </c>
      <c r="AE259" s="50">
        <v>67252.61</v>
      </c>
      <c r="AF259" s="51">
        <v>0.13</v>
      </c>
      <c r="AG259" s="50">
        <v>65412.87</v>
      </c>
      <c r="AH259" s="50">
        <v>2531.0</v>
      </c>
      <c r="AI259" s="47">
        <v>7.75</v>
      </c>
      <c r="AJ259" s="50">
        <v>269906.0</v>
      </c>
      <c r="AK259" s="47">
        <v>51.78</v>
      </c>
      <c r="AL259" s="49">
        <v>44114.0</v>
      </c>
      <c r="AM259" s="49">
        <v>45940.0</v>
      </c>
      <c r="AN259" s="47">
        <v>60.0</v>
      </c>
      <c r="AO259" s="47">
        <v>3000.0</v>
      </c>
      <c r="AP259" s="47">
        <v>180000.0</v>
      </c>
      <c r="AQ259" s="49">
        <v>45961.0</v>
      </c>
      <c r="AR259" s="47">
        <v>18290.0</v>
      </c>
      <c r="AS259" s="47">
        <v>23103.0</v>
      </c>
      <c r="AT259" s="47">
        <v>4813.0</v>
      </c>
      <c r="AU259" s="47">
        <v>22677.0</v>
      </c>
      <c r="AV259" s="47">
        <v>3780.0</v>
      </c>
      <c r="AW259" s="50">
        <v>7682.56</v>
      </c>
      <c r="AX259" s="50">
        <v>1800.0</v>
      </c>
      <c r="AY259" s="50">
        <v>125.0</v>
      </c>
      <c r="AZ259" s="50">
        <v>291.0</v>
      </c>
      <c r="BA259" s="50">
        <v>1522.99</v>
      </c>
      <c r="BB259" s="50">
        <v>11421.55</v>
      </c>
      <c r="BC259" s="50">
        <v>1713.23</v>
      </c>
      <c r="BD259" s="50">
        <v>13134.78</v>
      </c>
      <c r="BE259" s="49">
        <v>45748.0</v>
      </c>
      <c r="BF259" s="49">
        <v>45838.0</v>
      </c>
      <c r="BG259" s="47">
        <v>13969.0</v>
      </c>
      <c r="BH259" s="47">
        <v>23103.0</v>
      </c>
      <c r="BI259" s="47">
        <v>9134.0</v>
      </c>
      <c r="BJ259" s="47">
        <v>9000.0</v>
      </c>
      <c r="BK259" s="47">
        <v>134.0</v>
      </c>
      <c r="BL259" s="50">
        <v>0.69</v>
      </c>
      <c r="BM259" s="50">
        <v>1.4</v>
      </c>
      <c r="BN259" s="50">
        <v>0.0</v>
      </c>
      <c r="BO259" s="50">
        <v>0.0</v>
      </c>
      <c r="BP259" s="50">
        <v>0.0</v>
      </c>
      <c r="BQ259" s="50">
        <v>0.0</v>
      </c>
      <c r="BR259" s="50">
        <v>0.0</v>
      </c>
      <c r="BS259" s="50">
        <v>0.0</v>
      </c>
      <c r="BT259" s="50">
        <v>0.0</v>
      </c>
      <c r="BU259" s="50">
        <v>0.0</v>
      </c>
      <c r="BV259" s="50">
        <v>0.0</v>
      </c>
      <c r="BW259" s="50">
        <v>0.0</v>
      </c>
      <c r="BX259" s="50">
        <v>0.0</v>
      </c>
      <c r="BY259" s="50">
        <v>8807.48</v>
      </c>
      <c r="BZ259" s="47">
        <v>0.0</v>
      </c>
      <c r="CA259" s="50">
        <v>0.0</v>
      </c>
      <c r="CB259" s="47">
        <v>0.0</v>
      </c>
      <c r="CC259" s="50">
        <v>0.0</v>
      </c>
      <c r="CD259" s="50">
        <v>0.0</v>
      </c>
      <c r="CE259" s="50">
        <v>0.0</v>
      </c>
      <c r="CF259" s="50">
        <v>0.0</v>
      </c>
      <c r="CG259" s="50">
        <v>0.0</v>
      </c>
      <c r="CH259" s="50">
        <v>13134.78</v>
      </c>
      <c r="CI259" s="50">
        <v>1713.23</v>
      </c>
      <c r="CJ259" s="50">
        <v>11421.55</v>
      </c>
      <c r="CK259" s="50">
        <v>2.37</v>
      </c>
      <c r="CL259" s="47">
        <v>0.0</v>
      </c>
      <c r="CM259" s="47">
        <v>0.0</v>
      </c>
      <c r="CN259" s="47">
        <v>0.0</v>
      </c>
      <c r="CO259" s="47">
        <v>100.0</v>
      </c>
      <c r="CP259" s="49"/>
      <c r="CQ259" s="47">
        <v>0.0</v>
      </c>
      <c r="CR259" s="47">
        <v>0.0</v>
      </c>
      <c r="CS259" s="47">
        <v>0.0</v>
      </c>
      <c r="CT259" s="47">
        <v>1817.0</v>
      </c>
      <c r="CU259" s="49">
        <v>47483.0</v>
      </c>
      <c r="CV259" s="49">
        <v>47483.0</v>
      </c>
      <c r="CW259" s="47">
        <v>180426.0</v>
      </c>
      <c r="CX259" s="47" t="s">
        <v>122</v>
      </c>
      <c r="CY259" s="47" t="s">
        <v>123</v>
      </c>
      <c r="CZ259" s="50">
        <v>7240.14</v>
      </c>
      <c r="DA259" s="50">
        <v>11208.4</v>
      </c>
      <c r="DB259" s="50">
        <v>-5918.67</v>
      </c>
      <c r="DC259" s="50">
        <v>0.6</v>
      </c>
      <c r="DD259" s="50">
        <v>0.0</v>
      </c>
      <c r="DE259" s="50">
        <v>0.0</v>
      </c>
      <c r="DF259" s="47"/>
    </row>
    <row r="260" ht="13.5" customHeight="1">
      <c r="A260" s="47" t="s">
        <v>175</v>
      </c>
      <c r="B260" s="48">
        <v>44075.0</v>
      </c>
      <c r="C260" s="47" t="s">
        <v>109</v>
      </c>
      <c r="D260" s="47" t="s">
        <v>110</v>
      </c>
      <c r="E260" s="47" t="s">
        <v>111</v>
      </c>
      <c r="F260" s="47" t="s">
        <v>176</v>
      </c>
      <c r="G260" s="47" t="s">
        <v>140</v>
      </c>
      <c r="H260" s="47" t="s">
        <v>141</v>
      </c>
      <c r="I260" s="49">
        <v>44091.0</v>
      </c>
      <c r="J260" s="49">
        <v>44092.0</v>
      </c>
      <c r="K260" s="47">
        <f t="shared" si="1"/>
        <v>1</v>
      </c>
      <c r="L260" s="47">
        <v>1.0</v>
      </c>
      <c r="M260" s="47">
        <f t="shared" si="2"/>
        <v>0</v>
      </c>
      <c r="N260" s="49">
        <v>44075.0</v>
      </c>
      <c r="O260" s="49">
        <v>44115.0</v>
      </c>
      <c r="P260" s="47">
        <f t="shared" si="3"/>
        <v>40</v>
      </c>
      <c r="Q260" s="47">
        <v>90.0</v>
      </c>
      <c r="R260" s="47">
        <f t="shared" si="4"/>
        <v>-50</v>
      </c>
      <c r="S260" s="47" t="s">
        <v>729</v>
      </c>
      <c r="T260" s="47" t="s">
        <v>730</v>
      </c>
      <c r="U260" s="47" t="s">
        <v>117</v>
      </c>
      <c r="V260" s="47" t="s">
        <v>132</v>
      </c>
      <c r="W260" s="47" t="s">
        <v>182</v>
      </c>
      <c r="X260" s="47" t="s">
        <v>259</v>
      </c>
      <c r="Y260" s="47">
        <v>2024.0</v>
      </c>
      <c r="Z260" s="47" t="s">
        <v>135</v>
      </c>
      <c r="AA260" s="47">
        <v>1998.0</v>
      </c>
      <c r="AB260" s="47">
        <v>16.0</v>
      </c>
      <c r="AC260" s="47">
        <v>0.0</v>
      </c>
      <c r="AD260" s="50">
        <v>454434.78</v>
      </c>
      <c r="AE260" s="50">
        <v>28632.0</v>
      </c>
      <c r="AF260" s="51">
        <v>0.06</v>
      </c>
      <c r="AG260" s="50">
        <v>58075.05</v>
      </c>
      <c r="AH260" s="50">
        <v>2633.0</v>
      </c>
      <c r="AI260" s="47">
        <v>7.75</v>
      </c>
      <c r="AJ260" s="50">
        <v>243113.0</v>
      </c>
      <c r="AK260" s="47">
        <v>53.5</v>
      </c>
      <c r="AL260" s="49">
        <v>44115.0</v>
      </c>
      <c r="AM260" s="49">
        <v>45941.0</v>
      </c>
      <c r="AN260" s="47">
        <v>60.0</v>
      </c>
      <c r="AO260" s="47">
        <v>5000.0</v>
      </c>
      <c r="AP260" s="47">
        <v>220000.0</v>
      </c>
      <c r="AQ260" s="49">
        <v>45961.0</v>
      </c>
      <c r="AR260" s="47">
        <v>21208.0</v>
      </c>
      <c r="AS260" s="47">
        <v>27770.0</v>
      </c>
      <c r="AT260" s="47">
        <v>6562.0</v>
      </c>
      <c r="AU260" s="47">
        <v>27077.0</v>
      </c>
      <c r="AV260" s="47">
        <v>4513.0</v>
      </c>
      <c r="AW260" s="50">
        <v>8808.84</v>
      </c>
      <c r="AX260" s="50">
        <v>2850.0</v>
      </c>
      <c r="AY260" s="50">
        <v>125.0</v>
      </c>
      <c r="AZ260" s="50">
        <v>291.0</v>
      </c>
      <c r="BA260" s="50">
        <v>1538.21</v>
      </c>
      <c r="BB260" s="50">
        <v>13613.05</v>
      </c>
      <c r="BC260" s="50">
        <v>2041.96</v>
      </c>
      <c r="BD260" s="50">
        <v>15655.01</v>
      </c>
      <c r="BE260" s="49">
        <v>45748.0</v>
      </c>
      <c r="BF260" s="49">
        <v>45838.0</v>
      </c>
      <c r="BG260" s="47">
        <v>14703.0</v>
      </c>
      <c r="BH260" s="47">
        <v>27770.0</v>
      </c>
      <c r="BI260" s="47">
        <v>13067.0</v>
      </c>
      <c r="BJ260" s="47">
        <v>15000.0</v>
      </c>
      <c r="BK260" s="47">
        <v>-1933.0</v>
      </c>
      <c r="BL260" s="50">
        <v>0.66</v>
      </c>
      <c r="BM260" s="50">
        <v>0.96</v>
      </c>
      <c r="BN260" s="50">
        <v>0.0</v>
      </c>
      <c r="BO260" s="50">
        <v>0.0</v>
      </c>
      <c r="BP260" s="50">
        <v>0.0</v>
      </c>
      <c r="BQ260" s="50">
        <v>-165.27</v>
      </c>
      <c r="BR260" s="50">
        <v>0.0</v>
      </c>
      <c r="BS260" s="50">
        <v>0.0</v>
      </c>
      <c r="BT260" s="50">
        <v>0.0</v>
      </c>
      <c r="BU260" s="50">
        <v>0.0</v>
      </c>
      <c r="BV260" s="50">
        <v>0.0</v>
      </c>
      <c r="BW260" s="50">
        <v>0.0</v>
      </c>
      <c r="BX260" s="50">
        <v>0.0</v>
      </c>
      <c r="BY260" s="50">
        <v>10865.12</v>
      </c>
      <c r="BZ260" s="47">
        <v>0.0</v>
      </c>
      <c r="CA260" s="50">
        <v>0.0</v>
      </c>
      <c r="CB260" s="47">
        <v>0.0</v>
      </c>
      <c r="CC260" s="50">
        <v>0.0</v>
      </c>
      <c r="CD260" s="50">
        <v>0.0</v>
      </c>
      <c r="CE260" s="50">
        <v>0.0</v>
      </c>
      <c r="CF260" s="50">
        <v>0.0</v>
      </c>
      <c r="CG260" s="50">
        <v>0.0</v>
      </c>
      <c r="CH260" s="50">
        <v>14387.93</v>
      </c>
      <c r="CI260" s="50">
        <v>1876.69</v>
      </c>
      <c r="CJ260" s="50">
        <v>12511.24</v>
      </c>
      <c r="CK260" s="50">
        <v>1.91</v>
      </c>
      <c r="CL260" s="47">
        <v>0.0</v>
      </c>
      <c r="CM260" s="47">
        <v>0.0</v>
      </c>
      <c r="CN260" s="47">
        <v>0.0</v>
      </c>
      <c r="CO260" s="47">
        <v>100.0</v>
      </c>
      <c r="CP260" s="49"/>
      <c r="CQ260" s="47">
        <v>0.0</v>
      </c>
      <c r="CR260" s="47">
        <v>0.0</v>
      </c>
      <c r="CS260" s="47">
        <v>0.0</v>
      </c>
      <c r="CT260" s="47">
        <v>-6703.0</v>
      </c>
      <c r="CU260" s="49">
        <v>46996.0</v>
      </c>
      <c r="CV260" s="49">
        <v>46996.0</v>
      </c>
      <c r="CW260" s="47">
        <v>220693.0</v>
      </c>
      <c r="CX260" s="47" t="s">
        <v>122</v>
      </c>
      <c r="CY260" s="47" t="s">
        <v>123</v>
      </c>
      <c r="CZ260" s="50">
        <v>0.0</v>
      </c>
      <c r="DA260" s="50">
        <v>0.0</v>
      </c>
      <c r="DB260" s="50">
        <v>-3820.71</v>
      </c>
      <c r="DC260" s="50">
        <v>0.57</v>
      </c>
      <c r="DD260" s="50">
        <v>-1101.81</v>
      </c>
      <c r="DE260" s="50">
        <v>-1267.08</v>
      </c>
      <c r="DF260" s="47"/>
    </row>
    <row r="261" ht="13.5" customHeight="1">
      <c r="A261" s="47" t="s">
        <v>175</v>
      </c>
      <c r="B261" s="48">
        <v>44075.0</v>
      </c>
      <c r="C261" s="47" t="s">
        <v>124</v>
      </c>
      <c r="D261" s="47" t="s">
        <v>125</v>
      </c>
      <c r="E261" s="47" t="s">
        <v>126</v>
      </c>
      <c r="F261" s="47" t="s">
        <v>176</v>
      </c>
      <c r="G261" s="47" t="s">
        <v>140</v>
      </c>
      <c r="H261" s="47" t="s">
        <v>114</v>
      </c>
      <c r="I261" s="49">
        <v>44092.0</v>
      </c>
      <c r="J261" s="49">
        <v>44093.0</v>
      </c>
      <c r="K261" s="47">
        <f t="shared" si="1"/>
        <v>1</v>
      </c>
      <c r="L261" s="47">
        <v>1.0</v>
      </c>
      <c r="M261" s="47">
        <f t="shared" si="2"/>
        <v>0</v>
      </c>
      <c r="N261" s="49">
        <v>44076.0</v>
      </c>
      <c r="O261" s="49">
        <v>44116.0</v>
      </c>
      <c r="P261" s="47">
        <f t="shared" si="3"/>
        <v>40</v>
      </c>
      <c r="Q261" s="47">
        <v>90.0</v>
      </c>
      <c r="R261" s="47">
        <f t="shared" si="4"/>
        <v>-50</v>
      </c>
      <c r="S261" s="47" t="s">
        <v>731</v>
      </c>
      <c r="T261" s="47" t="s">
        <v>732</v>
      </c>
      <c r="U261" s="47" t="s">
        <v>117</v>
      </c>
      <c r="V261" s="47" t="s">
        <v>147</v>
      </c>
      <c r="W261" s="47" t="s">
        <v>182</v>
      </c>
      <c r="X261" s="47" t="s">
        <v>259</v>
      </c>
      <c r="Y261" s="47">
        <v>2024.0</v>
      </c>
      <c r="Z261" s="47" t="s">
        <v>135</v>
      </c>
      <c r="AA261" s="47">
        <v>1998.0</v>
      </c>
      <c r="AB261" s="47">
        <v>16.0</v>
      </c>
      <c r="AC261" s="47">
        <v>0.0</v>
      </c>
      <c r="AD261" s="50">
        <v>454435.0</v>
      </c>
      <c r="AE261" s="50">
        <v>28632.0</v>
      </c>
      <c r="AF261" s="51">
        <v>0.06</v>
      </c>
      <c r="AG261" s="50">
        <v>57355.84</v>
      </c>
      <c r="AH261" s="50">
        <v>2633.0</v>
      </c>
      <c r="AI261" s="47">
        <v>7.75</v>
      </c>
      <c r="AJ261" s="50">
        <v>243113.0</v>
      </c>
      <c r="AK261" s="47">
        <v>53.5</v>
      </c>
      <c r="AL261" s="49">
        <v>44116.0</v>
      </c>
      <c r="AM261" s="49">
        <v>45942.0</v>
      </c>
      <c r="AN261" s="47">
        <v>60.0</v>
      </c>
      <c r="AO261" s="47">
        <v>5000.0</v>
      </c>
      <c r="AP261" s="47">
        <v>220000.0</v>
      </c>
      <c r="AQ261" s="49">
        <v>45961.0</v>
      </c>
      <c r="AR261" s="47">
        <v>9381.0</v>
      </c>
      <c r="AS261" s="47">
        <v>10788.0</v>
      </c>
      <c r="AT261" s="47">
        <v>1407.0</v>
      </c>
      <c r="AU261" s="47">
        <v>10155.0</v>
      </c>
      <c r="AV261" s="47">
        <v>1693.0</v>
      </c>
      <c r="AW261" s="50">
        <v>8790.01</v>
      </c>
      <c r="AX261" s="50">
        <v>2850.0</v>
      </c>
      <c r="AY261" s="50">
        <v>125.0</v>
      </c>
      <c r="AZ261" s="50">
        <v>291.0</v>
      </c>
      <c r="BA261" s="50">
        <v>1538.21</v>
      </c>
      <c r="BB261" s="50">
        <v>13594.22</v>
      </c>
      <c r="BC261" s="50">
        <v>2039.13</v>
      </c>
      <c r="BD261" s="50">
        <v>15633.35</v>
      </c>
      <c r="BE261" s="49">
        <v>45748.0</v>
      </c>
      <c r="BF261" s="49">
        <v>45838.0</v>
      </c>
      <c r="BG261" s="47">
        <v>7098.0</v>
      </c>
      <c r="BH261" s="47">
        <v>10788.0</v>
      </c>
      <c r="BI261" s="47">
        <v>3690.0</v>
      </c>
      <c r="BJ261" s="47">
        <v>15000.0</v>
      </c>
      <c r="BK261" s="47">
        <v>-11310.0</v>
      </c>
      <c r="BL261" s="50">
        <v>0.66</v>
      </c>
      <c r="BM261" s="50">
        <v>0.96</v>
      </c>
      <c r="BN261" s="50">
        <v>0.0</v>
      </c>
      <c r="BO261" s="50">
        <v>0.0</v>
      </c>
      <c r="BP261" s="50">
        <v>0.0</v>
      </c>
      <c r="BQ261" s="50">
        <v>-967.01</v>
      </c>
      <c r="BR261" s="50">
        <v>0.0</v>
      </c>
      <c r="BS261" s="50">
        <v>0.0</v>
      </c>
      <c r="BT261" s="50">
        <v>0.0</v>
      </c>
      <c r="BU261" s="50">
        <v>0.0</v>
      </c>
      <c r="BV261" s="50">
        <v>0.0</v>
      </c>
      <c r="BW261" s="50">
        <v>0.0</v>
      </c>
      <c r="BX261" s="50">
        <v>0.0</v>
      </c>
      <c r="BY261" s="50">
        <v>1529.24</v>
      </c>
      <c r="BZ261" s="47">
        <v>0.0</v>
      </c>
      <c r="CA261" s="50">
        <v>0.0</v>
      </c>
      <c r="CB261" s="47">
        <v>0.0</v>
      </c>
      <c r="CC261" s="50">
        <v>0.0</v>
      </c>
      <c r="CD261" s="50">
        <v>0.0</v>
      </c>
      <c r="CE261" s="50">
        <v>0.0</v>
      </c>
      <c r="CF261" s="50">
        <v>0.0</v>
      </c>
      <c r="CG261" s="50">
        <v>0.0</v>
      </c>
      <c r="CH261" s="50">
        <v>8219.64</v>
      </c>
      <c r="CI261" s="50">
        <v>1072.12</v>
      </c>
      <c r="CJ261" s="50">
        <v>7147.52</v>
      </c>
      <c r="CK261" s="50">
        <v>5.08</v>
      </c>
      <c r="CL261" s="47">
        <v>0.0</v>
      </c>
      <c r="CM261" s="47">
        <v>0.0</v>
      </c>
      <c r="CN261" s="47">
        <v>0.0</v>
      </c>
      <c r="CO261" s="47">
        <v>100.0</v>
      </c>
      <c r="CP261" s="49"/>
      <c r="CQ261" s="47">
        <v>0.0</v>
      </c>
      <c r="CR261" s="47">
        <v>0.0</v>
      </c>
      <c r="CS261" s="47">
        <v>0.0</v>
      </c>
      <c r="CT261" s="47">
        <v>-24118.0</v>
      </c>
      <c r="CU261" s="49">
        <v>46996.0</v>
      </c>
      <c r="CV261" s="49">
        <v>46996.0</v>
      </c>
      <c r="CW261" s="47">
        <v>220633.0</v>
      </c>
      <c r="CX261" s="47" t="s">
        <v>122</v>
      </c>
      <c r="CY261" s="47" t="s">
        <v>123</v>
      </c>
      <c r="CZ261" s="50">
        <v>0.0</v>
      </c>
      <c r="DA261" s="50">
        <v>0.0</v>
      </c>
      <c r="DB261" s="50">
        <v>-13747.26</v>
      </c>
      <c r="DC261" s="50">
        <v>0.57</v>
      </c>
      <c r="DD261" s="50">
        <v>-6446.7</v>
      </c>
      <c r="DE261" s="50">
        <v>-7413.71</v>
      </c>
      <c r="DF261" s="47"/>
    </row>
    <row r="262" ht="13.5" customHeight="1">
      <c r="A262" s="47" t="s">
        <v>175</v>
      </c>
      <c r="B262" s="48">
        <v>44075.0</v>
      </c>
      <c r="C262" s="47" t="s">
        <v>109</v>
      </c>
      <c r="D262" s="47" t="s">
        <v>137</v>
      </c>
      <c r="E262" s="47" t="s">
        <v>138</v>
      </c>
      <c r="F262" s="47" t="s">
        <v>196</v>
      </c>
      <c r="G262" s="47" t="s">
        <v>140</v>
      </c>
      <c r="H262" s="47" t="s">
        <v>129</v>
      </c>
      <c r="I262" s="49">
        <v>44093.0</v>
      </c>
      <c r="J262" s="49">
        <v>44094.0</v>
      </c>
      <c r="K262" s="47">
        <f t="shared" si="1"/>
        <v>1</v>
      </c>
      <c r="L262" s="47">
        <v>1.0</v>
      </c>
      <c r="M262" s="47">
        <f t="shared" si="2"/>
        <v>0</v>
      </c>
      <c r="N262" s="49">
        <v>44077.0</v>
      </c>
      <c r="O262" s="49">
        <v>44117.0</v>
      </c>
      <c r="P262" s="47">
        <f t="shared" si="3"/>
        <v>40</v>
      </c>
      <c r="Q262" s="47">
        <v>90.0</v>
      </c>
      <c r="R262" s="47">
        <f t="shared" si="4"/>
        <v>-50</v>
      </c>
      <c r="S262" s="47" t="s">
        <v>733</v>
      </c>
      <c r="T262" s="47" t="s">
        <v>734</v>
      </c>
      <c r="U262" s="47" t="s">
        <v>117</v>
      </c>
      <c r="V262" s="47" t="s">
        <v>147</v>
      </c>
      <c r="W262" s="47" t="s">
        <v>182</v>
      </c>
      <c r="X262" s="47" t="s">
        <v>259</v>
      </c>
      <c r="Y262" s="47">
        <v>2024.0</v>
      </c>
      <c r="Z262" s="47" t="s">
        <v>135</v>
      </c>
      <c r="AA262" s="47">
        <v>1998.0</v>
      </c>
      <c r="AB262" s="47">
        <v>16.0</v>
      </c>
      <c r="AC262" s="47">
        <v>0.0</v>
      </c>
      <c r="AD262" s="50">
        <v>453264.78</v>
      </c>
      <c r="AE262" s="50">
        <v>18205.11</v>
      </c>
      <c r="AF262" s="51">
        <v>0.04</v>
      </c>
      <c r="AG262" s="50">
        <v>69950.16</v>
      </c>
      <c r="AH262" s="50">
        <v>1586.0</v>
      </c>
      <c r="AI262" s="47">
        <v>7.75</v>
      </c>
      <c r="AJ262" s="50">
        <v>234700.0</v>
      </c>
      <c r="AK262" s="47">
        <v>51.78</v>
      </c>
      <c r="AL262" s="49">
        <v>44117.0</v>
      </c>
      <c r="AM262" s="49">
        <v>45943.0</v>
      </c>
      <c r="AN262" s="47">
        <v>60.0</v>
      </c>
      <c r="AO262" s="47">
        <v>3000.0</v>
      </c>
      <c r="AP262" s="47">
        <v>180000.0</v>
      </c>
      <c r="AQ262" s="49">
        <v>45991.0</v>
      </c>
      <c r="AR262" s="47">
        <v>19678.0</v>
      </c>
      <c r="AS262" s="47">
        <v>21851.0</v>
      </c>
      <c r="AT262" s="47">
        <v>2173.0</v>
      </c>
      <c r="AU262" s="47">
        <v>21449.0</v>
      </c>
      <c r="AV262" s="47">
        <v>3575.0</v>
      </c>
      <c r="AW262" s="50">
        <v>7855.62</v>
      </c>
      <c r="AX262" s="50">
        <v>1800.0</v>
      </c>
      <c r="AY262" s="50">
        <v>125.0</v>
      </c>
      <c r="AZ262" s="50">
        <v>291.0</v>
      </c>
      <c r="BA262" s="50">
        <v>1522.99</v>
      </c>
      <c r="BB262" s="50">
        <v>11594.61</v>
      </c>
      <c r="BC262" s="50">
        <v>1739.19</v>
      </c>
      <c r="BD262" s="50">
        <v>13333.8</v>
      </c>
      <c r="BE262" s="49">
        <v>45748.0</v>
      </c>
      <c r="BF262" s="49">
        <v>45838.0</v>
      </c>
      <c r="BG262" s="47">
        <v>11373.0</v>
      </c>
      <c r="BH262" s="47">
        <v>21851.0</v>
      </c>
      <c r="BI262" s="47">
        <v>10478.0</v>
      </c>
      <c r="BJ262" s="47">
        <v>9000.0</v>
      </c>
      <c r="BK262" s="47">
        <v>1478.0</v>
      </c>
      <c r="BL262" s="50">
        <v>0.69</v>
      </c>
      <c r="BM262" s="50">
        <v>1.21</v>
      </c>
      <c r="BN262" s="50">
        <v>1019.82</v>
      </c>
      <c r="BO262" s="50">
        <v>1788.38</v>
      </c>
      <c r="BP262" s="50">
        <v>2808.2</v>
      </c>
      <c r="BQ262" s="50">
        <v>421.23</v>
      </c>
      <c r="BR262" s="50">
        <v>3229.43</v>
      </c>
      <c r="BS262" s="50">
        <v>0.0</v>
      </c>
      <c r="BT262" s="50">
        <v>0.0</v>
      </c>
      <c r="BU262" s="50">
        <v>0.0</v>
      </c>
      <c r="BV262" s="50">
        <v>0.0</v>
      </c>
      <c r="BW262" s="50">
        <v>0.0</v>
      </c>
      <c r="BX262" s="50">
        <v>0.0</v>
      </c>
      <c r="BY262" s="50">
        <v>5565.97</v>
      </c>
      <c r="BZ262" s="47">
        <v>0.0</v>
      </c>
      <c r="CA262" s="50">
        <v>0.0</v>
      </c>
      <c r="CB262" s="47">
        <v>0.0</v>
      </c>
      <c r="CC262" s="50">
        <v>0.0</v>
      </c>
      <c r="CD262" s="50">
        <v>0.0</v>
      </c>
      <c r="CE262" s="50">
        <v>0.0</v>
      </c>
      <c r="CF262" s="50">
        <v>0.0</v>
      </c>
      <c r="CG262" s="50">
        <v>0.0</v>
      </c>
      <c r="CH262" s="50">
        <v>16563.23</v>
      </c>
      <c r="CI262" s="50">
        <v>2160.42</v>
      </c>
      <c r="CJ262" s="50">
        <v>14402.81</v>
      </c>
      <c r="CK262" s="50">
        <v>6.63</v>
      </c>
      <c r="CL262" s="47">
        <v>0.0</v>
      </c>
      <c r="CM262" s="47">
        <v>0.0</v>
      </c>
      <c r="CN262" s="47">
        <v>0.0</v>
      </c>
      <c r="CO262" s="47">
        <v>100.0</v>
      </c>
      <c r="CP262" s="49"/>
      <c r="CQ262" s="47">
        <v>0.0</v>
      </c>
      <c r="CR262" s="47">
        <v>0.0</v>
      </c>
      <c r="CS262" s="47">
        <v>0.0</v>
      </c>
      <c r="CT262" s="47">
        <v>786.0</v>
      </c>
      <c r="CU262" s="49">
        <v>47483.0</v>
      </c>
      <c r="CV262" s="49">
        <v>47483.0</v>
      </c>
      <c r="CW262" s="47">
        <v>180402.0</v>
      </c>
      <c r="CX262" s="47" t="s">
        <v>122</v>
      </c>
      <c r="CY262" s="47" t="s">
        <v>123</v>
      </c>
      <c r="CZ262" s="50">
        <v>3488.64</v>
      </c>
      <c r="DA262" s="50">
        <v>6117.76</v>
      </c>
      <c r="DB262" s="50">
        <v>-2751.0</v>
      </c>
      <c r="DC262" s="50">
        <v>0.6</v>
      </c>
      <c r="DD262" s="50">
        <v>0.0</v>
      </c>
      <c r="DE262" s="50">
        <v>0.0</v>
      </c>
      <c r="DF262" s="47"/>
    </row>
    <row r="263" ht="13.5" customHeight="1">
      <c r="A263" s="47" t="s">
        <v>175</v>
      </c>
      <c r="B263" s="48">
        <v>44075.0</v>
      </c>
      <c r="C263" s="47" t="s">
        <v>124</v>
      </c>
      <c r="D263" s="47" t="s">
        <v>110</v>
      </c>
      <c r="E263" s="47" t="s">
        <v>111</v>
      </c>
      <c r="F263" s="47" t="s">
        <v>112</v>
      </c>
      <c r="G263" s="47" t="s">
        <v>113</v>
      </c>
      <c r="H263" s="47" t="s">
        <v>141</v>
      </c>
      <c r="I263" s="49">
        <v>44094.0</v>
      </c>
      <c r="J263" s="49">
        <v>44095.0</v>
      </c>
      <c r="K263" s="47">
        <f t="shared" si="1"/>
        <v>1</v>
      </c>
      <c r="L263" s="47">
        <v>1.0</v>
      </c>
      <c r="M263" s="47">
        <f t="shared" si="2"/>
        <v>0</v>
      </c>
      <c r="N263" s="49">
        <v>44078.0</v>
      </c>
      <c r="O263" s="49">
        <v>44118.0</v>
      </c>
      <c r="P263" s="47">
        <f t="shared" si="3"/>
        <v>40</v>
      </c>
      <c r="Q263" s="47">
        <v>90.0</v>
      </c>
      <c r="R263" s="47">
        <f t="shared" si="4"/>
        <v>-50</v>
      </c>
      <c r="S263" s="47" t="s">
        <v>735</v>
      </c>
      <c r="T263" s="47" t="s">
        <v>736</v>
      </c>
      <c r="U263" s="47" t="s">
        <v>117</v>
      </c>
      <c r="V263" s="47" t="s">
        <v>118</v>
      </c>
      <c r="W263" s="47" t="s">
        <v>119</v>
      </c>
      <c r="X263" s="47" t="s">
        <v>120</v>
      </c>
      <c r="Y263" s="47">
        <v>2022.0</v>
      </c>
      <c r="Z263" s="47" t="s">
        <v>121</v>
      </c>
      <c r="AA263" s="47">
        <v>1598.0</v>
      </c>
      <c r="AB263" s="47">
        <v>16.0</v>
      </c>
      <c r="AC263" s="47">
        <v>0.0</v>
      </c>
      <c r="AD263" s="50">
        <v>198695.65</v>
      </c>
      <c r="AE263" s="50">
        <v>45665.33</v>
      </c>
      <c r="AF263" s="51">
        <v>0.23</v>
      </c>
      <c r="AG263" s="50">
        <v>23751.45</v>
      </c>
      <c r="AH263" s="50">
        <v>8454.57</v>
      </c>
      <c r="AI263" s="47">
        <v>7.75</v>
      </c>
      <c r="AJ263" s="50">
        <v>85439.0</v>
      </c>
      <c r="AK263" s="47">
        <v>43.0</v>
      </c>
      <c r="AL263" s="49">
        <v>44118.0</v>
      </c>
      <c r="AM263" s="49">
        <v>45944.0</v>
      </c>
      <c r="AN263" s="47">
        <v>60.0</v>
      </c>
      <c r="AO263" s="47">
        <v>1500.0</v>
      </c>
      <c r="AP263" s="47">
        <v>90000.0</v>
      </c>
      <c r="AQ263" s="49">
        <v>45961.0</v>
      </c>
      <c r="AR263" s="47">
        <v>30419.0</v>
      </c>
      <c r="AS263" s="47">
        <v>32167.0</v>
      </c>
      <c r="AT263" s="47">
        <v>1748.0</v>
      </c>
      <c r="AU263" s="47">
        <v>30698.0</v>
      </c>
      <c r="AV263" s="47">
        <v>990.0</v>
      </c>
      <c r="AW263" s="50">
        <v>3261.14</v>
      </c>
      <c r="AX263" s="50">
        <v>896.48</v>
      </c>
      <c r="AY263" s="50">
        <v>125.0</v>
      </c>
      <c r="AZ263" s="50">
        <v>291.0</v>
      </c>
      <c r="BA263" s="50">
        <v>1083.24</v>
      </c>
      <c r="BB263" s="50">
        <v>5656.86</v>
      </c>
      <c r="BC263" s="50">
        <v>848.53</v>
      </c>
      <c r="BD263" s="50">
        <v>6505.39</v>
      </c>
      <c r="BE263" s="49">
        <v>45748.0</v>
      </c>
      <c r="BF263" s="49">
        <v>45838.0</v>
      </c>
      <c r="BG263" s="47">
        <v>30060.0</v>
      </c>
      <c r="BH263" s="47">
        <v>32167.0</v>
      </c>
      <c r="BI263" s="47">
        <v>2107.0</v>
      </c>
      <c r="BJ263" s="47">
        <v>4500.0</v>
      </c>
      <c r="BK263" s="47">
        <v>-2393.0</v>
      </c>
      <c r="BL263" s="50">
        <v>0.68</v>
      </c>
      <c r="BM263" s="50">
        <v>1.43</v>
      </c>
      <c r="BN263" s="50">
        <v>0.0</v>
      </c>
      <c r="BO263" s="50">
        <v>0.0</v>
      </c>
      <c r="BP263" s="50">
        <v>0.0</v>
      </c>
      <c r="BQ263" s="50">
        <v>-215.37</v>
      </c>
      <c r="BR263" s="50">
        <v>0.0</v>
      </c>
      <c r="BS263" s="50">
        <v>0.0</v>
      </c>
      <c r="BT263" s="50">
        <v>0.0</v>
      </c>
      <c r="BU263" s="50">
        <v>0.0</v>
      </c>
      <c r="BV263" s="50">
        <v>0.0</v>
      </c>
      <c r="BW263" s="50">
        <v>0.0</v>
      </c>
      <c r="BX263" s="50">
        <v>0.0</v>
      </c>
      <c r="BY263" s="50">
        <v>3397.94</v>
      </c>
      <c r="BZ263" s="47">
        <v>0.0</v>
      </c>
      <c r="CA263" s="50">
        <v>0.0</v>
      </c>
      <c r="CB263" s="47">
        <v>0.0</v>
      </c>
      <c r="CC263" s="50">
        <v>0.0</v>
      </c>
      <c r="CD263" s="50">
        <v>0.0</v>
      </c>
      <c r="CE263" s="50">
        <v>0.0</v>
      </c>
      <c r="CF263" s="50">
        <v>0.0</v>
      </c>
      <c r="CG263" s="50">
        <v>0.0</v>
      </c>
      <c r="CH263" s="50">
        <v>4854.22</v>
      </c>
      <c r="CI263" s="50">
        <v>633.16</v>
      </c>
      <c r="CJ263" s="50">
        <v>4221.06</v>
      </c>
      <c r="CK263" s="50">
        <v>2.41</v>
      </c>
      <c r="CL263" s="47">
        <v>0.0</v>
      </c>
      <c r="CM263" s="47">
        <v>0.0</v>
      </c>
      <c r="CN263" s="47">
        <v>0.0</v>
      </c>
      <c r="CO263" s="47">
        <v>100.0</v>
      </c>
      <c r="CP263" s="49"/>
      <c r="CQ263" s="47">
        <v>0.0</v>
      </c>
      <c r="CR263" s="47">
        <v>0.0</v>
      </c>
      <c r="CS263" s="47">
        <v>0.0</v>
      </c>
      <c r="CT263" s="47">
        <v>-17133.0</v>
      </c>
      <c r="CU263" s="49">
        <v>46721.0</v>
      </c>
      <c r="CV263" s="49">
        <v>46721.0</v>
      </c>
      <c r="CW263" s="47">
        <v>91469.0</v>
      </c>
      <c r="CX263" s="47" t="s">
        <v>122</v>
      </c>
      <c r="CY263" s="47" t="s">
        <v>123</v>
      </c>
      <c r="CZ263" s="50">
        <v>1484.44</v>
      </c>
      <c r="DA263" s="50">
        <v>3121.69</v>
      </c>
      <c r="DB263" s="50">
        <v>-11332.05</v>
      </c>
      <c r="DC263" s="50">
        <v>0.6</v>
      </c>
      <c r="DD263" s="50">
        <v>-1435.8</v>
      </c>
      <c r="DE263" s="50">
        <v>-1651.17</v>
      </c>
      <c r="DF263" s="47"/>
    </row>
    <row r="264" ht="13.5" customHeight="1">
      <c r="A264" s="47" t="s">
        <v>203</v>
      </c>
      <c r="B264" s="48">
        <v>44075.0</v>
      </c>
      <c r="C264" s="47" t="s">
        <v>136</v>
      </c>
      <c r="D264" s="47" t="s">
        <v>125</v>
      </c>
      <c r="E264" s="47" t="s">
        <v>126</v>
      </c>
      <c r="F264" s="47" t="s">
        <v>112</v>
      </c>
      <c r="G264" s="47" t="s">
        <v>113</v>
      </c>
      <c r="H264" s="47" t="s">
        <v>114</v>
      </c>
      <c r="I264" s="49">
        <v>44095.0</v>
      </c>
      <c r="J264" s="49">
        <v>44096.0</v>
      </c>
      <c r="K264" s="47">
        <f t="shared" si="1"/>
        <v>1</v>
      </c>
      <c r="L264" s="47">
        <v>1.0</v>
      </c>
      <c r="M264" s="47">
        <f t="shared" si="2"/>
        <v>0</v>
      </c>
      <c r="N264" s="49">
        <v>44079.0</v>
      </c>
      <c r="O264" s="49">
        <v>44180.0</v>
      </c>
      <c r="P264" s="47">
        <f t="shared" si="3"/>
        <v>101</v>
      </c>
      <c r="Q264" s="47">
        <v>90.0</v>
      </c>
      <c r="R264" s="47">
        <f t="shared" si="4"/>
        <v>11</v>
      </c>
      <c r="S264" s="47" t="s">
        <v>737</v>
      </c>
      <c r="T264" s="47" t="s">
        <v>738</v>
      </c>
      <c r="U264" s="47" t="s">
        <v>117</v>
      </c>
      <c r="V264" s="47" t="s">
        <v>207</v>
      </c>
      <c r="W264" s="47" t="s">
        <v>199</v>
      </c>
      <c r="X264" s="47" t="s">
        <v>739</v>
      </c>
      <c r="Y264" s="47">
        <v>2022.0</v>
      </c>
      <c r="Z264" s="47" t="s">
        <v>121</v>
      </c>
      <c r="AA264" s="47">
        <v>2698.0</v>
      </c>
      <c r="AB264" s="47">
        <v>16.0</v>
      </c>
      <c r="AC264" s="47">
        <v>4.0</v>
      </c>
      <c r="AD264" s="50">
        <v>432870.0</v>
      </c>
      <c r="AE264" s="50">
        <v>10631.43</v>
      </c>
      <c r="AF264" s="51">
        <v>0.02</v>
      </c>
      <c r="AG264" s="50">
        <v>10766.17</v>
      </c>
      <c r="AH264" s="50">
        <v>2782.0</v>
      </c>
      <c r="AI264" s="47">
        <v>7.75</v>
      </c>
      <c r="AJ264" s="50">
        <v>207778.0</v>
      </c>
      <c r="AK264" s="47">
        <v>48.0</v>
      </c>
      <c r="AL264" s="49">
        <v>44180.0</v>
      </c>
      <c r="AM264" s="49">
        <v>46006.0</v>
      </c>
      <c r="AN264" s="47">
        <v>60.0</v>
      </c>
      <c r="AO264" s="47">
        <v>1500.0</v>
      </c>
      <c r="AP264" s="47">
        <v>90000.0</v>
      </c>
      <c r="AQ264" s="49">
        <v>45900.0</v>
      </c>
      <c r="AR264" s="47">
        <v>45369.0</v>
      </c>
      <c r="AS264" s="47">
        <v>47254.0</v>
      </c>
      <c r="AT264" s="47">
        <v>1885.0</v>
      </c>
      <c r="AU264" s="47">
        <v>45796.0</v>
      </c>
      <c r="AV264" s="47">
        <v>1388.0</v>
      </c>
      <c r="AW264" s="50">
        <v>6972.48</v>
      </c>
      <c r="AX264" s="50">
        <v>1336.26</v>
      </c>
      <c r="AY264" s="50">
        <v>190.0</v>
      </c>
      <c r="AZ264" s="50">
        <v>291.0</v>
      </c>
      <c r="BA264" s="50">
        <v>1522.99</v>
      </c>
      <c r="BB264" s="50">
        <v>10312.73</v>
      </c>
      <c r="BC264" s="50">
        <v>1546.91</v>
      </c>
      <c r="BD264" s="50">
        <v>11859.64</v>
      </c>
      <c r="BE264" s="49">
        <v>45748.0</v>
      </c>
      <c r="BF264" s="49">
        <v>45838.0</v>
      </c>
      <c r="BG264" s="47">
        <v>43352.0</v>
      </c>
      <c r="BH264" s="47">
        <v>47254.0</v>
      </c>
      <c r="BI264" s="47">
        <v>3902.0</v>
      </c>
      <c r="BJ264" s="47">
        <v>4500.0</v>
      </c>
      <c r="BK264" s="47">
        <v>-598.0</v>
      </c>
      <c r="BL264" s="50">
        <v>1.03</v>
      </c>
      <c r="BM264" s="50">
        <v>2.82</v>
      </c>
      <c r="BN264" s="50">
        <v>0.0</v>
      </c>
      <c r="BO264" s="50">
        <v>0.0</v>
      </c>
      <c r="BP264" s="50">
        <v>0.0</v>
      </c>
      <c r="BQ264" s="50">
        <v>-79.83</v>
      </c>
      <c r="BR264" s="50">
        <v>0.0</v>
      </c>
      <c r="BS264" s="50">
        <v>0.0</v>
      </c>
      <c r="BT264" s="50">
        <v>0.0</v>
      </c>
      <c r="BU264" s="50">
        <v>0.0</v>
      </c>
      <c r="BV264" s="50">
        <v>0.0</v>
      </c>
      <c r="BW264" s="50">
        <v>0.0</v>
      </c>
      <c r="BX264" s="50">
        <v>0.0</v>
      </c>
      <c r="BY264" s="50">
        <v>7309.36</v>
      </c>
      <c r="BZ264" s="47">
        <v>0.0</v>
      </c>
      <c r="CA264" s="50">
        <v>0.0</v>
      </c>
      <c r="CB264" s="47">
        <v>0.0</v>
      </c>
      <c r="CC264" s="50">
        <v>0.0</v>
      </c>
      <c r="CD264" s="50">
        <v>0.0</v>
      </c>
      <c r="CE264" s="50">
        <v>0.0</v>
      </c>
      <c r="CF264" s="50">
        <v>0.0</v>
      </c>
      <c r="CG264" s="50">
        <v>0.0</v>
      </c>
      <c r="CH264" s="50">
        <v>11247.59</v>
      </c>
      <c r="CI264" s="50">
        <v>1467.08</v>
      </c>
      <c r="CJ264" s="50">
        <v>9780.51</v>
      </c>
      <c r="CK264" s="50">
        <v>5.19</v>
      </c>
      <c r="CL264" s="47">
        <v>0.0</v>
      </c>
      <c r="CM264" s="47">
        <v>0.0</v>
      </c>
      <c r="CN264" s="47">
        <v>0.0</v>
      </c>
      <c r="CO264" s="47">
        <v>100.0</v>
      </c>
      <c r="CP264" s="49"/>
      <c r="CQ264" s="47">
        <v>0.0</v>
      </c>
      <c r="CR264" s="47">
        <v>0.0</v>
      </c>
      <c r="CS264" s="47">
        <v>0.0</v>
      </c>
      <c r="CT264" s="47">
        <v>-3802.0</v>
      </c>
      <c r="CU264" s="49">
        <v>46660.0</v>
      </c>
      <c r="CV264" s="49">
        <v>46660.0</v>
      </c>
      <c r="CW264" s="47">
        <v>91458.0</v>
      </c>
      <c r="CX264" s="47" t="s">
        <v>122</v>
      </c>
      <c r="CY264" s="47" t="s">
        <v>123</v>
      </c>
      <c r="CZ264" s="50">
        <v>6096.91</v>
      </c>
      <c r="DA264" s="50">
        <v>16714.19</v>
      </c>
      <c r="DB264" s="50">
        <v>-8496.05</v>
      </c>
      <c r="DC264" s="50">
        <v>0.89</v>
      </c>
      <c r="DD264" s="50">
        <v>-532.22</v>
      </c>
      <c r="DE264" s="50">
        <v>-612.05</v>
      </c>
      <c r="DF264" s="47"/>
    </row>
    <row r="265" ht="13.5" customHeight="1">
      <c r="A265" s="47" t="s">
        <v>203</v>
      </c>
      <c r="B265" s="48">
        <v>44075.0</v>
      </c>
      <c r="C265" s="47" t="s">
        <v>109</v>
      </c>
      <c r="D265" s="47" t="s">
        <v>137</v>
      </c>
      <c r="E265" s="47" t="s">
        <v>138</v>
      </c>
      <c r="F265" s="47" t="s">
        <v>112</v>
      </c>
      <c r="G265" s="47" t="s">
        <v>113</v>
      </c>
      <c r="H265" s="47" t="s">
        <v>129</v>
      </c>
      <c r="I265" s="49">
        <v>44096.0</v>
      </c>
      <c r="J265" s="49">
        <v>44097.0</v>
      </c>
      <c r="K265" s="47">
        <f t="shared" si="1"/>
        <v>1</v>
      </c>
      <c r="L265" s="47">
        <v>1.0</v>
      </c>
      <c r="M265" s="47">
        <f t="shared" si="2"/>
        <v>0</v>
      </c>
      <c r="N265" s="49">
        <v>44080.0</v>
      </c>
      <c r="O265" s="49">
        <v>44120.0</v>
      </c>
      <c r="P265" s="47">
        <f t="shared" si="3"/>
        <v>40</v>
      </c>
      <c r="Q265" s="47">
        <v>90.0</v>
      </c>
      <c r="R265" s="47">
        <f t="shared" si="4"/>
        <v>-50</v>
      </c>
      <c r="S265" s="47" t="s">
        <v>740</v>
      </c>
      <c r="T265" s="47" t="s">
        <v>741</v>
      </c>
      <c r="U265" s="47" t="s">
        <v>117</v>
      </c>
      <c r="V265" s="47" t="s">
        <v>132</v>
      </c>
      <c r="W265" s="47" t="s">
        <v>133</v>
      </c>
      <c r="X265" s="47" t="s">
        <v>164</v>
      </c>
      <c r="Y265" s="47">
        <v>2020.0</v>
      </c>
      <c r="Z265" s="47" t="s">
        <v>135</v>
      </c>
      <c r="AA265" s="47">
        <v>2498.0</v>
      </c>
      <c r="AB265" s="47">
        <v>16.0</v>
      </c>
      <c r="AC265" s="47">
        <v>0.0</v>
      </c>
      <c r="AD265" s="50">
        <v>291043.18</v>
      </c>
      <c r="AE265" s="50">
        <v>56708.88</v>
      </c>
      <c r="AF265" s="51">
        <v>0.19</v>
      </c>
      <c r="AG265" s="50">
        <v>33978.24</v>
      </c>
      <c r="AH265" s="50">
        <v>4917.5</v>
      </c>
      <c r="AI265" s="47">
        <v>7.75</v>
      </c>
      <c r="AJ265" s="50">
        <v>133880.0</v>
      </c>
      <c r="AK265" s="47">
        <v>46.0</v>
      </c>
      <c r="AL265" s="49">
        <v>44120.0</v>
      </c>
      <c r="AM265" s="49">
        <v>45946.0</v>
      </c>
      <c r="AN265" s="47">
        <v>60.0</v>
      </c>
      <c r="AO265" s="47">
        <v>3500.0</v>
      </c>
      <c r="AP265" s="47">
        <v>210000.0</v>
      </c>
      <c r="AQ265" s="49">
        <v>46173.0</v>
      </c>
      <c r="AR265" s="47">
        <v>30542.0</v>
      </c>
      <c r="AS265" s="47">
        <v>30580.0</v>
      </c>
      <c r="AT265" s="47">
        <v>38.0</v>
      </c>
      <c r="AU265" s="47">
        <v>29134.0</v>
      </c>
      <c r="AV265" s="47">
        <v>486.0</v>
      </c>
      <c r="AW265" s="50">
        <v>4421.91</v>
      </c>
      <c r="AX265" s="50">
        <v>1642.52</v>
      </c>
      <c r="AY265" s="50">
        <v>65.45</v>
      </c>
      <c r="AZ265" s="50">
        <v>291.0</v>
      </c>
      <c r="BA265" s="50">
        <v>1234.22</v>
      </c>
      <c r="BB265" s="50">
        <v>7655.1</v>
      </c>
      <c r="BC265" s="50">
        <v>1148.27</v>
      </c>
      <c r="BD265" s="50">
        <v>8803.37</v>
      </c>
      <c r="BE265" s="49">
        <v>45748.0</v>
      </c>
      <c r="BF265" s="49">
        <v>45838.0</v>
      </c>
      <c r="BG265" s="47">
        <v>29876.0</v>
      </c>
      <c r="BH265" s="47">
        <v>30580.0</v>
      </c>
      <c r="BI265" s="47">
        <v>704.0</v>
      </c>
      <c r="BJ265" s="47">
        <v>10500.0</v>
      </c>
      <c r="BK265" s="47">
        <v>-9796.0</v>
      </c>
      <c r="BL265" s="50">
        <v>0.56</v>
      </c>
      <c r="BM265" s="50">
        <v>0.94</v>
      </c>
      <c r="BN265" s="50">
        <v>0.0</v>
      </c>
      <c r="BO265" s="50">
        <v>0.0</v>
      </c>
      <c r="BP265" s="50">
        <v>0.0</v>
      </c>
      <c r="BQ265" s="50">
        <v>-690.62</v>
      </c>
      <c r="BR265" s="50">
        <v>0.0</v>
      </c>
      <c r="BS265" s="50">
        <v>0.0</v>
      </c>
      <c r="BT265" s="50">
        <v>0.0</v>
      </c>
      <c r="BU265" s="50">
        <v>0.0</v>
      </c>
      <c r="BV265" s="50">
        <v>0.0</v>
      </c>
      <c r="BW265" s="50">
        <v>0.0</v>
      </c>
      <c r="BX265" s="50">
        <v>0.0</v>
      </c>
      <c r="BY265" s="50">
        <v>0.0</v>
      </c>
      <c r="BZ265" s="47">
        <v>0.0</v>
      </c>
      <c r="CA265" s="50">
        <v>0.0</v>
      </c>
      <c r="CB265" s="47">
        <v>0.0</v>
      </c>
      <c r="CC265" s="50">
        <v>0.0</v>
      </c>
      <c r="CD265" s="50">
        <v>0.0</v>
      </c>
      <c r="CE265" s="50">
        <v>0.0</v>
      </c>
      <c r="CF265" s="50">
        <v>0.0</v>
      </c>
      <c r="CG265" s="50">
        <v>0.0</v>
      </c>
      <c r="CH265" s="50">
        <v>3508.63</v>
      </c>
      <c r="CI265" s="50">
        <v>457.65</v>
      </c>
      <c r="CJ265" s="50">
        <v>3050.98</v>
      </c>
      <c r="CK265" s="50">
        <v>80.29</v>
      </c>
      <c r="CL265" s="47">
        <v>0.0</v>
      </c>
      <c r="CM265" s="47">
        <v>0.0</v>
      </c>
      <c r="CN265" s="47">
        <v>0.0</v>
      </c>
      <c r="CO265" s="47">
        <v>100.0</v>
      </c>
      <c r="CP265" s="49"/>
      <c r="CQ265" s="47">
        <v>0.0</v>
      </c>
      <c r="CR265" s="47">
        <v>0.0</v>
      </c>
      <c r="CS265" s="47">
        <v>0.0</v>
      </c>
      <c r="CT265" s="47">
        <v>-180866.0</v>
      </c>
      <c r="CU265" s="49">
        <v>45838.0</v>
      </c>
      <c r="CV265" s="49">
        <v>45838.0</v>
      </c>
      <c r="CW265" s="47">
        <v>211446.0</v>
      </c>
      <c r="CX265" s="47" t="s">
        <v>122</v>
      </c>
      <c r="CY265" s="47" t="s">
        <v>123</v>
      </c>
      <c r="CZ265" s="50">
        <v>0.0</v>
      </c>
      <c r="DA265" s="50">
        <v>0.0</v>
      </c>
      <c r="DB265" s="50">
        <v>-78916.18</v>
      </c>
      <c r="DC265" s="50">
        <v>0.47</v>
      </c>
      <c r="DD265" s="50">
        <v>-4604.12</v>
      </c>
      <c r="DE265" s="50">
        <v>-5294.74</v>
      </c>
      <c r="DF265" s="47"/>
    </row>
    <row r="266" ht="13.5" customHeight="1">
      <c r="A266" s="47" t="s">
        <v>203</v>
      </c>
      <c r="B266" s="48">
        <v>44075.0</v>
      </c>
      <c r="C266" s="47" t="s">
        <v>124</v>
      </c>
      <c r="D266" s="47" t="s">
        <v>110</v>
      </c>
      <c r="E266" s="47" t="s">
        <v>111</v>
      </c>
      <c r="F266" s="47" t="s">
        <v>112</v>
      </c>
      <c r="G266" s="47" t="s">
        <v>113</v>
      </c>
      <c r="H266" s="47" t="s">
        <v>141</v>
      </c>
      <c r="I266" s="49">
        <v>44097.0</v>
      </c>
      <c r="J266" s="49">
        <v>44098.0</v>
      </c>
      <c r="K266" s="47">
        <f t="shared" si="1"/>
        <v>1</v>
      </c>
      <c r="L266" s="47">
        <v>1.0</v>
      </c>
      <c r="M266" s="47">
        <f t="shared" si="2"/>
        <v>0</v>
      </c>
      <c r="N266" s="49">
        <v>44081.0</v>
      </c>
      <c r="O266" s="49">
        <v>44121.0</v>
      </c>
      <c r="P266" s="47">
        <f t="shared" si="3"/>
        <v>40</v>
      </c>
      <c r="Q266" s="47">
        <v>90.0</v>
      </c>
      <c r="R266" s="47">
        <f t="shared" si="4"/>
        <v>-50</v>
      </c>
      <c r="S266" s="47" t="s">
        <v>742</v>
      </c>
      <c r="T266" s="47" t="s">
        <v>743</v>
      </c>
      <c r="U266" s="47" t="s">
        <v>117</v>
      </c>
      <c r="V266" s="47" t="s">
        <v>147</v>
      </c>
      <c r="W266" s="47" t="s">
        <v>133</v>
      </c>
      <c r="X266" s="47" t="s">
        <v>168</v>
      </c>
      <c r="Y266" s="47">
        <v>2020.0</v>
      </c>
      <c r="Z266" s="47" t="s">
        <v>135</v>
      </c>
      <c r="AA266" s="47">
        <v>2498.0</v>
      </c>
      <c r="AB266" s="47">
        <v>16.0</v>
      </c>
      <c r="AC266" s="47">
        <v>8.0</v>
      </c>
      <c r="AD266" s="50">
        <v>363391.3</v>
      </c>
      <c r="AE266" s="50">
        <v>66699.78</v>
      </c>
      <c r="AF266" s="51">
        <v>0.18</v>
      </c>
      <c r="AG266" s="50">
        <v>32300.93</v>
      </c>
      <c r="AH266" s="50">
        <v>5007.5</v>
      </c>
      <c r="AI266" s="47">
        <v>7.75</v>
      </c>
      <c r="AJ266" s="50">
        <v>126752.78</v>
      </c>
      <c r="AK266" s="47">
        <v>59.08</v>
      </c>
      <c r="AL266" s="49">
        <v>44121.0</v>
      </c>
      <c r="AM266" s="49">
        <v>45947.0</v>
      </c>
      <c r="AN266" s="47">
        <v>60.0</v>
      </c>
      <c r="AO266" s="47">
        <v>2500.0</v>
      </c>
      <c r="AP266" s="47">
        <v>132073.0</v>
      </c>
      <c r="AQ266" s="49">
        <v>46203.0</v>
      </c>
      <c r="AR266" s="47">
        <v>96464.0</v>
      </c>
      <c r="AS266" s="47">
        <v>97672.0</v>
      </c>
      <c r="AT266" s="47">
        <v>1208.0</v>
      </c>
      <c r="AU266" s="47">
        <v>96233.0</v>
      </c>
      <c r="AV266" s="47">
        <v>1604.0</v>
      </c>
      <c r="AW266" s="50">
        <v>5242.7</v>
      </c>
      <c r="AX266" s="50">
        <v>1300.18</v>
      </c>
      <c r="AY266" s="50">
        <v>125.0</v>
      </c>
      <c r="AZ266" s="50">
        <v>291.0</v>
      </c>
      <c r="BA266" s="50">
        <v>1269.65</v>
      </c>
      <c r="BB266" s="50">
        <v>8228.53</v>
      </c>
      <c r="BC266" s="50">
        <v>1234.28</v>
      </c>
      <c r="BD266" s="50">
        <v>9462.81</v>
      </c>
      <c r="BE266" s="49">
        <v>45748.0</v>
      </c>
      <c r="BF266" s="49">
        <v>45838.0</v>
      </c>
      <c r="BG266" s="47">
        <v>94617.0</v>
      </c>
      <c r="BH266" s="47">
        <v>97672.0</v>
      </c>
      <c r="BI266" s="47">
        <v>3055.0</v>
      </c>
      <c r="BJ266" s="47">
        <v>7500.0</v>
      </c>
      <c r="BK266" s="47">
        <v>-4445.0</v>
      </c>
      <c r="BL266" s="50">
        <v>0.6</v>
      </c>
      <c r="BM266" s="50">
        <v>1.78</v>
      </c>
      <c r="BN266" s="50">
        <v>0.0</v>
      </c>
      <c r="BO266" s="50">
        <v>0.0</v>
      </c>
      <c r="BP266" s="50">
        <v>0.0</v>
      </c>
      <c r="BQ266" s="50">
        <v>-346.71</v>
      </c>
      <c r="BR266" s="50">
        <v>0.0</v>
      </c>
      <c r="BS266" s="50">
        <v>0.0</v>
      </c>
      <c r="BT266" s="50">
        <v>0.0</v>
      </c>
      <c r="BU266" s="50">
        <v>0.0</v>
      </c>
      <c r="BV266" s="50">
        <v>0.0</v>
      </c>
      <c r="BW266" s="50">
        <v>0.0</v>
      </c>
      <c r="BX266" s="50">
        <v>0.0</v>
      </c>
      <c r="BY266" s="50">
        <v>2963.76</v>
      </c>
      <c r="BZ266" s="47">
        <v>0.0</v>
      </c>
      <c r="CA266" s="50">
        <v>0.0</v>
      </c>
      <c r="CB266" s="47">
        <v>0.0</v>
      </c>
      <c r="CC266" s="50">
        <v>0.0</v>
      </c>
      <c r="CD266" s="50">
        <v>0.0</v>
      </c>
      <c r="CE266" s="50">
        <v>0.0</v>
      </c>
      <c r="CF266" s="50">
        <v>0.0</v>
      </c>
      <c r="CG266" s="50">
        <v>0.0</v>
      </c>
      <c r="CH266" s="50">
        <v>6804.7</v>
      </c>
      <c r="CI266" s="50">
        <v>887.57</v>
      </c>
      <c r="CJ266" s="50">
        <v>5917.13</v>
      </c>
      <c r="CK266" s="50">
        <v>4.9</v>
      </c>
      <c r="CL266" s="47">
        <v>0.0</v>
      </c>
      <c r="CM266" s="47">
        <v>0.0</v>
      </c>
      <c r="CN266" s="47">
        <v>0.0</v>
      </c>
      <c r="CO266" s="47">
        <v>100.0</v>
      </c>
      <c r="CP266" s="49"/>
      <c r="CQ266" s="47">
        <v>0.0</v>
      </c>
      <c r="CR266" s="47">
        <v>0.0</v>
      </c>
      <c r="CS266" s="47">
        <v>0.0</v>
      </c>
      <c r="CT266" s="47">
        <v>-28767.0</v>
      </c>
      <c r="CU266" s="49">
        <v>45838.0</v>
      </c>
      <c r="CV266" s="49">
        <v>45838.0</v>
      </c>
      <c r="CW266" s="47">
        <v>133512.0</v>
      </c>
      <c r="CX266" s="47" t="s">
        <v>122</v>
      </c>
      <c r="CY266" s="47" t="s">
        <v>123</v>
      </c>
      <c r="CZ266" s="50">
        <v>4124.37</v>
      </c>
      <c r="DA266" s="50">
        <v>25871.22</v>
      </c>
      <c r="DB266" s="50">
        <v>-19110.54</v>
      </c>
      <c r="DC266" s="50">
        <v>0.52</v>
      </c>
      <c r="DD266" s="50">
        <v>-2311.4</v>
      </c>
      <c r="DE266" s="50">
        <v>-2658.11</v>
      </c>
      <c r="DF266" s="47"/>
    </row>
    <row r="267" ht="13.5" customHeight="1">
      <c r="A267" s="47" t="s">
        <v>203</v>
      </c>
      <c r="B267" s="48">
        <v>44075.0</v>
      </c>
      <c r="C267" s="47" t="s">
        <v>136</v>
      </c>
      <c r="D267" s="47" t="s">
        <v>125</v>
      </c>
      <c r="E267" s="47" t="s">
        <v>126</v>
      </c>
      <c r="F267" s="47" t="s">
        <v>231</v>
      </c>
      <c r="G267" s="47" t="s">
        <v>113</v>
      </c>
      <c r="H267" s="47" t="s">
        <v>114</v>
      </c>
      <c r="I267" s="49">
        <v>44098.0</v>
      </c>
      <c r="J267" s="49">
        <v>44099.0</v>
      </c>
      <c r="K267" s="47">
        <f t="shared" si="1"/>
        <v>1</v>
      </c>
      <c r="L267" s="47">
        <v>1.0</v>
      </c>
      <c r="M267" s="47">
        <f t="shared" si="2"/>
        <v>0</v>
      </c>
      <c r="N267" s="49">
        <v>44082.0</v>
      </c>
      <c r="O267" s="49">
        <v>44183.0</v>
      </c>
      <c r="P267" s="47">
        <f t="shared" si="3"/>
        <v>101</v>
      </c>
      <c r="Q267" s="47">
        <v>90.0</v>
      </c>
      <c r="R267" s="47">
        <f t="shared" si="4"/>
        <v>11</v>
      </c>
      <c r="S267" s="47" t="s">
        <v>744</v>
      </c>
      <c r="T267" s="47" t="s">
        <v>745</v>
      </c>
      <c r="U267" s="47" t="s">
        <v>117</v>
      </c>
      <c r="V267" s="47" t="s">
        <v>147</v>
      </c>
      <c r="W267" s="47" t="s">
        <v>133</v>
      </c>
      <c r="X267" s="47" t="s">
        <v>541</v>
      </c>
      <c r="Y267" s="47">
        <v>2020.0</v>
      </c>
      <c r="Z267" s="47" t="s">
        <v>135</v>
      </c>
      <c r="AA267" s="47">
        <v>2498.0</v>
      </c>
      <c r="AB267" s="47">
        <v>16.0</v>
      </c>
      <c r="AC267" s="47">
        <v>4.0</v>
      </c>
      <c r="AD267" s="50">
        <v>408173.91</v>
      </c>
      <c r="AE267" s="50">
        <v>70797.17</v>
      </c>
      <c r="AF267" s="51">
        <v>0.17</v>
      </c>
      <c r="AG267" s="50">
        <v>20426.11</v>
      </c>
      <c r="AH267" s="50">
        <v>5837.5</v>
      </c>
      <c r="AI267" s="47">
        <v>7.75</v>
      </c>
      <c r="AJ267" s="50">
        <v>173810.8</v>
      </c>
      <c r="AK267" s="47">
        <v>66.18</v>
      </c>
      <c r="AL267" s="49">
        <v>44183.0</v>
      </c>
      <c r="AM267" s="49">
        <v>46009.0</v>
      </c>
      <c r="AN267" s="47">
        <v>60.0</v>
      </c>
      <c r="AO267" s="47">
        <v>3000.0</v>
      </c>
      <c r="AP267" s="47">
        <v>128448.0</v>
      </c>
      <c r="AQ267" s="49">
        <v>46173.0</v>
      </c>
      <c r="AR267" s="47">
        <v>119081.0</v>
      </c>
      <c r="AS267" s="47">
        <v>121517.0</v>
      </c>
      <c r="AT267" s="47">
        <v>2436.0</v>
      </c>
      <c r="AU267" s="47">
        <v>120089.0</v>
      </c>
      <c r="AV267" s="47">
        <v>2001.0</v>
      </c>
      <c r="AW267" s="50">
        <v>5552.88</v>
      </c>
      <c r="AX267" s="50">
        <v>1792.96</v>
      </c>
      <c r="AY267" s="50">
        <v>125.0</v>
      </c>
      <c r="AZ267" s="50">
        <v>291.0</v>
      </c>
      <c r="BA267" s="50">
        <v>1026.1</v>
      </c>
      <c r="BB267" s="50">
        <v>8787.94</v>
      </c>
      <c r="BC267" s="50">
        <v>1318.19</v>
      </c>
      <c r="BD267" s="50">
        <v>10106.13</v>
      </c>
      <c r="BE267" s="49">
        <v>45748.0</v>
      </c>
      <c r="BF267" s="49">
        <v>45838.0</v>
      </c>
      <c r="BG267" s="47">
        <v>109524.0</v>
      </c>
      <c r="BH267" s="47">
        <v>121517.0</v>
      </c>
      <c r="BI267" s="47">
        <v>11993.0</v>
      </c>
      <c r="BJ267" s="47">
        <v>9000.0</v>
      </c>
      <c r="BK267" s="47">
        <v>2993.0</v>
      </c>
      <c r="BL267" s="50">
        <v>0.48</v>
      </c>
      <c r="BM267" s="50">
        <v>1.94</v>
      </c>
      <c r="BN267" s="50">
        <v>1436.64</v>
      </c>
      <c r="BO267" s="50">
        <v>5806.42</v>
      </c>
      <c r="BP267" s="50">
        <v>7243.06</v>
      </c>
      <c r="BQ267" s="50">
        <v>1086.46</v>
      </c>
      <c r="BR267" s="50">
        <v>8329.52</v>
      </c>
      <c r="BS267" s="50">
        <v>0.0</v>
      </c>
      <c r="BT267" s="50">
        <v>0.0</v>
      </c>
      <c r="BU267" s="50">
        <v>0.0</v>
      </c>
      <c r="BV267" s="50">
        <v>0.0</v>
      </c>
      <c r="BW267" s="50">
        <v>0.0</v>
      </c>
      <c r="BX267" s="50">
        <v>0.0</v>
      </c>
      <c r="BY267" s="50">
        <v>6321.6</v>
      </c>
      <c r="BZ267" s="47">
        <v>0.0</v>
      </c>
      <c r="CA267" s="50">
        <v>0.0</v>
      </c>
      <c r="CB267" s="47">
        <v>0.0</v>
      </c>
      <c r="CC267" s="50">
        <v>0.0</v>
      </c>
      <c r="CD267" s="50">
        <v>0.0</v>
      </c>
      <c r="CE267" s="50">
        <v>0.0</v>
      </c>
      <c r="CF267" s="50">
        <v>0.0</v>
      </c>
      <c r="CG267" s="50">
        <v>0.0</v>
      </c>
      <c r="CH267" s="50">
        <v>18435.65</v>
      </c>
      <c r="CI267" s="50">
        <v>2404.65</v>
      </c>
      <c r="CJ267" s="50">
        <v>16031.0</v>
      </c>
      <c r="CK267" s="50">
        <v>6.58</v>
      </c>
      <c r="CL267" s="47">
        <v>0.0</v>
      </c>
      <c r="CM267" s="47">
        <v>0.0</v>
      </c>
      <c r="CN267" s="47">
        <v>0.0</v>
      </c>
      <c r="CO267" s="47">
        <v>100.0</v>
      </c>
      <c r="CP267" s="49"/>
      <c r="CQ267" s="47">
        <v>0.0</v>
      </c>
      <c r="CR267" s="47">
        <v>0.0</v>
      </c>
      <c r="CS267" s="47">
        <v>0.0</v>
      </c>
      <c r="CT267" s="47">
        <v>-19411.0</v>
      </c>
      <c r="CU267" s="49">
        <v>45838.0</v>
      </c>
      <c r="CV267" s="49">
        <v>45838.0</v>
      </c>
      <c r="CW267" s="47">
        <v>129876.0</v>
      </c>
      <c r="CX267" s="47" t="s">
        <v>122</v>
      </c>
      <c r="CY267" s="47" t="s">
        <v>123</v>
      </c>
      <c r="CZ267" s="50">
        <v>6866.84</v>
      </c>
      <c r="DA267" s="50">
        <v>31496.26</v>
      </c>
      <c r="DB267" s="50">
        <v>-16267.12</v>
      </c>
      <c r="DC267" s="50">
        <v>0.59</v>
      </c>
      <c r="DD267" s="50">
        <v>0.0</v>
      </c>
      <c r="DE267" s="50">
        <v>0.0</v>
      </c>
      <c r="DF267" s="47"/>
    </row>
    <row r="268" ht="13.5" customHeight="1">
      <c r="A268" s="47" t="s">
        <v>203</v>
      </c>
      <c r="B268" s="48">
        <v>44075.0</v>
      </c>
      <c r="C268" s="47" t="s">
        <v>109</v>
      </c>
      <c r="D268" s="47" t="s">
        <v>137</v>
      </c>
      <c r="E268" s="47" t="s">
        <v>138</v>
      </c>
      <c r="F268" s="47" t="s">
        <v>112</v>
      </c>
      <c r="G268" s="47" t="s">
        <v>113</v>
      </c>
      <c r="H268" s="47" t="s">
        <v>129</v>
      </c>
      <c r="I268" s="49">
        <v>44099.0</v>
      </c>
      <c r="J268" s="49">
        <v>44100.0</v>
      </c>
      <c r="K268" s="47">
        <f t="shared" si="1"/>
        <v>1</v>
      </c>
      <c r="L268" s="47">
        <v>1.0</v>
      </c>
      <c r="M268" s="47">
        <f t="shared" si="2"/>
        <v>0</v>
      </c>
      <c r="N268" s="49">
        <v>44083.0</v>
      </c>
      <c r="O268" s="49">
        <v>44123.0</v>
      </c>
      <c r="P268" s="47">
        <f t="shared" si="3"/>
        <v>40</v>
      </c>
      <c r="Q268" s="47">
        <v>90.0</v>
      </c>
      <c r="R268" s="47">
        <f t="shared" si="4"/>
        <v>-50</v>
      </c>
      <c r="S268" s="47" t="s">
        <v>746</v>
      </c>
      <c r="T268" s="47" t="s">
        <v>747</v>
      </c>
      <c r="U268" s="47" t="s">
        <v>117</v>
      </c>
      <c r="V268" s="47" t="s">
        <v>118</v>
      </c>
      <c r="W268" s="47" t="s">
        <v>119</v>
      </c>
      <c r="X268" s="47" t="s">
        <v>120</v>
      </c>
      <c r="Y268" s="47">
        <v>2020.0</v>
      </c>
      <c r="Z268" s="47" t="s">
        <v>121</v>
      </c>
      <c r="AA268" s="47">
        <v>1598.0</v>
      </c>
      <c r="AB268" s="47">
        <v>16.0</v>
      </c>
      <c r="AC268" s="47">
        <v>4.0</v>
      </c>
      <c r="AD268" s="50">
        <v>172956.52</v>
      </c>
      <c r="AE268" s="50">
        <v>19926.2</v>
      </c>
      <c r="AF268" s="51">
        <v>0.12</v>
      </c>
      <c r="AG268" s="50">
        <v>19101.31</v>
      </c>
      <c r="AH268" s="50">
        <v>4475.5</v>
      </c>
      <c r="AI268" s="47">
        <v>7.75</v>
      </c>
      <c r="AJ268" s="50">
        <v>73973.4</v>
      </c>
      <c r="AK268" s="47">
        <v>97.94</v>
      </c>
      <c r="AL268" s="49">
        <v>44123.0</v>
      </c>
      <c r="AM268" s="49">
        <v>45949.0</v>
      </c>
      <c r="AN268" s="47">
        <v>60.0</v>
      </c>
      <c r="AO268" s="47">
        <v>1400.0</v>
      </c>
      <c r="AP268" s="47">
        <v>40320.0</v>
      </c>
      <c r="AQ268" s="49">
        <v>46173.0</v>
      </c>
      <c r="AR268" s="47">
        <v>36153.0</v>
      </c>
      <c r="AS268" s="47">
        <v>36866.0</v>
      </c>
      <c r="AT268" s="47">
        <v>713.0</v>
      </c>
      <c r="AU268" s="47">
        <v>35433.0</v>
      </c>
      <c r="AV268" s="47">
        <v>591.0</v>
      </c>
      <c r="AW268" s="50">
        <v>1749.46</v>
      </c>
      <c r="AX268" s="50">
        <v>1247.0</v>
      </c>
      <c r="AY268" s="50">
        <v>115.0</v>
      </c>
      <c r="AZ268" s="50">
        <v>291.0</v>
      </c>
      <c r="BA268" s="50">
        <v>1139.2</v>
      </c>
      <c r="BB268" s="50">
        <v>4541.66</v>
      </c>
      <c r="BC268" s="50">
        <v>681.25</v>
      </c>
      <c r="BD268" s="50">
        <v>5222.91</v>
      </c>
      <c r="BE268" s="49">
        <v>45748.0</v>
      </c>
      <c r="BF268" s="49">
        <v>45838.0</v>
      </c>
      <c r="BG268" s="47">
        <v>34949.0</v>
      </c>
      <c r="BH268" s="47">
        <v>36866.0</v>
      </c>
      <c r="BI268" s="47">
        <v>1917.0</v>
      </c>
      <c r="BJ268" s="47">
        <v>4200.0</v>
      </c>
      <c r="BK268" s="47">
        <v>-2283.0</v>
      </c>
      <c r="BL268" s="50">
        <v>0.41</v>
      </c>
      <c r="BM268" s="50">
        <v>2.36</v>
      </c>
      <c r="BN268" s="50">
        <v>0.0</v>
      </c>
      <c r="BO268" s="50">
        <v>0.0</v>
      </c>
      <c r="BP268" s="50">
        <v>0.0</v>
      </c>
      <c r="BQ268" s="50">
        <v>-123.28</v>
      </c>
      <c r="BR268" s="50">
        <v>0.0</v>
      </c>
      <c r="BS268" s="50">
        <v>0.0</v>
      </c>
      <c r="BT268" s="50">
        <v>0.0</v>
      </c>
      <c r="BU268" s="50">
        <v>0.0</v>
      </c>
      <c r="BV268" s="50">
        <v>0.0</v>
      </c>
      <c r="BW268" s="50">
        <v>0.0</v>
      </c>
      <c r="BX268" s="50">
        <v>0.0</v>
      </c>
      <c r="BY268" s="50">
        <v>1847.8</v>
      </c>
      <c r="BZ268" s="47">
        <v>0.0</v>
      </c>
      <c r="CA268" s="50">
        <v>0.0</v>
      </c>
      <c r="CB268" s="47">
        <v>0.0</v>
      </c>
      <c r="CC268" s="50">
        <v>0.0</v>
      </c>
      <c r="CD268" s="50">
        <v>0.0</v>
      </c>
      <c r="CE268" s="50">
        <v>0.0</v>
      </c>
      <c r="CF268" s="50">
        <v>0.0</v>
      </c>
      <c r="CG268" s="50">
        <v>0.0</v>
      </c>
      <c r="CH268" s="50">
        <v>4277.75</v>
      </c>
      <c r="CI268" s="50">
        <v>557.97</v>
      </c>
      <c r="CJ268" s="50">
        <v>3719.78</v>
      </c>
      <c r="CK268" s="50">
        <v>5.22</v>
      </c>
      <c r="CL268" s="47">
        <v>0.0</v>
      </c>
      <c r="CM268" s="47">
        <v>0.0</v>
      </c>
      <c r="CN268" s="47">
        <v>0.0</v>
      </c>
      <c r="CO268" s="47">
        <v>100.0</v>
      </c>
      <c r="CP268" s="49"/>
      <c r="CQ268" s="47">
        <v>0.0</v>
      </c>
      <c r="CR268" s="47">
        <v>0.0</v>
      </c>
      <c r="CS268" s="47">
        <v>0.0</v>
      </c>
      <c r="CT268" s="47">
        <v>-48567.0</v>
      </c>
      <c r="CU268" s="49">
        <v>45930.0</v>
      </c>
      <c r="CV268" s="49">
        <v>45930.0</v>
      </c>
      <c r="CW268" s="47">
        <v>41753.0</v>
      </c>
      <c r="CX268" s="47" t="s">
        <v>122</v>
      </c>
      <c r="CY268" s="47" t="s">
        <v>123</v>
      </c>
      <c r="CZ268" s="50">
        <v>109.2</v>
      </c>
      <c r="DA268" s="50">
        <v>397.6</v>
      </c>
      <c r="DB268" s="50">
        <v>-15833.49</v>
      </c>
      <c r="DC268" s="50">
        <v>0.36</v>
      </c>
      <c r="DD268" s="50">
        <v>-821.88</v>
      </c>
      <c r="DE268" s="50">
        <v>-945.16</v>
      </c>
      <c r="DF268" s="47"/>
    </row>
    <row r="269" ht="13.5" customHeight="1">
      <c r="A269" s="47" t="s">
        <v>203</v>
      </c>
      <c r="B269" s="48">
        <v>44075.0</v>
      </c>
      <c r="C269" s="47" t="s">
        <v>124</v>
      </c>
      <c r="D269" s="47" t="s">
        <v>110</v>
      </c>
      <c r="E269" s="47" t="s">
        <v>111</v>
      </c>
      <c r="F269" s="47" t="s">
        <v>112</v>
      </c>
      <c r="G269" s="47" t="s">
        <v>113</v>
      </c>
      <c r="H269" s="47" t="s">
        <v>141</v>
      </c>
      <c r="I269" s="49">
        <v>44100.0</v>
      </c>
      <c r="J269" s="49">
        <v>44101.0</v>
      </c>
      <c r="K269" s="47">
        <f t="shared" si="1"/>
        <v>1</v>
      </c>
      <c r="L269" s="47">
        <v>1.0</v>
      </c>
      <c r="M269" s="47">
        <f t="shared" si="2"/>
        <v>0</v>
      </c>
      <c r="N269" s="49">
        <v>44083.0</v>
      </c>
      <c r="O269" s="49">
        <v>44185.0</v>
      </c>
      <c r="P269" s="47">
        <f t="shared" si="3"/>
        <v>102</v>
      </c>
      <c r="Q269" s="47">
        <v>90.0</v>
      </c>
      <c r="R269" s="47">
        <f t="shared" si="4"/>
        <v>12</v>
      </c>
      <c r="S269" s="47" t="s">
        <v>748</v>
      </c>
      <c r="T269" s="47" t="s">
        <v>749</v>
      </c>
      <c r="U269" s="47" t="s">
        <v>117</v>
      </c>
      <c r="V269" s="47" t="s">
        <v>207</v>
      </c>
      <c r="W269" s="47" t="s">
        <v>199</v>
      </c>
      <c r="X269" s="47" t="s">
        <v>628</v>
      </c>
      <c r="Y269" s="47">
        <v>2020.0</v>
      </c>
      <c r="Z269" s="47" t="s">
        <v>135</v>
      </c>
      <c r="AA269" s="47">
        <v>2798.0</v>
      </c>
      <c r="AB269" s="47">
        <v>16.0</v>
      </c>
      <c r="AC269" s="47">
        <v>16.0</v>
      </c>
      <c r="AD269" s="50">
        <v>172956.52</v>
      </c>
      <c r="AE269" s="50">
        <v>19926.2</v>
      </c>
      <c r="AF269" s="51">
        <v>0.12</v>
      </c>
      <c r="AG269" s="50">
        <v>27916.71</v>
      </c>
      <c r="AH269" s="50">
        <v>6419.5</v>
      </c>
      <c r="AI269" s="47">
        <v>7.75</v>
      </c>
      <c r="AJ269" s="50">
        <v>313642.44</v>
      </c>
      <c r="AK269" s="47">
        <v>99.04</v>
      </c>
      <c r="AL269" s="49">
        <v>44185.0</v>
      </c>
      <c r="AM269" s="49">
        <v>46011.0</v>
      </c>
      <c r="AN269" s="47">
        <v>60.0</v>
      </c>
      <c r="AO269" s="47">
        <v>1500.0</v>
      </c>
      <c r="AP269" s="47">
        <v>90974.0</v>
      </c>
      <c r="AQ269" s="49">
        <v>45900.0</v>
      </c>
      <c r="AR269" s="47">
        <v>99418.0</v>
      </c>
      <c r="AS269" s="47">
        <v>99670.0</v>
      </c>
      <c r="AT269" s="47">
        <v>252.0</v>
      </c>
      <c r="AU269" s="47">
        <v>85226.0</v>
      </c>
      <c r="AV269" s="47">
        <v>1420.0</v>
      </c>
      <c r="AW269" s="50">
        <v>4012.34</v>
      </c>
      <c r="AX269" s="50">
        <v>2750.0</v>
      </c>
      <c r="AY269" s="50">
        <v>190.0</v>
      </c>
      <c r="AZ269" s="50">
        <v>291.0</v>
      </c>
      <c r="BA269" s="50">
        <v>1884.33</v>
      </c>
      <c r="BB269" s="50">
        <v>9127.67</v>
      </c>
      <c r="BC269" s="50">
        <v>1369.15</v>
      </c>
      <c r="BD269" s="50">
        <v>10496.82</v>
      </c>
      <c r="BE269" s="49">
        <v>45748.0</v>
      </c>
      <c r="BF269" s="49">
        <v>45838.0</v>
      </c>
      <c r="BG269" s="47">
        <v>99215.0</v>
      </c>
      <c r="BH269" s="47">
        <v>99670.0</v>
      </c>
      <c r="BI269" s="47">
        <v>455.0</v>
      </c>
      <c r="BJ269" s="47">
        <v>6500.0</v>
      </c>
      <c r="BK269" s="47">
        <v>-6045.0</v>
      </c>
      <c r="BL269" s="50">
        <v>0.5</v>
      </c>
      <c r="BM269" s="50">
        <v>3.08</v>
      </c>
      <c r="BN269" s="50">
        <v>0.0</v>
      </c>
      <c r="BO269" s="50">
        <v>0.0</v>
      </c>
      <c r="BP269" s="50">
        <v>0.0</v>
      </c>
      <c r="BQ269" s="50">
        <v>-906.75</v>
      </c>
      <c r="BR269" s="50">
        <v>0.0</v>
      </c>
      <c r="BS269" s="50">
        <v>0.0</v>
      </c>
      <c r="BT269" s="50">
        <v>0.0</v>
      </c>
      <c r="BU269" s="50">
        <v>0.0</v>
      </c>
      <c r="BV269" s="50">
        <v>0.0</v>
      </c>
      <c r="BW269" s="50">
        <v>0.0</v>
      </c>
      <c r="BX269" s="50">
        <v>0.0</v>
      </c>
      <c r="BY269" s="50">
        <v>0.0</v>
      </c>
      <c r="BZ269" s="47">
        <v>0.0</v>
      </c>
      <c r="CA269" s="50">
        <v>0.0</v>
      </c>
      <c r="CB269" s="47">
        <v>0.0</v>
      </c>
      <c r="CC269" s="50">
        <v>0.0</v>
      </c>
      <c r="CD269" s="50">
        <v>0.0</v>
      </c>
      <c r="CE269" s="50">
        <v>0.0</v>
      </c>
      <c r="CF269" s="50">
        <v>0.0</v>
      </c>
      <c r="CG269" s="50">
        <v>0.0</v>
      </c>
      <c r="CH269" s="50">
        <v>3545.07</v>
      </c>
      <c r="CI269" s="50">
        <v>462.4</v>
      </c>
      <c r="CJ269" s="50">
        <v>3082.67</v>
      </c>
      <c r="CK269" s="50">
        <v>12.23</v>
      </c>
      <c r="CL269" s="47">
        <v>0.0</v>
      </c>
      <c r="CM269" s="47">
        <v>0.0</v>
      </c>
      <c r="CN269" s="47">
        <v>0.0</v>
      </c>
      <c r="CO269" s="47">
        <v>100.0</v>
      </c>
      <c r="CP269" s="49"/>
      <c r="CQ269" s="47">
        <v>0.0</v>
      </c>
      <c r="CR269" s="47">
        <v>0.0</v>
      </c>
      <c r="CS269" s="47">
        <v>0.0</v>
      </c>
      <c r="CT269" s="47">
        <v>-63774.0</v>
      </c>
      <c r="CU269" s="49">
        <v>45930.0</v>
      </c>
      <c r="CV269" s="49">
        <v>45930.0</v>
      </c>
      <c r="CW269" s="47">
        <v>105418.0</v>
      </c>
      <c r="CX269" s="47" t="s">
        <v>122</v>
      </c>
      <c r="CY269" s="47" t="s">
        <v>123</v>
      </c>
      <c r="CZ269" s="50">
        <v>1194.3</v>
      </c>
      <c r="DA269" s="50">
        <v>5183.56</v>
      </c>
      <c r="DB269" s="50">
        <v>-29708.62</v>
      </c>
      <c r="DC269" s="50">
        <v>1.0</v>
      </c>
      <c r="DD269" s="50">
        <v>-6045.0</v>
      </c>
      <c r="DE269" s="50">
        <v>-6951.75</v>
      </c>
      <c r="DF269" s="47"/>
    </row>
    <row r="270" ht="13.5" customHeight="1">
      <c r="A270" s="47" t="s">
        <v>203</v>
      </c>
      <c r="B270" s="48">
        <v>44075.0</v>
      </c>
      <c r="C270" s="47" t="s">
        <v>136</v>
      </c>
      <c r="D270" s="47" t="s">
        <v>125</v>
      </c>
      <c r="E270" s="47" t="s">
        <v>126</v>
      </c>
      <c r="F270" s="47" t="s">
        <v>112</v>
      </c>
      <c r="G270" s="47" t="s">
        <v>113</v>
      </c>
      <c r="H270" s="47" t="s">
        <v>114</v>
      </c>
      <c r="I270" s="49">
        <v>44101.0</v>
      </c>
      <c r="J270" s="49">
        <v>44102.0</v>
      </c>
      <c r="K270" s="47">
        <f t="shared" si="1"/>
        <v>1</v>
      </c>
      <c r="L270" s="47">
        <v>1.0</v>
      </c>
      <c r="M270" s="47">
        <f t="shared" si="2"/>
        <v>0</v>
      </c>
      <c r="N270" s="49">
        <v>44085.0</v>
      </c>
      <c r="O270" s="49">
        <v>44125.0</v>
      </c>
      <c r="P270" s="47">
        <f t="shared" si="3"/>
        <v>40</v>
      </c>
      <c r="Q270" s="47">
        <v>90.0</v>
      </c>
      <c r="R270" s="47">
        <f t="shared" si="4"/>
        <v>-50</v>
      </c>
      <c r="S270" s="47" t="s">
        <v>750</v>
      </c>
      <c r="T270" s="47" t="s">
        <v>751</v>
      </c>
      <c r="U270" s="47" t="s">
        <v>117</v>
      </c>
      <c r="V270" s="47" t="s">
        <v>207</v>
      </c>
      <c r="W270" s="47" t="s">
        <v>199</v>
      </c>
      <c r="X270" s="47" t="s">
        <v>628</v>
      </c>
      <c r="Y270" s="47">
        <v>2020.0</v>
      </c>
      <c r="Z270" s="47" t="s">
        <v>135</v>
      </c>
      <c r="AA270" s="47">
        <v>2798.0</v>
      </c>
      <c r="AB270" s="47">
        <v>16.0</v>
      </c>
      <c r="AC270" s="47">
        <v>16.0</v>
      </c>
      <c r="AD270" s="50">
        <v>172956.52</v>
      </c>
      <c r="AE270" s="50">
        <v>19926.2</v>
      </c>
      <c r="AF270" s="51">
        <v>0.12</v>
      </c>
      <c r="AG270" s="50">
        <v>27742.48</v>
      </c>
      <c r="AH270" s="50">
        <v>6419.5</v>
      </c>
      <c r="AI270" s="47">
        <v>7.75</v>
      </c>
      <c r="AJ270" s="50">
        <v>313312.0</v>
      </c>
      <c r="AK270" s="47">
        <v>99.04</v>
      </c>
      <c r="AL270" s="49">
        <v>44125.0</v>
      </c>
      <c r="AM270" s="49">
        <v>45951.0</v>
      </c>
      <c r="AN270" s="47">
        <v>60.0</v>
      </c>
      <c r="AO270" s="47">
        <v>2000.0</v>
      </c>
      <c r="AP270" s="47">
        <v>116448.0</v>
      </c>
      <c r="AQ270" s="49">
        <v>45930.0</v>
      </c>
      <c r="AR270" s="47">
        <v>109911.0</v>
      </c>
      <c r="AS270" s="47">
        <v>111974.0</v>
      </c>
      <c r="AT270" s="47">
        <v>2063.0</v>
      </c>
      <c r="AU270" s="47">
        <v>110511.0</v>
      </c>
      <c r="AV270" s="47">
        <v>1842.0</v>
      </c>
      <c r="AW270" s="50">
        <v>3746.57</v>
      </c>
      <c r="AX270" s="50">
        <v>3250.0</v>
      </c>
      <c r="AY270" s="50">
        <v>190.0</v>
      </c>
      <c r="AZ270" s="50">
        <v>291.0</v>
      </c>
      <c r="BA270" s="50">
        <v>1884.96</v>
      </c>
      <c r="BB270" s="50">
        <v>9362.53</v>
      </c>
      <c r="BC270" s="50">
        <v>1404.38</v>
      </c>
      <c r="BD270" s="50">
        <v>10766.91</v>
      </c>
      <c r="BE270" s="49">
        <v>45748.0</v>
      </c>
      <c r="BF270" s="49">
        <v>45838.0</v>
      </c>
      <c r="BG270" s="47">
        <v>104062.0</v>
      </c>
      <c r="BH270" s="47">
        <v>111974.0</v>
      </c>
      <c r="BI270" s="47">
        <v>7912.0</v>
      </c>
      <c r="BJ270" s="47">
        <v>7000.0</v>
      </c>
      <c r="BK270" s="47">
        <v>912.0</v>
      </c>
      <c r="BL270" s="50">
        <v>0.5</v>
      </c>
      <c r="BM270" s="50">
        <v>3.08</v>
      </c>
      <c r="BN270" s="50">
        <v>456.0</v>
      </c>
      <c r="BO270" s="50">
        <v>2808.96</v>
      </c>
      <c r="BP270" s="50">
        <v>3264.96</v>
      </c>
      <c r="BQ270" s="50">
        <v>489.74</v>
      </c>
      <c r="BR270" s="50">
        <v>3754.7</v>
      </c>
      <c r="BS270" s="50">
        <v>0.0</v>
      </c>
      <c r="BT270" s="50">
        <v>0.0</v>
      </c>
      <c r="BU270" s="50">
        <v>18346.0</v>
      </c>
      <c r="BV270" s="50">
        <v>0.0</v>
      </c>
      <c r="BW270" s="50">
        <v>0.0</v>
      </c>
      <c r="BX270" s="50">
        <v>0.0</v>
      </c>
      <c r="BY270" s="50">
        <v>8798.95</v>
      </c>
      <c r="BZ270" s="47">
        <v>0.0</v>
      </c>
      <c r="CA270" s="50">
        <v>0.0</v>
      </c>
      <c r="CB270" s="47">
        <v>0.0</v>
      </c>
      <c r="CC270" s="50">
        <v>0.0</v>
      </c>
      <c r="CD270" s="50">
        <v>0.0</v>
      </c>
      <c r="CE270" s="50">
        <v>18346.0</v>
      </c>
      <c r="CF270" s="50">
        <v>2751.9</v>
      </c>
      <c r="CG270" s="50">
        <v>21097.9</v>
      </c>
      <c r="CH270" s="50">
        <v>35619.51</v>
      </c>
      <c r="CI270" s="50">
        <v>4646.02</v>
      </c>
      <c r="CJ270" s="50">
        <v>30973.49</v>
      </c>
      <c r="CK270" s="50">
        <v>15.01</v>
      </c>
      <c r="CL270" s="47">
        <v>0.0</v>
      </c>
      <c r="CM270" s="47">
        <v>0.0</v>
      </c>
      <c r="CN270" s="47">
        <v>0.0</v>
      </c>
      <c r="CO270" s="47">
        <v>100.0</v>
      </c>
      <c r="CP270" s="49"/>
      <c r="CQ270" s="47">
        <v>0.0</v>
      </c>
      <c r="CR270" s="47">
        <v>0.0</v>
      </c>
      <c r="CS270" s="47">
        <v>0.0</v>
      </c>
      <c r="CT270" s="47">
        <v>-38989.0</v>
      </c>
      <c r="CU270" s="49">
        <v>45930.0</v>
      </c>
      <c r="CV270" s="49">
        <v>45930.0</v>
      </c>
      <c r="CW270" s="47">
        <v>117911.0</v>
      </c>
      <c r="CX270" s="47" t="s">
        <v>122</v>
      </c>
      <c r="CY270" s="47" t="s">
        <v>123</v>
      </c>
      <c r="CZ270" s="50">
        <v>936.7</v>
      </c>
      <c r="DA270" s="50">
        <v>4898.96</v>
      </c>
      <c r="DB270" s="50">
        <v>-16104.41</v>
      </c>
      <c r="DC270" s="50">
        <v>1.0</v>
      </c>
      <c r="DD270" s="50">
        <v>0.0</v>
      </c>
      <c r="DE270" s="50">
        <v>0.0</v>
      </c>
      <c r="DF270" s="47"/>
    </row>
    <row r="271" ht="13.5" customHeight="1">
      <c r="A271" s="47" t="s">
        <v>228</v>
      </c>
      <c r="B271" s="48">
        <v>44075.0</v>
      </c>
      <c r="C271" s="47" t="s">
        <v>109</v>
      </c>
      <c r="D271" s="47" t="s">
        <v>137</v>
      </c>
      <c r="E271" s="47" t="s">
        <v>138</v>
      </c>
      <c r="F271" s="47" t="s">
        <v>112</v>
      </c>
      <c r="G271" s="47" t="s">
        <v>113</v>
      </c>
      <c r="H271" s="47" t="s">
        <v>129</v>
      </c>
      <c r="I271" s="49">
        <v>44102.0</v>
      </c>
      <c r="J271" s="49">
        <v>44103.0</v>
      </c>
      <c r="K271" s="47">
        <f t="shared" si="1"/>
        <v>1</v>
      </c>
      <c r="L271" s="47">
        <v>1.0</v>
      </c>
      <c r="M271" s="47">
        <f t="shared" si="2"/>
        <v>0</v>
      </c>
      <c r="N271" s="49">
        <v>44086.0</v>
      </c>
      <c r="O271" s="49">
        <v>44126.0</v>
      </c>
      <c r="P271" s="47">
        <f t="shared" si="3"/>
        <v>40</v>
      </c>
      <c r="Q271" s="47">
        <v>90.0</v>
      </c>
      <c r="R271" s="47">
        <f t="shared" si="4"/>
        <v>-50</v>
      </c>
      <c r="S271" s="47" t="s">
        <v>752</v>
      </c>
      <c r="T271" s="47" t="s">
        <v>753</v>
      </c>
      <c r="U271" s="47" t="s">
        <v>117</v>
      </c>
      <c r="V271" s="47" t="s">
        <v>118</v>
      </c>
      <c r="W271" s="47" t="s">
        <v>119</v>
      </c>
      <c r="X271" s="47" t="s">
        <v>754</v>
      </c>
      <c r="Y271" s="47">
        <v>2020.0</v>
      </c>
      <c r="Z271" s="47" t="s">
        <v>135</v>
      </c>
      <c r="AA271" s="47">
        <v>1498.0</v>
      </c>
      <c r="AB271" s="47">
        <v>16.0</v>
      </c>
      <c r="AC271" s="47">
        <v>6.0</v>
      </c>
      <c r="AD271" s="50">
        <v>216695.65</v>
      </c>
      <c r="AE271" s="50">
        <v>68702.45</v>
      </c>
      <c r="AF271" s="51">
        <v>0.32</v>
      </c>
      <c r="AG271" s="50">
        <v>22952.13</v>
      </c>
      <c r="AH271" s="50">
        <v>5203.88</v>
      </c>
      <c r="AI271" s="47">
        <v>7.75</v>
      </c>
      <c r="AJ271" s="50">
        <v>91012.0</v>
      </c>
      <c r="AK271" s="47">
        <v>42.0</v>
      </c>
      <c r="AL271" s="49">
        <v>44126.0</v>
      </c>
      <c r="AM271" s="49">
        <v>45952.0</v>
      </c>
      <c r="AN271" s="47">
        <v>60.0</v>
      </c>
      <c r="AO271" s="47">
        <v>1500.0</v>
      </c>
      <c r="AP271" s="47">
        <v>90000.0</v>
      </c>
      <c r="AQ271" s="49">
        <v>46173.0</v>
      </c>
      <c r="AR271" s="47">
        <v>60069.0</v>
      </c>
      <c r="AS271" s="47">
        <v>61110.0</v>
      </c>
      <c r="AT271" s="47">
        <v>1041.0</v>
      </c>
      <c r="AU271" s="47">
        <v>59650.0</v>
      </c>
      <c r="AV271" s="47">
        <v>994.0</v>
      </c>
      <c r="AW271" s="50">
        <v>3004.51</v>
      </c>
      <c r="AX271" s="50">
        <v>570.74</v>
      </c>
      <c r="AY271" s="50">
        <v>45.1</v>
      </c>
      <c r="AZ271" s="50">
        <v>291.0</v>
      </c>
      <c r="BA271" s="50">
        <v>1158.77</v>
      </c>
      <c r="BB271" s="50">
        <v>5070.12</v>
      </c>
      <c r="BC271" s="50">
        <v>760.52</v>
      </c>
      <c r="BD271" s="50">
        <v>5830.64</v>
      </c>
      <c r="BE271" s="49">
        <v>45748.0</v>
      </c>
      <c r="BF271" s="49">
        <v>45838.0</v>
      </c>
      <c r="BG271" s="47">
        <v>57741.0</v>
      </c>
      <c r="BH271" s="47">
        <v>61110.0</v>
      </c>
      <c r="BI271" s="47">
        <v>3369.0</v>
      </c>
      <c r="BJ271" s="47">
        <v>4500.0</v>
      </c>
      <c r="BK271" s="47">
        <v>-1131.0</v>
      </c>
      <c r="BL271" s="50">
        <v>0.44</v>
      </c>
      <c r="BM271" s="50">
        <v>1.77</v>
      </c>
      <c r="BN271" s="50">
        <v>0.0</v>
      </c>
      <c r="BO271" s="50">
        <v>0.0</v>
      </c>
      <c r="BP271" s="50">
        <v>0.0</v>
      </c>
      <c r="BQ271" s="50">
        <v>-64.47</v>
      </c>
      <c r="BR271" s="50">
        <v>0.0</v>
      </c>
      <c r="BS271" s="50">
        <v>0.0</v>
      </c>
      <c r="BT271" s="50">
        <v>0.0</v>
      </c>
      <c r="BU271" s="50">
        <v>0.0</v>
      </c>
      <c r="BV271" s="50">
        <v>0.0</v>
      </c>
      <c r="BW271" s="50">
        <v>0.0</v>
      </c>
      <c r="BX271" s="50">
        <v>0.0</v>
      </c>
      <c r="BY271" s="50">
        <v>1996.5</v>
      </c>
      <c r="BZ271" s="47">
        <v>0.0</v>
      </c>
      <c r="CA271" s="50">
        <v>0.0</v>
      </c>
      <c r="CB271" s="47">
        <v>0.0</v>
      </c>
      <c r="CC271" s="50">
        <v>0.0</v>
      </c>
      <c r="CD271" s="50">
        <v>0.0</v>
      </c>
      <c r="CE271" s="50">
        <v>0.0</v>
      </c>
      <c r="CF271" s="50">
        <v>0.0</v>
      </c>
      <c r="CG271" s="50">
        <v>0.0</v>
      </c>
      <c r="CH271" s="50">
        <v>5336.39</v>
      </c>
      <c r="CI271" s="50">
        <v>696.05</v>
      </c>
      <c r="CJ271" s="50">
        <v>4640.34</v>
      </c>
      <c r="CK271" s="50">
        <v>4.46</v>
      </c>
      <c r="CL271" s="47">
        <v>0.0</v>
      </c>
      <c r="CM271" s="47">
        <v>0.0</v>
      </c>
      <c r="CN271" s="47">
        <v>0.0</v>
      </c>
      <c r="CO271" s="47">
        <v>100.0</v>
      </c>
      <c r="CP271" s="49"/>
      <c r="CQ271" s="47">
        <v>0.0</v>
      </c>
      <c r="CR271" s="47">
        <v>0.0</v>
      </c>
      <c r="CS271" s="47">
        <v>0.0</v>
      </c>
      <c r="CT271" s="47">
        <v>-30350.0</v>
      </c>
      <c r="CU271" s="49">
        <v>45838.0</v>
      </c>
      <c r="CV271" s="49">
        <v>45838.0</v>
      </c>
      <c r="CW271" s="47">
        <v>91460.0</v>
      </c>
      <c r="CX271" s="47" t="s">
        <v>122</v>
      </c>
      <c r="CY271" s="47" t="s">
        <v>123</v>
      </c>
      <c r="CZ271" s="50">
        <v>1705.2</v>
      </c>
      <c r="DA271" s="50">
        <v>6861.4</v>
      </c>
      <c r="DB271" s="50">
        <v>-12038.63</v>
      </c>
      <c r="DC271" s="50">
        <v>0.38</v>
      </c>
      <c r="DD271" s="50">
        <v>-429.78</v>
      </c>
      <c r="DE271" s="50">
        <v>-494.25</v>
      </c>
      <c r="DF271" s="47"/>
    </row>
    <row r="272" ht="13.5" customHeight="1">
      <c r="A272" s="47" t="s">
        <v>228</v>
      </c>
      <c r="B272" s="48">
        <v>44075.0</v>
      </c>
      <c r="C272" s="47" t="s">
        <v>124</v>
      </c>
      <c r="D272" s="47" t="s">
        <v>110</v>
      </c>
      <c r="E272" s="47" t="s">
        <v>111</v>
      </c>
      <c r="F272" s="47" t="s">
        <v>112</v>
      </c>
      <c r="G272" s="47" t="s">
        <v>113</v>
      </c>
      <c r="H272" s="47" t="s">
        <v>141</v>
      </c>
      <c r="I272" s="49">
        <v>44103.0</v>
      </c>
      <c r="J272" s="49">
        <v>44104.0</v>
      </c>
      <c r="K272" s="47">
        <f t="shared" si="1"/>
        <v>1</v>
      </c>
      <c r="L272" s="47">
        <v>1.0</v>
      </c>
      <c r="M272" s="47">
        <f t="shared" si="2"/>
        <v>0</v>
      </c>
      <c r="N272" s="49">
        <v>44087.0</v>
      </c>
      <c r="O272" s="49">
        <v>44127.0</v>
      </c>
      <c r="P272" s="47">
        <f t="shared" si="3"/>
        <v>40</v>
      </c>
      <c r="Q272" s="47">
        <v>90.0</v>
      </c>
      <c r="R272" s="47">
        <f t="shared" si="4"/>
        <v>-50</v>
      </c>
      <c r="S272" s="47" t="s">
        <v>755</v>
      </c>
      <c r="T272" s="47" t="s">
        <v>756</v>
      </c>
      <c r="U272" s="47" t="s">
        <v>117</v>
      </c>
      <c r="V272" s="47" t="s">
        <v>118</v>
      </c>
      <c r="W272" s="47" t="s">
        <v>119</v>
      </c>
      <c r="X272" s="47" t="s">
        <v>120</v>
      </c>
      <c r="Y272" s="47">
        <v>2020.0</v>
      </c>
      <c r="Z272" s="47" t="s">
        <v>121</v>
      </c>
      <c r="AA272" s="47">
        <v>1598.0</v>
      </c>
      <c r="AB272" s="47">
        <v>16.0</v>
      </c>
      <c r="AC272" s="47">
        <v>10.0</v>
      </c>
      <c r="AD272" s="50">
        <v>172956.52</v>
      </c>
      <c r="AE272" s="50">
        <v>19926.2</v>
      </c>
      <c r="AF272" s="51">
        <v>0.12</v>
      </c>
      <c r="AG272" s="50">
        <v>22858.66</v>
      </c>
      <c r="AH272" s="50">
        <v>4475.5</v>
      </c>
      <c r="AI272" s="47">
        <v>7.75</v>
      </c>
      <c r="AJ272" s="50">
        <v>71153.15</v>
      </c>
      <c r="AK272" s="47">
        <v>97.86</v>
      </c>
      <c r="AL272" s="49">
        <v>44127.0</v>
      </c>
      <c r="AM272" s="49">
        <v>45953.0</v>
      </c>
      <c r="AN272" s="47">
        <v>60.0</v>
      </c>
      <c r="AO272" s="47">
        <v>1500.0</v>
      </c>
      <c r="AP272" s="47">
        <v>66260.0</v>
      </c>
      <c r="AQ272" s="49">
        <v>46173.0</v>
      </c>
      <c r="AR272" s="47">
        <v>61694.0</v>
      </c>
      <c r="AS272" s="47">
        <v>62713.0</v>
      </c>
      <c r="AT272" s="47">
        <v>1019.0</v>
      </c>
      <c r="AU272" s="47">
        <v>61279.0</v>
      </c>
      <c r="AV272" s="47">
        <v>1021.0</v>
      </c>
      <c r="AW272" s="50">
        <v>1730.22</v>
      </c>
      <c r="AX272" s="50">
        <v>1283.0</v>
      </c>
      <c r="AY272" s="50">
        <v>115.0</v>
      </c>
      <c r="AZ272" s="50">
        <v>291.0</v>
      </c>
      <c r="BA272" s="50">
        <v>1139.2</v>
      </c>
      <c r="BB272" s="50">
        <v>4558.42</v>
      </c>
      <c r="BC272" s="50">
        <v>683.76</v>
      </c>
      <c r="BD272" s="50">
        <v>5242.18</v>
      </c>
      <c r="BE272" s="49">
        <v>45748.0</v>
      </c>
      <c r="BF272" s="49">
        <v>45838.0</v>
      </c>
      <c r="BG272" s="47">
        <v>59662.0</v>
      </c>
      <c r="BH272" s="47">
        <v>62713.0</v>
      </c>
      <c r="BI272" s="47">
        <v>3051.0</v>
      </c>
      <c r="BJ272" s="47">
        <v>4500.0</v>
      </c>
      <c r="BK272" s="47">
        <v>-1449.0</v>
      </c>
      <c r="BL272" s="50">
        <v>0.41</v>
      </c>
      <c r="BM272" s="50">
        <v>1.46</v>
      </c>
      <c r="BN272" s="50">
        <v>0.0</v>
      </c>
      <c r="BO272" s="50">
        <v>0.0</v>
      </c>
      <c r="BP272" s="50">
        <v>0.0</v>
      </c>
      <c r="BQ272" s="50">
        <v>-78.25</v>
      </c>
      <c r="BR272" s="50">
        <v>0.0</v>
      </c>
      <c r="BS272" s="50">
        <v>0.0</v>
      </c>
      <c r="BT272" s="50">
        <v>0.0</v>
      </c>
      <c r="BU272" s="50">
        <v>0.0</v>
      </c>
      <c r="BV272" s="50">
        <v>0.0</v>
      </c>
      <c r="BW272" s="50">
        <v>0.0</v>
      </c>
      <c r="BX272" s="50">
        <v>0.0</v>
      </c>
      <c r="BY272" s="50">
        <v>3073.75</v>
      </c>
      <c r="BZ272" s="47">
        <v>0.0</v>
      </c>
      <c r="CA272" s="50">
        <v>0.0</v>
      </c>
      <c r="CB272" s="47">
        <v>0.0</v>
      </c>
      <c r="CC272" s="50">
        <v>0.0</v>
      </c>
      <c r="CD272" s="50">
        <v>0.0</v>
      </c>
      <c r="CE272" s="50">
        <v>0.0</v>
      </c>
      <c r="CF272" s="50">
        <v>0.0</v>
      </c>
      <c r="CG272" s="50">
        <v>0.0</v>
      </c>
      <c r="CH272" s="50">
        <v>4642.29</v>
      </c>
      <c r="CI272" s="50">
        <v>605.51</v>
      </c>
      <c r="CJ272" s="50">
        <v>4036.78</v>
      </c>
      <c r="CK272" s="50">
        <v>3.96</v>
      </c>
      <c r="CL272" s="47">
        <v>0.0</v>
      </c>
      <c r="CM272" s="47">
        <v>0.0</v>
      </c>
      <c r="CN272" s="47">
        <v>0.0</v>
      </c>
      <c r="CO272" s="47">
        <v>100.0</v>
      </c>
      <c r="CP272" s="49"/>
      <c r="CQ272" s="47">
        <v>0.0</v>
      </c>
      <c r="CR272" s="47">
        <v>0.0</v>
      </c>
      <c r="CS272" s="47">
        <v>0.0</v>
      </c>
      <c r="CT272" s="47">
        <v>-28721.0</v>
      </c>
      <c r="CU272" s="49">
        <v>45930.0</v>
      </c>
      <c r="CV272" s="49">
        <v>45930.0</v>
      </c>
      <c r="CW272" s="47">
        <v>67694.0</v>
      </c>
      <c r="CX272" s="47" t="s">
        <v>122</v>
      </c>
      <c r="CY272" s="47" t="s">
        <v>123</v>
      </c>
      <c r="CZ272" s="50">
        <v>926.0</v>
      </c>
      <c r="DA272" s="50">
        <v>3217.85</v>
      </c>
      <c r="DB272" s="50">
        <v>-10077.74</v>
      </c>
      <c r="DC272" s="50">
        <v>0.36</v>
      </c>
      <c r="DD272" s="50">
        <v>-521.64</v>
      </c>
      <c r="DE272" s="50">
        <v>-599.89</v>
      </c>
      <c r="DF272" s="47"/>
    </row>
    <row r="273" ht="13.5" customHeight="1">
      <c r="A273" s="52" t="s">
        <v>108</v>
      </c>
      <c r="B273" s="53">
        <v>44105.0</v>
      </c>
      <c r="C273" s="52" t="s">
        <v>136</v>
      </c>
      <c r="D273" s="52" t="s">
        <v>125</v>
      </c>
      <c r="E273" s="52" t="s">
        <v>126</v>
      </c>
      <c r="F273" s="52" t="s">
        <v>112</v>
      </c>
      <c r="G273" s="52" t="s">
        <v>113</v>
      </c>
      <c r="H273" s="52" t="s">
        <v>114</v>
      </c>
      <c r="I273" s="54">
        <v>44105.0</v>
      </c>
      <c r="J273" s="54">
        <v>44105.0</v>
      </c>
      <c r="K273" s="52">
        <f t="shared" si="1"/>
        <v>0</v>
      </c>
      <c r="L273" s="52">
        <v>1.0</v>
      </c>
      <c r="M273" s="52">
        <f t="shared" si="2"/>
        <v>-1</v>
      </c>
      <c r="N273" s="54">
        <v>44118.0</v>
      </c>
      <c r="O273" s="54">
        <v>44128.0</v>
      </c>
      <c r="P273" s="52">
        <f t="shared" si="3"/>
        <v>10</v>
      </c>
      <c r="Q273" s="52">
        <v>90.0</v>
      </c>
      <c r="R273" s="52">
        <f t="shared" si="4"/>
        <v>-80</v>
      </c>
      <c r="S273" s="52" t="s">
        <v>757</v>
      </c>
      <c r="T273" s="52" t="s">
        <v>758</v>
      </c>
      <c r="U273" s="52" t="s">
        <v>117</v>
      </c>
      <c r="V273" s="52" t="s">
        <v>147</v>
      </c>
      <c r="W273" s="52" t="s">
        <v>133</v>
      </c>
      <c r="X273" s="52" t="s">
        <v>541</v>
      </c>
      <c r="Y273" s="52">
        <v>2020.0</v>
      </c>
      <c r="Z273" s="52" t="s">
        <v>135</v>
      </c>
      <c r="AA273" s="52">
        <v>2498.0</v>
      </c>
      <c r="AB273" s="52">
        <v>16.0</v>
      </c>
      <c r="AC273" s="52">
        <v>7.0</v>
      </c>
      <c r="AD273" s="55">
        <v>408173.91</v>
      </c>
      <c r="AE273" s="55">
        <v>111482.39</v>
      </c>
      <c r="AF273" s="56">
        <v>0.27</v>
      </c>
      <c r="AG273" s="55">
        <v>21233.85</v>
      </c>
      <c r="AH273" s="55">
        <v>5007.5</v>
      </c>
      <c r="AI273" s="52">
        <v>7.75</v>
      </c>
      <c r="AJ273" s="55">
        <v>171433.0</v>
      </c>
      <c r="AK273" s="52">
        <v>98.57</v>
      </c>
      <c r="AL273" s="54">
        <v>44013.0</v>
      </c>
      <c r="AM273" s="54">
        <v>45954.0</v>
      </c>
      <c r="AN273" s="52">
        <v>60.0</v>
      </c>
      <c r="AO273" s="52">
        <v>1400.0</v>
      </c>
      <c r="AP273" s="52">
        <v>47239.0</v>
      </c>
      <c r="AQ273" s="54">
        <v>46173.0</v>
      </c>
      <c r="AR273" s="52">
        <v>43062.0</v>
      </c>
      <c r="AS273" s="52">
        <v>44116.0</v>
      </c>
      <c r="AT273" s="52">
        <v>1054.0</v>
      </c>
      <c r="AU273" s="52">
        <v>42693.0</v>
      </c>
      <c r="AV273" s="52">
        <v>712.0</v>
      </c>
      <c r="AW273" s="55">
        <v>2740.24</v>
      </c>
      <c r="AX273" s="55">
        <v>1978.0</v>
      </c>
      <c r="AY273" s="55">
        <v>125.0</v>
      </c>
      <c r="AZ273" s="55">
        <v>291.0</v>
      </c>
      <c r="BA273" s="55">
        <v>1269.65</v>
      </c>
      <c r="BB273" s="55">
        <v>6403.89</v>
      </c>
      <c r="BC273" s="55">
        <v>960.58</v>
      </c>
      <c r="BD273" s="55">
        <v>7364.47</v>
      </c>
      <c r="BE273" s="54">
        <v>45748.0</v>
      </c>
      <c r="BF273" s="54">
        <v>45838.0</v>
      </c>
      <c r="BG273" s="52">
        <v>39961.0</v>
      </c>
      <c r="BH273" s="52">
        <v>44116.0</v>
      </c>
      <c r="BI273" s="52">
        <v>4155.0</v>
      </c>
      <c r="BJ273" s="52">
        <v>4200.0</v>
      </c>
      <c r="BK273" s="52">
        <v>-45.0</v>
      </c>
      <c r="BL273" s="55">
        <v>0.6</v>
      </c>
      <c r="BM273" s="55">
        <v>4.87</v>
      </c>
      <c r="BN273" s="55">
        <v>0.0</v>
      </c>
      <c r="BO273" s="55">
        <v>0.0</v>
      </c>
      <c r="BP273" s="55">
        <v>0.0</v>
      </c>
      <c r="BQ273" s="55">
        <v>0.0</v>
      </c>
      <c r="BR273" s="55">
        <v>0.0</v>
      </c>
      <c r="BS273" s="55">
        <v>0.0</v>
      </c>
      <c r="BT273" s="55">
        <v>0.0</v>
      </c>
      <c r="BU273" s="55">
        <v>0.0</v>
      </c>
      <c r="BV273" s="55">
        <v>0.0</v>
      </c>
      <c r="BW273" s="55">
        <v>0.0</v>
      </c>
      <c r="BX273" s="55">
        <v>0.0</v>
      </c>
      <c r="BY273" s="55">
        <v>2871.6</v>
      </c>
      <c r="BZ273" s="52">
        <v>0.0</v>
      </c>
      <c r="CA273" s="55">
        <v>0.0</v>
      </c>
      <c r="CB273" s="52">
        <v>0.0</v>
      </c>
      <c r="CC273" s="55">
        <v>0.0</v>
      </c>
      <c r="CD273" s="55">
        <v>0.0</v>
      </c>
      <c r="CE273" s="55">
        <v>0.0</v>
      </c>
      <c r="CF273" s="55">
        <v>0.0</v>
      </c>
      <c r="CG273" s="55">
        <v>0.0</v>
      </c>
      <c r="CH273" s="55">
        <v>7364.47</v>
      </c>
      <c r="CI273" s="55">
        <v>960.58</v>
      </c>
      <c r="CJ273" s="55">
        <v>6403.89</v>
      </c>
      <c r="CK273" s="55">
        <v>6.08</v>
      </c>
      <c r="CL273" s="52">
        <v>0.0</v>
      </c>
      <c r="CM273" s="52">
        <v>0.0</v>
      </c>
      <c r="CN273" s="52">
        <v>0.0</v>
      </c>
      <c r="CO273" s="52">
        <v>100.0</v>
      </c>
      <c r="CP273" s="54"/>
      <c r="CQ273" s="52">
        <v>0.0</v>
      </c>
      <c r="CR273" s="52">
        <v>0.0</v>
      </c>
      <c r="CS273" s="52">
        <v>0.0</v>
      </c>
      <c r="CT273" s="52">
        <v>-41307.0</v>
      </c>
      <c r="CU273" s="54">
        <v>45930.0</v>
      </c>
      <c r="CV273" s="54">
        <v>45930.0</v>
      </c>
      <c r="CW273" s="52">
        <v>48662.0</v>
      </c>
      <c r="CX273" s="52" t="s">
        <v>122</v>
      </c>
      <c r="CY273" s="52" t="s">
        <v>123</v>
      </c>
      <c r="CZ273" s="55">
        <v>0.0</v>
      </c>
      <c r="DA273" s="55">
        <v>0.0</v>
      </c>
      <c r="DB273" s="55">
        <v>-19704.86</v>
      </c>
      <c r="DC273" s="55">
        <v>0.52</v>
      </c>
      <c r="DD273" s="55">
        <v>0.0</v>
      </c>
      <c r="DE273" s="55">
        <v>0.0</v>
      </c>
      <c r="DF273" s="52"/>
    </row>
    <row r="274" ht="13.5" customHeight="1">
      <c r="A274" s="52" t="s">
        <v>108</v>
      </c>
      <c r="B274" s="53">
        <v>44105.0</v>
      </c>
      <c r="C274" s="52" t="s">
        <v>109</v>
      </c>
      <c r="D274" s="52" t="s">
        <v>137</v>
      </c>
      <c r="E274" s="52" t="s">
        <v>138</v>
      </c>
      <c r="F274" s="52" t="s">
        <v>112</v>
      </c>
      <c r="G274" s="52" t="s">
        <v>113</v>
      </c>
      <c r="H274" s="52" t="s">
        <v>129</v>
      </c>
      <c r="I274" s="54">
        <v>44105.0</v>
      </c>
      <c r="J274" s="54">
        <v>44106.0</v>
      </c>
      <c r="K274" s="52">
        <f t="shared" si="1"/>
        <v>1</v>
      </c>
      <c r="L274" s="52">
        <v>1.0</v>
      </c>
      <c r="M274" s="52">
        <f t="shared" si="2"/>
        <v>0</v>
      </c>
      <c r="N274" s="54">
        <v>44119.0</v>
      </c>
      <c r="O274" s="54">
        <v>44280.0</v>
      </c>
      <c r="P274" s="52">
        <f t="shared" si="3"/>
        <v>161</v>
      </c>
      <c r="Q274" s="52">
        <v>90.0</v>
      </c>
      <c r="R274" s="52">
        <f t="shared" si="4"/>
        <v>71</v>
      </c>
      <c r="S274" s="52" t="s">
        <v>759</v>
      </c>
      <c r="T274" s="52" t="s">
        <v>760</v>
      </c>
      <c r="U274" s="52" t="s">
        <v>117</v>
      </c>
      <c r="V274" s="52" t="s">
        <v>118</v>
      </c>
      <c r="W274" s="52" t="s">
        <v>119</v>
      </c>
      <c r="X274" s="52" t="s">
        <v>120</v>
      </c>
      <c r="Y274" s="52">
        <v>2020.0</v>
      </c>
      <c r="Z274" s="52" t="s">
        <v>121</v>
      </c>
      <c r="AA274" s="52">
        <v>1598.0</v>
      </c>
      <c r="AB274" s="52">
        <v>16.0</v>
      </c>
      <c r="AC274" s="52">
        <v>6.0</v>
      </c>
      <c r="AD274" s="55">
        <v>172956.52</v>
      </c>
      <c r="AE274" s="55">
        <v>19926.2</v>
      </c>
      <c r="AF274" s="56">
        <v>0.12</v>
      </c>
      <c r="AG274" s="55">
        <v>22726.91</v>
      </c>
      <c r="AH274" s="55">
        <v>4475.5</v>
      </c>
      <c r="AI274" s="52">
        <v>7.75</v>
      </c>
      <c r="AJ274" s="55">
        <v>74371.0</v>
      </c>
      <c r="AK274" s="52">
        <v>97.96</v>
      </c>
      <c r="AL274" s="54">
        <v>44013.0</v>
      </c>
      <c r="AM274" s="54">
        <v>46106.0</v>
      </c>
      <c r="AN274" s="52">
        <v>60.0</v>
      </c>
      <c r="AO274" s="52">
        <v>1500.0</v>
      </c>
      <c r="AP274" s="52">
        <v>44209.0</v>
      </c>
      <c r="AQ274" s="54">
        <v>45930.0</v>
      </c>
      <c r="AR274" s="52">
        <v>39701.0</v>
      </c>
      <c r="AS274" s="52">
        <v>40633.0</v>
      </c>
      <c r="AT274" s="52">
        <v>932.0</v>
      </c>
      <c r="AU274" s="52">
        <v>39141.0</v>
      </c>
      <c r="AV274" s="52">
        <v>652.0</v>
      </c>
      <c r="AW274" s="55">
        <v>1750.6</v>
      </c>
      <c r="AX274" s="55">
        <v>1283.0</v>
      </c>
      <c r="AY274" s="55">
        <v>115.0</v>
      </c>
      <c r="AZ274" s="55">
        <v>291.0</v>
      </c>
      <c r="BA274" s="55">
        <v>1139.2</v>
      </c>
      <c r="BB274" s="55">
        <v>4578.8</v>
      </c>
      <c r="BC274" s="55">
        <v>686.82</v>
      </c>
      <c r="BD274" s="55">
        <v>5265.62</v>
      </c>
      <c r="BE274" s="54">
        <v>45748.0</v>
      </c>
      <c r="BF274" s="54">
        <v>45838.0</v>
      </c>
      <c r="BG274" s="52">
        <v>37277.0</v>
      </c>
      <c r="BH274" s="52">
        <v>40633.0</v>
      </c>
      <c r="BI274" s="52">
        <v>3356.0</v>
      </c>
      <c r="BJ274" s="52">
        <v>4500.0</v>
      </c>
      <c r="BK274" s="52">
        <v>-1144.0</v>
      </c>
      <c r="BL274" s="55">
        <v>0.41</v>
      </c>
      <c r="BM274" s="55">
        <v>2.16</v>
      </c>
      <c r="BN274" s="55">
        <v>0.0</v>
      </c>
      <c r="BO274" s="55">
        <v>0.0</v>
      </c>
      <c r="BP274" s="55">
        <v>0.0</v>
      </c>
      <c r="BQ274" s="55">
        <v>-61.78</v>
      </c>
      <c r="BR274" s="55">
        <v>0.0</v>
      </c>
      <c r="BS274" s="55">
        <v>0.0</v>
      </c>
      <c r="BT274" s="55">
        <v>0.0</v>
      </c>
      <c r="BU274" s="55">
        <v>0.0</v>
      </c>
      <c r="BV274" s="55">
        <v>0.0</v>
      </c>
      <c r="BW274" s="55">
        <v>0.0</v>
      </c>
      <c r="BX274" s="55">
        <v>0.0</v>
      </c>
      <c r="BY274" s="55">
        <v>4322.75</v>
      </c>
      <c r="BZ274" s="52">
        <v>0.0</v>
      </c>
      <c r="CA274" s="55">
        <v>0.0</v>
      </c>
      <c r="CB274" s="52">
        <v>0.0</v>
      </c>
      <c r="CC274" s="55">
        <v>0.0</v>
      </c>
      <c r="CD274" s="55">
        <v>0.0</v>
      </c>
      <c r="CE274" s="55">
        <v>0.0</v>
      </c>
      <c r="CF274" s="55">
        <v>0.0</v>
      </c>
      <c r="CG274" s="55">
        <v>0.0</v>
      </c>
      <c r="CH274" s="55">
        <v>4792.0</v>
      </c>
      <c r="CI274" s="55">
        <v>625.04</v>
      </c>
      <c r="CJ274" s="55">
        <v>4166.96</v>
      </c>
      <c r="CK274" s="55">
        <v>4.47</v>
      </c>
      <c r="CL274" s="52">
        <v>0.0</v>
      </c>
      <c r="CM274" s="52">
        <v>0.0</v>
      </c>
      <c r="CN274" s="52">
        <v>0.0</v>
      </c>
      <c r="CO274" s="52">
        <v>100.0</v>
      </c>
      <c r="CP274" s="54"/>
      <c r="CQ274" s="52">
        <v>0.0</v>
      </c>
      <c r="CR274" s="52">
        <v>0.0</v>
      </c>
      <c r="CS274" s="52">
        <v>0.0</v>
      </c>
      <c r="CT274" s="52">
        <v>-50859.0</v>
      </c>
      <c r="CU274" s="54">
        <v>45930.0</v>
      </c>
      <c r="CV274" s="54">
        <v>45930.0</v>
      </c>
      <c r="CW274" s="52">
        <v>45701.0</v>
      </c>
      <c r="CX274" s="52" t="s">
        <v>122</v>
      </c>
      <c r="CY274" s="52" t="s">
        <v>123</v>
      </c>
      <c r="CZ274" s="55">
        <v>0.0</v>
      </c>
      <c r="DA274" s="55">
        <v>0.0</v>
      </c>
      <c r="DB274" s="55">
        <v>-16910.73</v>
      </c>
      <c r="DC274" s="55">
        <v>0.36</v>
      </c>
      <c r="DD274" s="55">
        <v>-411.84</v>
      </c>
      <c r="DE274" s="55">
        <v>-473.62</v>
      </c>
      <c r="DF274" s="52"/>
    </row>
    <row r="275" ht="13.5" customHeight="1">
      <c r="A275" s="52" t="s">
        <v>108</v>
      </c>
      <c r="B275" s="53">
        <v>44105.0</v>
      </c>
      <c r="C275" s="52" t="s">
        <v>124</v>
      </c>
      <c r="D275" s="52" t="s">
        <v>110</v>
      </c>
      <c r="E275" s="52" t="s">
        <v>111</v>
      </c>
      <c r="F275" s="52" t="s">
        <v>112</v>
      </c>
      <c r="G275" s="52" t="s">
        <v>113</v>
      </c>
      <c r="H275" s="52" t="s">
        <v>141</v>
      </c>
      <c r="I275" s="54">
        <v>44106.0</v>
      </c>
      <c r="J275" s="54">
        <v>44111.0</v>
      </c>
      <c r="K275" s="52">
        <f t="shared" si="1"/>
        <v>5</v>
      </c>
      <c r="L275" s="52">
        <v>1.0</v>
      </c>
      <c r="M275" s="52">
        <f t="shared" si="2"/>
        <v>4</v>
      </c>
      <c r="N275" s="54">
        <v>44120.0</v>
      </c>
      <c r="O275" s="54">
        <v>44130.0</v>
      </c>
      <c r="P275" s="52">
        <f t="shared" si="3"/>
        <v>10</v>
      </c>
      <c r="Q275" s="52">
        <v>90.0</v>
      </c>
      <c r="R275" s="52">
        <f t="shared" si="4"/>
        <v>-80</v>
      </c>
      <c r="S275" s="52" t="s">
        <v>761</v>
      </c>
      <c r="T275" s="52" t="s">
        <v>762</v>
      </c>
      <c r="U275" s="52" t="s">
        <v>117</v>
      </c>
      <c r="V275" s="52" t="s">
        <v>118</v>
      </c>
      <c r="W275" s="52" t="s">
        <v>119</v>
      </c>
      <c r="X275" s="52" t="s">
        <v>120</v>
      </c>
      <c r="Y275" s="52">
        <v>2020.0</v>
      </c>
      <c r="Z275" s="52" t="s">
        <v>121</v>
      </c>
      <c r="AA275" s="52">
        <v>1598.0</v>
      </c>
      <c r="AB275" s="52">
        <v>16.0</v>
      </c>
      <c r="AC275" s="52">
        <v>8.0</v>
      </c>
      <c r="AD275" s="55">
        <v>172956.52</v>
      </c>
      <c r="AE275" s="55">
        <v>19926.2</v>
      </c>
      <c r="AF275" s="56">
        <v>0.12</v>
      </c>
      <c r="AG275" s="55">
        <v>22597.29</v>
      </c>
      <c r="AH275" s="55">
        <v>4475.5</v>
      </c>
      <c r="AI275" s="52">
        <v>7.75</v>
      </c>
      <c r="AJ275" s="55">
        <v>74371.0</v>
      </c>
      <c r="AK275" s="52">
        <v>97.96</v>
      </c>
      <c r="AL275" s="54">
        <v>44013.0</v>
      </c>
      <c r="AM275" s="54">
        <v>45956.0</v>
      </c>
      <c r="AN275" s="52">
        <v>60.0</v>
      </c>
      <c r="AO275" s="52">
        <v>1500.0</v>
      </c>
      <c r="AP275" s="52">
        <v>47783.0</v>
      </c>
      <c r="AQ275" s="54">
        <v>46173.0</v>
      </c>
      <c r="AR275" s="52">
        <v>43217.0</v>
      </c>
      <c r="AS275" s="52">
        <v>44266.0</v>
      </c>
      <c r="AT275" s="52">
        <v>1049.0</v>
      </c>
      <c r="AU275" s="52">
        <v>42832.0</v>
      </c>
      <c r="AV275" s="52">
        <v>714.0</v>
      </c>
      <c r="AW275" s="55">
        <v>1750.86</v>
      </c>
      <c r="AX275" s="55">
        <v>1283.0</v>
      </c>
      <c r="AY275" s="55">
        <v>115.0</v>
      </c>
      <c r="AZ275" s="55">
        <v>291.0</v>
      </c>
      <c r="BA275" s="55">
        <v>1139.2</v>
      </c>
      <c r="BB275" s="55">
        <v>4579.06</v>
      </c>
      <c r="BC275" s="55">
        <v>686.86</v>
      </c>
      <c r="BD275" s="55">
        <v>5265.92</v>
      </c>
      <c r="BE275" s="54">
        <v>45748.0</v>
      </c>
      <c r="BF275" s="54">
        <v>45838.0</v>
      </c>
      <c r="BG275" s="52">
        <v>41474.0</v>
      </c>
      <c r="BH275" s="52">
        <v>44266.0</v>
      </c>
      <c r="BI275" s="52">
        <v>2792.0</v>
      </c>
      <c r="BJ275" s="52">
        <v>4500.0</v>
      </c>
      <c r="BK275" s="52">
        <v>-1708.0</v>
      </c>
      <c r="BL275" s="55">
        <v>0.41</v>
      </c>
      <c r="BM275" s="55">
        <v>2.0</v>
      </c>
      <c r="BN275" s="55">
        <v>0.0</v>
      </c>
      <c r="BO275" s="55">
        <v>0.0</v>
      </c>
      <c r="BP275" s="55">
        <v>0.0</v>
      </c>
      <c r="BQ275" s="55">
        <v>-92.23</v>
      </c>
      <c r="BR275" s="55">
        <v>0.0</v>
      </c>
      <c r="BS275" s="55">
        <v>0.0</v>
      </c>
      <c r="BT275" s="55">
        <v>0.0</v>
      </c>
      <c r="BU275" s="55">
        <v>0.0</v>
      </c>
      <c r="BV275" s="55">
        <v>0.0</v>
      </c>
      <c r="BW275" s="55">
        <v>0.0</v>
      </c>
      <c r="BX275" s="55">
        <v>0.0</v>
      </c>
      <c r="BY275" s="55">
        <v>4064.8</v>
      </c>
      <c r="BZ275" s="52">
        <v>0.0</v>
      </c>
      <c r="CA275" s="55">
        <v>0.0</v>
      </c>
      <c r="CB275" s="52">
        <v>0.0</v>
      </c>
      <c r="CC275" s="55">
        <v>0.0</v>
      </c>
      <c r="CD275" s="55">
        <v>0.0</v>
      </c>
      <c r="CE275" s="55">
        <v>0.0</v>
      </c>
      <c r="CF275" s="55">
        <v>0.0</v>
      </c>
      <c r="CG275" s="55">
        <v>0.0</v>
      </c>
      <c r="CH275" s="55">
        <v>4558.81</v>
      </c>
      <c r="CI275" s="55">
        <v>594.63</v>
      </c>
      <c r="CJ275" s="55">
        <v>3964.18</v>
      </c>
      <c r="CK275" s="55">
        <v>3.78</v>
      </c>
      <c r="CL275" s="52">
        <v>0.0</v>
      </c>
      <c r="CM275" s="52">
        <v>0.0</v>
      </c>
      <c r="CN275" s="52">
        <v>0.0</v>
      </c>
      <c r="CO275" s="52">
        <v>100.0</v>
      </c>
      <c r="CP275" s="54"/>
      <c r="CQ275" s="52">
        <v>0.0</v>
      </c>
      <c r="CR275" s="52">
        <v>0.0</v>
      </c>
      <c r="CS275" s="52">
        <v>0.0</v>
      </c>
      <c r="CT275" s="52">
        <v>-47168.0</v>
      </c>
      <c r="CU275" s="54">
        <v>45930.0</v>
      </c>
      <c r="CV275" s="54">
        <v>45930.0</v>
      </c>
      <c r="CW275" s="52">
        <v>49217.0</v>
      </c>
      <c r="CX275" s="52" t="s">
        <v>122</v>
      </c>
      <c r="CY275" s="52" t="s">
        <v>123</v>
      </c>
      <c r="CZ275" s="55">
        <v>0.0</v>
      </c>
      <c r="DA275" s="55">
        <v>0.0</v>
      </c>
      <c r="DB275" s="55">
        <v>-15408.05</v>
      </c>
      <c r="DC275" s="55">
        <v>0.36</v>
      </c>
      <c r="DD275" s="55">
        <v>-614.88</v>
      </c>
      <c r="DE275" s="55">
        <v>-707.11</v>
      </c>
      <c r="DF275" s="52"/>
    </row>
    <row r="276" ht="13.5" customHeight="1">
      <c r="A276" s="52" t="s">
        <v>144</v>
      </c>
      <c r="B276" s="53">
        <v>44105.0</v>
      </c>
      <c r="C276" s="52" t="s">
        <v>136</v>
      </c>
      <c r="D276" s="52" t="s">
        <v>125</v>
      </c>
      <c r="E276" s="52" t="s">
        <v>126</v>
      </c>
      <c r="F276" s="52" t="s">
        <v>112</v>
      </c>
      <c r="G276" s="52" t="s">
        <v>113</v>
      </c>
      <c r="H276" s="52" t="s">
        <v>114</v>
      </c>
      <c r="I276" s="54">
        <v>44107.0</v>
      </c>
      <c r="J276" s="54">
        <v>44108.0</v>
      </c>
      <c r="K276" s="52">
        <f t="shared" si="1"/>
        <v>1</v>
      </c>
      <c r="L276" s="52">
        <v>1.0</v>
      </c>
      <c r="M276" s="52">
        <f t="shared" si="2"/>
        <v>0</v>
      </c>
      <c r="N276" s="54">
        <v>44121.0</v>
      </c>
      <c r="O276" s="54">
        <v>44131.0</v>
      </c>
      <c r="P276" s="52">
        <f t="shared" si="3"/>
        <v>10</v>
      </c>
      <c r="Q276" s="52">
        <v>90.0</v>
      </c>
      <c r="R276" s="52">
        <f t="shared" si="4"/>
        <v>-80</v>
      </c>
      <c r="S276" s="52" t="s">
        <v>763</v>
      </c>
      <c r="T276" s="52" t="s">
        <v>764</v>
      </c>
      <c r="U276" s="52" t="s">
        <v>117</v>
      </c>
      <c r="V276" s="52" t="s">
        <v>190</v>
      </c>
      <c r="W276" s="52" t="s">
        <v>119</v>
      </c>
      <c r="X276" s="52" t="s">
        <v>191</v>
      </c>
      <c r="Y276" s="52">
        <v>2020.0</v>
      </c>
      <c r="Z276" s="52" t="s">
        <v>121</v>
      </c>
      <c r="AA276" s="52">
        <v>1498.0</v>
      </c>
      <c r="AB276" s="52">
        <v>16.0</v>
      </c>
      <c r="AC276" s="52">
        <v>16.0</v>
      </c>
      <c r="AD276" s="55">
        <v>190240.52</v>
      </c>
      <c r="AE276" s="55">
        <v>38683.01</v>
      </c>
      <c r="AF276" s="56">
        <v>0.2</v>
      </c>
      <c r="AG276" s="55">
        <v>20777.47</v>
      </c>
      <c r="AH276" s="55">
        <v>4403.5</v>
      </c>
      <c r="AI276" s="52">
        <v>7.75</v>
      </c>
      <c r="AJ276" s="55">
        <v>75194.75</v>
      </c>
      <c r="AK276" s="52">
        <v>98.34</v>
      </c>
      <c r="AL276" s="54">
        <v>44013.0</v>
      </c>
      <c r="AM276" s="54">
        <v>45957.0</v>
      </c>
      <c r="AN276" s="52">
        <v>60.0</v>
      </c>
      <c r="AO276" s="52">
        <v>2000.0</v>
      </c>
      <c r="AP276" s="52">
        <v>114669.0</v>
      </c>
      <c r="AQ276" s="54">
        <v>46173.0</v>
      </c>
      <c r="AR276" s="52">
        <v>108084.0</v>
      </c>
      <c r="AS276" s="52">
        <v>110023.0</v>
      </c>
      <c r="AT276" s="52">
        <v>1939.0</v>
      </c>
      <c r="AU276" s="52">
        <v>108608.0</v>
      </c>
      <c r="AV276" s="52">
        <v>1810.0</v>
      </c>
      <c r="AW276" s="55">
        <v>1677.9</v>
      </c>
      <c r="AX276" s="55">
        <v>1739.0</v>
      </c>
      <c r="AY276" s="55">
        <v>115.0</v>
      </c>
      <c r="AZ276" s="55">
        <v>291.0</v>
      </c>
      <c r="BA276" s="55">
        <v>1154.67</v>
      </c>
      <c r="BB276" s="55">
        <v>4977.57</v>
      </c>
      <c r="BC276" s="55">
        <v>746.64</v>
      </c>
      <c r="BD276" s="55">
        <v>5724.21</v>
      </c>
      <c r="BE276" s="54">
        <v>45748.0</v>
      </c>
      <c r="BF276" s="54">
        <v>45838.0</v>
      </c>
      <c r="BG276" s="52">
        <v>102022.0</v>
      </c>
      <c r="BH276" s="52">
        <v>110023.0</v>
      </c>
      <c r="BI276" s="52">
        <v>8001.0</v>
      </c>
      <c r="BJ276" s="52">
        <v>6000.0</v>
      </c>
      <c r="BK276" s="52">
        <v>2001.0</v>
      </c>
      <c r="BL276" s="55">
        <v>0.57</v>
      </c>
      <c r="BM276" s="55">
        <v>0.88</v>
      </c>
      <c r="BN276" s="55">
        <v>1140.57</v>
      </c>
      <c r="BO276" s="55">
        <v>1760.88</v>
      </c>
      <c r="BP276" s="55">
        <v>2901.45</v>
      </c>
      <c r="BQ276" s="55">
        <v>435.22</v>
      </c>
      <c r="BR276" s="55">
        <v>3336.67</v>
      </c>
      <c r="BS276" s="55">
        <v>0.0</v>
      </c>
      <c r="BT276" s="55">
        <v>0.0</v>
      </c>
      <c r="BU276" s="55">
        <v>0.0</v>
      </c>
      <c r="BV276" s="55">
        <v>0.0</v>
      </c>
      <c r="BW276" s="55">
        <v>0.0</v>
      </c>
      <c r="BX276" s="55">
        <v>0.0</v>
      </c>
      <c r="BY276" s="55">
        <v>6714.1</v>
      </c>
      <c r="BZ276" s="52">
        <v>0.0</v>
      </c>
      <c r="CA276" s="55">
        <v>0.0</v>
      </c>
      <c r="CB276" s="52">
        <v>0.0</v>
      </c>
      <c r="CC276" s="55">
        <v>0.0</v>
      </c>
      <c r="CD276" s="55">
        <v>0.0</v>
      </c>
      <c r="CE276" s="55">
        <v>0.0</v>
      </c>
      <c r="CF276" s="55">
        <v>0.0</v>
      </c>
      <c r="CG276" s="55">
        <v>0.0</v>
      </c>
      <c r="CH276" s="55">
        <v>9060.88</v>
      </c>
      <c r="CI276" s="55">
        <v>1181.86</v>
      </c>
      <c r="CJ276" s="55">
        <v>7879.02</v>
      </c>
      <c r="CK276" s="55">
        <v>4.06</v>
      </c>
      <c r="CL276" s="52">
        <v>0.0</v>
      </c>
      <c r="CM276" s="52">
        <v>0.0</v>
      </c>
      <c r="CN276" s="52">
        <v>0.0</v>
      </c>
      <c r="CO276" s="52">
        <v>100.0</v>
      </c>
      <c r="CP276" s="54"/>
      <c r="CQ276" s="52">
        <v>0.0</v>
      </c>
      <c r="CR276" s="52">
        <v>0.0</v>
      </c>
      <c r="CS276" s="52">
        <v>0.0</v>
      </c>
      <c r="CT276" s="52">
        <v>-11392.0</v>
      </c>
      <c r="CU276" s="54">
        <v>45930.0</v>
      </c>
      <c r="CV276" s="54">
        <v>45930.0</v>
      </c>
      <c r="CW276" s="52">
        <v>116084.0</v>
      </c>
      <c r="CX276" s="52" t="s">
        <v>122</v>
      </c>
      <c r="CY276" s="52" t="s">
        <v>123</v>
      </c>
      <c r="CZ276" s="55">
        <v>7372.58</v>
      </c>
      <c r="DA276" s="55">
        <v>14077.13</v>
      </c>
      <c r="DB276" s="55">
        <v>-11151.44</v>
      </c>
      <c r="DC276" s="55">
        <v>0.49</v>
      </c>
      <c r="DD276" s="55">
        <v>0.0</v>
      </c>
      <c r="DE276" s="55">
        <v>0.0</v>
      </c>
      <c r="DF276" s="52"/>
    </row>
    <row r="277" ht="13.5" customHeight="1">
      <c r="A277" s="52" t="s">
        <v>144</v>
      </c>
      <c r="B277" s="53">
        <v>44105.0</v>
      </c>
      <c r="C277" s="52" t="s">
        <v>109</v>
      </c>
      <c r="D277" s="52" t="s">
        <v>137</v>
      </c>
      <c r="E277" s="52" t="s">
        <v>138</v>
      </c>
      <c r="F277" s="52" t="s">
        <v>112</v>
      </c>
      <c r="G277" s="52" t="s">
        <v>113</v>
      </c>
      <c r="H277" s="52" t="s">
        <v>129</v>
      </c>
      <c r="I277" s="54">
        <v>44108.0</v>
      </c>
      <c r="J277" s="54">
        <v>44109.0</v>
      </c>
      <c r="K277" s="52">
        <f t="shared" si="1"/>
        <v>1</v>
      </c>
      <c r="L277" s="52">
        <v>1.0</v>
      </c>
      <c r="M277" s="52">
        <f t="shared" si="2"/>
        <v>0</v>
      </c>
      <c r="N277" s="54">
        <v>44122.0</v>
      </c>
      <c r="O277" s="54">
        <v>44132.0</v>
      </c>
      <c r="P277" s="52">
        <f t="shared" si="3"/>
        <v>10</v>
      </c>
      <c r="Q277" s="52">
        <v>90.0</v>
      </c>
      <c r="R277" s="52">
        <f t="shared" si="4"/>
        <v>-80</v>
      </c>
      <c r="S277" s="52" t="s">
        <v>765</v>
      </c>
      <c r="T277" s="52" t="s">
        <v>766</v>
      </c>
      <c r="U277" s="52" t="s">
        <v>117</v>
      </c>
      <c r="V277" s="52" t="s">
        <v>190</v>
      </c>
      <c r="W277" s="52" t="s">
        <v>119</v>
      </c>
      <c r="X277" s="52" t="s">
        <v>191</v>
      </c>
      <c r="Y277" s="52">
        <v>2020.0</v>
      </c>
      <c r="Z277" s="52" t="s">
        <v>121</v>
      </c>
      <c r="AA277" s="52">
        <v>1498.0</v>
      </c>
      <c r="AB277" s="52">
        <v>16.0</v>
      </c>
      <c r="AC277" s="52">
        <v>4.0</v>
      </c>
      <c r="AD277" s="55">
        <v>190240.52</v>
      </c>
      <c r="AE277" s="55">
        <v>38683.01</v>
      </c>
      <c r="AF277" s="56">
        <v>0.2</v>
      </c>
      <c r="AG277" s="55">
        <v>20109.68</v>
      </c>
      <c r="AH277" s="55">
        <v>4403.5</v>
      </c>
      <c r="AI277" s="52">
        <v>7.75</v>
      </c>
      <c r="AJ277" s="55">
        <v>87511.0</v>
      </c>
      <c r="AK277" s="52">
        <v>98.57</v>
      </c>
      <c r="AL277" s="54">
        <v>44013.0</v>
      </c>
      <c r="AM277" s="54">
        <v>45958.0</v>
      </c>
      <c r="AN277" s="52">
        <v>60.0</v>
      </c>
      <c r="AO277" s="52">
        <v>1400.0</v>
      </c>
      <c r="AP277" s="52">
        <v>35945.0</v>
      </c>
      <c r="AQ277" s="54">
        <v>46173.0</v>
      </c>
      <c r="AR277" s="52">
        <v>31789.0</v>
      </c>
      <c r="AS277" s="52">
        <v>32362.0</v>
      </c>
      <c r="AT277" s="52">
        <v>573.0</v>
      </c>
      <c r="AU277" s="52">
        <v>30918.0</v>
      </c>
      <c r="AV277" s="52">
        <v>515.0</v>
      </c>
      <c r="AW277" s="55">
        <v>1754.19</v>
      </c>
      <c r="AX277" s="55">
        <v>1443.0</v>
      </c>
      <c r="AY277" s="55">
        <v>115.0</v>
      </c>
      <c r="AZ277" s="55">
        <v>291.0</v>
      </c>
      <c r="BA277" s="55">
        <v>1295.21</v>
      </c>
      <c r="BB277" s="55">
        <v>4898.4</v>
      </c>
      <c r="BC277" s="55">
        <v>734.76</v>
      </c>
      <c r="BD277" s="55">
        <v>5633.16</v>
      </c>
      <c r="BE277" s="54">
        <v>45748.0</v>
      </c>
      <c r="BF277" s="54">
        <v>45838.0</v>
      </c>
      <c r="BG277" s="52">
        <v>31106.0</v>
      </c>
      <c r="BH277" s="52">
        <v>32362.0</v>
      </c>
      <c r="BI277" s="52">
        <v>1256.0</v>
      </c>
      <c r="BJ277" s="52">
        <v>4200.0</v>
      </c>
      <c r="BK277" s="52">
        <v>-2944.0</v>
      </c>
      <c r="BL277" s="55">
        <v>0.57</v>
      </c>
      <c r="BM277" s="55">
        <v>2.75</v>
      </c>
      <c r="BN277" s="55">
        <v>0.0</v>
      </c>
      <c r="BO277" s="55">
        <v>0.0</v>
      </c>
      <c r="BP277" s="55">
        <v>0.0</v>
      </c>
      <c r="BQ277" s="55">
        <v>-220.8</v>
      </c>
      <c r="BR277" s="55">
        <v>0.0</v>
      </c>
      <c r="BS277" s="55">
        <v>0.0</v>
      </c>
      <c r="BT277" s="55">
        <v>0.0</v>
      </c>
      <c r="BU277" s="55">
        <v>0.0</v>
      </c>
      <c r="BV277" s="55">
        <v>0.0</v>
      </c>
      <c r="BW277" s="55">
        <v>0.0</v>
      </c>
      <c r="BX277" s="55">
        <v>0.0</v>
      </c>
      <c r="BY277" s="55">
        <v>2102.35</v>
      </c>
      <c r="BZ277" s="52">
        <v>0.0</v>
      </c>
      <c r="CA277" s="55">
        <v>0.0</v>
      </c>
      <c r="CB277" s="52">
        <v>0.0</v>
      </c>
      <c r="CC277" s="55">
        <v>0.0</v>
      </c>
      <c r="CD277" s="55">
        <v>0.0</v>
      </c>
      <c r="CE277" s="55">
        <v>0.0</v>
      </c>
      <c r="CF277" s="55">
        <v>0.0</v>
      </c>
      <c r="CG277" s="55">
        <v>0.0</v>
      </c>
      <c r="CH277" s="55">
        <v>3940.36</v>
      </c>
      <c r="CI277" s="55">
        <v>513.96</v>
      </c>
      <c r="CJ277" s="55">
        <v>3426.4</v>
      </c>
      <c r="CK277" s="55">
        <v>5.98</v>
      </c>
      <c r="CL277" s="52">
        <v>0.0</v>
      </c>
      <c r="CM277" s="52">
        <v>0.0</v>
      </c>
      <c r="CN277" s="52">
        <v>0.0</v>
      </c>
      <c r="CO277" s="52">
        <v>100.0</v>
      </c>
      <c r="CP277" s="54"/>
      <c r="CQ277" s="52">
        <v>0.0</v>
      </c>
      <c r="CR277" s="52">
        <v>0.0</v>
      </c>
      <c r="CS277" s="52">
        <v>0.0</v>
      </c>
      <c r="CT277" s="52">
        <v>-53082.0</v>
      </c>
      <c r="CU277" s="54">
        <v>45930.0</v>
      </c>
      <c r="CV277" s="54">
        <v>45930.0</v>
      </c>
      <c r="CW277" s="52">
        <v>37389.0</v>
      </c>
      <c r="CX277" s="52" t="s">
        <v>122</v>
      </c>
      <c r="CY277" s="52" t="s">
        <v>123</v>
      </c>
      <c r="CZ277" s="55">
        <v>0.0</v>
      </c>
      <c r="DA277" s="55">
        <v>0.0</v>
      </c>
      <c r="DB277" s="55">
        <v>-24606.22</v>
      </c>
      <c r="DC277" s="55">
        <v>0.5</v>
      </c>
      <c r="DD277" s="55">
        <v>-1472.0</v>
      </c>
      <c r="DE277" s="55">
        <v>-1692.8</v>
      </c>
      <c r="DF277" s="52"/>
    </row>
    <row r="278" ht="13.5" customHeight="1">
      <c r="A278" s="52" t="s">
        <v>144</v>
      </c>
      <c r="B278" s="53">
        <v>44105.0</v>
      </c>
      <c r="C278" s="52" t="s">
        <v>124</v>
      </c>
      <c r="D278" s="52" t="s">
        <v>110</v>
      </c>
      <c r="E278" s="52" t="s">
        <v>111</v>
      </c>
      <c r="F278" s="52" t="s">
        <v>112</v>
      </c>
      <c r="G278" s="52" t="s">
        <v>113</v>
      </c>
      <c r="H278" s="52" t="s">
        <v>141</v>
      </c>
      <c r="I278" s="54">
        <v>44109.0</v>
      </c>
      <c r="J278" s="54">
        <v>44110.0</v>
      </c>
      <c r="K278" s="52">
        <f t="shared" si="1"/>
        <v>1</v>
      </c>
      <c r="L278" s="52">
        <v>1.0</v>
      </c>
      <c r="M278" s="52">
        <f t="shared" si="2"/>
        <v>0</v>
      </c>
      <c r="N278" s="54">
        <v>44123.0</v>
      </c>
      <c r="O278" s="54">
        <v>44133.0</v>
      </c>
      <c r="P278" s="52">
        <f t="shared" si="3"/>
        <v>10</v>
      </c>
      <c r="Q278" s="52">
        <v>90.0</v>
      </c>
      <c r="R278" s="52">
        <f t="shared" si="4"/>
        <v>-80</v>
      </c>
      <c r="S278" s="52" t="s">
        <v>767</v>
      </c>
      <c r="T278" s="52" t="s">
        <v>768</v>
      </c>
      <c r="U278" s="52" t="s">
        <v>117</v>
      </c>
      <c r="V278" s="52" t="s">
        <v>190</v>
      </c>
      <c r="W278" s="52" t="s">
        <v>119</v>
      </c>
      <c r="X278" s="52" t="s">
        <v>191</v>
      </c>
      <c r="Y278" s="52">
        <v>2020.0</v>
      </c>
      <c r="Z278" s="52" t="s">
        <v>121</v>
      </c>
      <c r="AA278" s="52">
        <v>1498.0</v>
      </c>
      <c r="AB278" s="52">
        <v>16.0</v>
      </c>
      <c r="AC278" s="52">
        <v>16.0</v>
      </c>
      <c r="AD278" s="55">
        <v>190240.52</v>
      </c>
      <c r="AE278" s="55">
        <v>38683.01</v>
      </c>
      <c r="AF278" s="56">
        <v>0.2</v>
      </c>
      <c r="AG278" s="55">
        <v>20381.98</v>
      </c>
      <c r="AH278" s="55">
        <v>4403.5</v>
      </c>
      <c r="AI278" s="52">
        <v>7.75</v>
      </c>
      <c r="AJ278" s="55">
        <v>26071.08</v>
      </c>
      <c r="AK278" s="52">
        <v>95.51</v>
      </c>
      <c r="AL278" s="54">
        <v>44013.0</v>
      </c>
      <c r="AM278" s="54">
        <v>45959.0</v>
      </c>
      <c r="AN278" s="52">
        <v>60.0</v>
      </c>
      <c r="AO278" s="52">
        <v>1500.0</v>
      </c>
      <c r="AP278" s="52">
        <v>98888.0</v>
      </c>
      <c r="AQ278" s="54">
        <v>46173.0</v>
      </c>
      <c r="AR278" s="52">
        <v>94315.0</v>
      </c>
      <c r="AS278" s="52">
        <v>96607.0</v>
      </c>
      <c r="AT278" s="52">
        <v>2292.0</v>
      </c>
      <c r="AU278" s="52">
        <v>95180.0</v>
      </c>
      <c r="AV278" s="52">
        <v>1586.0</v>
      </c>
      <c r="AW278" s="55">
        <v>1347.28</v>
      </c>
      <c r="AX278" s="55">
        <v>1492.0</v>
      </c>
      <c r="AY278" s="55">
        <v>115.0</v>
      </c>
      <c r="AZ278" s="55">
        <v>291.0</v>
      </c>
      <c r="BA278" s="55">
        <v>1154.67</v>
      </c>
      <c r="BB278" s="55">
        <v>4399.95</v>
      </c>
      <c r="BC278" s="55">
        <v>659.99</v>
      </c>
      <c r="BD278" s="55">
        <v>5059.94</v>
      </c>
      <c r="BE278" s="54">
        <v>45748.0</v>
      </c>
      <c r="BF278" s="54">
        <v>45838.0</v>
      </c>
      <c r="BG278" s="52">
        <v>89629.0</v>
      </c>
      <c r="BH278" s="52">
        <v>96607.0</v>
      </c>
      <c r="BI278" s="52">
        <v>6978.0</v>
      </c>
      <c r="BJ278" s="52">
        <v>4500.0</v>
      </c>
      <c r="BK278" s="52">
        <v>2478.0</v>
      </c>
      <c r="BL278" s="55">
        <v>0.57</v>
      </c>
      <c r="BM278" s="55">
        <v>1.32</v>
      </c>
      <c r="BN278" s="55">
        <v>1412.46</v>
      </c>
      <c r="BO278" s="55">
        <v>3270.96</v>
      </c>
      <c r="BP278" s="55">
        <v>4683.42</v>
      </c>
      <c r="BQ278" s="55">
        <v>702.51</v>
      </c>
      <c r="BR278" s="55">
        <v>5385.93</v>
      </c>
      <c r="BS278" s="55">
        <v>0.0</v>
      </c>
      <c r="BT278" s="55">
        <v>0.0</v>
      </c>
      <c r="BU278" s="55">
        <v>0.0</v>
      </c>
      <c r="BV278" s="55">
        <v>0.0</v>
      </c>
      <c r="BW278" s="55">
        <v>0.0</v>
      </c>
      <c r="BX278" s="55">
        <v>0.0</v>
      </c>
      <c r="BY278" s="55">
        <v>7333.15</v>
      </c>
      <c r="BZ278" s="52">
        <v>0.0</v>
      </c>
      <c r="CA278" s="55">
        <v>93.0</v>
      </c>
      <c r="CB278" s="52">
        <v>0.0</v>
      </c>
      <c r="CC278" s="55">
        <v>0.0</v>
      </c>
      <c r="CD278" s="55">
        <v>0.0</v>
      </c>
      <c r="CE278" s="55">
        <v>0.0</v>
      </c>
      <c r="CF278" s="55">
        <v>0.0</v>
      </c>
      <c r="CG278" s="55">
        <v>0.0</v>
      </c>
      <c r="CH278" s="55">
        <v>10445.87</v>
      </c>
      <c r="CI278" s="55">
        <v>1362.5</v>
      </c>
      <c r="CJ278" s="55">
        <v>9083.37</v>
      </c>
      <c r="CK278" s="55">
        <v>3.96</v>
      </c>
      <c r="CL278" s="52">
        <v>0.0</v>
      </c>
      <c r="CM278" s="52">
        <v>0.0</v>
      </c>
      <c r="CN278" s="52">
        <v>0.0</v>
      </c>
      <c r="CO278" s="52">
        <v>100.0</v>
      </c>
      <c r="CP278" s="54"/>
      <c r="CQ278" s="52">
        <v>0.0</v>
      </c>
      <c r="CR278" s="52">
        <v>0.0</v>
      </c>
      <c r="CS278" s="52">
        <v>0.0</v>
      </c>
      <c r="CT278" s="52">
        <v>5180.0</v>
      </c>
      <c r="CU278" s="54">
        <v>45930.0</v>
      </c>
      <c r="CV278" s="54">
        <v>45930.0</v>
      </c>
      <c r="CW278" s="52">
        <v>100315.0</v>
      </c>
      <c r="CX278" s="52" t="s">
        <v>122</v>
      </c>
      <c r="CY278" s="52" t="s">
        <v>123</v>
      </c>
      <c r="CZ278" s="55">
        <v>16897.17</v>
      </c>
      <c r="DA278" s="55">
        <v>42841.54</v>
      </c>
      <c r="DB278" s="55">
        <v>-12851.65</v>
      </c>
      <c r="DC278" s="55">
        <v>0.49</v>
      </c>
      <c r="DD278" s="55">
        <v>0.0</v>
      </c>
      <c r="DE278" s="55">
        <v>0.0</v>
      </c>
      <c r="DF278" s="52"/>
    </row>
    <row r="279" ht="13.5" customHeight="1">
      <c r="A279" s="52" t="s">
        <v>144</v>
      </c>
      <c r="B279" s="53">
        <v>44105.0</v>
      </c>
      <c r="C279" s="52" t="s">
        <v>136</v>
      </c>
      <c r="D279" s="52" t="s">
        <v>125</v>
      </c>
      <c r="E279" s="52" t="s">
        <v>126</v>
      </c>
      <c r="F279" s="52" t="s">
        <v>112</v>
      </c>
      <c r="G279" s="52" t="s">
        <v>113</v>
      </c>
      <c r="H279" s="52" t="s">
        <v>114</v>
      </c>
      <c r="I279" s="54">
        <v>44110.0</v>
      </c>
      <c r="J279" s="54">
        <v>44111.0</v>
      </c>
      <c r="K279" s="52">
        <f t="shared" si="1"/>
        <v>1</v>
      </c>
      <c r="L279" s="52">
        <v>1.0</v>
      </c>
      <c r="M279" s="52">
        <f t="shared" si="2"/>
        <v>0</v>
      </c>
      <c r="N279" s="54">
        <v>44124.0</v>
      </c>
      <c r="O279" s="54">
        <v>44247.0</v>
      </c>
      <c r="P279" s="52">
        <f t="shared" si="3"/>
        <v>123</v>
      </c>
      <c r="Q279" s="52">
        <v>90.0</v>
      </c>
      <c r="R279" s="52">
        <f t="shared" si="4"/>
        <v>33</v>
      </c>
      <c r="S279" s="52" t="s">
        <v>769</v>
      </c>
      <c r="T279" s="52" t="s">
        <v>770</v>
      </c>
      <c r="U279" s="52" t="s">
        <v>117</v>
      </c>
      <c r="V279" s="52" t="s">
        <v>118</v>
      </c>
      <c r="W279" s="52" t="s">
        <v>119</v>
      </c>
      <c r="X279" s="52" t="s">
        <v>754</v>
      </c>
      <c r="Y279" s="52">
        <v>2020.0</v>
      </c>
      <c r="Z279" s="52" t="s">
        <v>135</v>
      </c>
      <c r="AA279" s="52">
        <v>1498.0</v>
      </c>
      <c r="AB279" s="52">
        <v>16.0</v>
      </c>
      <c r="AC279" s="52">
        <v>4.0</v>
      </c>
      <c r="AD279" s="55">
        <v>216695.65</v>
      </c>
      <c r="AE279" s="55">
        <v>68702.45</v>
      </c>
      <c r="AF279" s="56">
        <v>0.32</v>
      </c>
      <c r="AG279" s="55">
        <v>22953.88</v>
      </c>
      <c r="AH279" s="55">
        <v>5356.85</v>
      </c>
      <c r="AI279" s="52">
        <v>7.75</v>
      </c>
      <c r="AJ279" s="55">
        <v>91012.0</v>
      </c>
      <c r="AK279" s="52">
        <v>42.0</v>
      </c>
      <c r="AL279" s="54">
        <v>44013.0</v>
      </c>
      <c r="AM279" s="54">
        <v>46073.0</v>
      </c>
      <c r="AN279" s="52">
        <v>60.0</v>
      </c>
      <c r="AO279" s="52">
        <v>1500.0</v>
      </c>
      <c r="AP279" s="52">
        <v>90000.0</v>
      </c>
      <c r="AQ279" s="54">
        <v>46173.0</v>
      </c>
      <c r="AR279" s="52">
        <v>27905.0</v>
      </c>
      <c r="AS279" s="52">
        <v>28365.0</v>
      </c>
      <c r="AT279" s="52">
        <v>460.0</v>
      </c>
      <c r="AU279" s="52">
        <v>26913.0</v>
      </c>
      <c r="AV279" s="52">
        <v>449.0</v>
      </c>
      <c r="AW279" s="55">
        <v>3007.67</v>
      </c>
      <c r="AX279" s="55">
        <v>570.74</v>
      </c>
      <c r="AY279" s="55">
        <v>45.1</v>
      </c>
      <c r="AZ279" s="55">
        <v>291.0</v>
      </c>
      <c r="BA279" s="55">
        <v>1158.77</v>
      </c>
      <c r="BB279" s="55">
        <v>5073.28</v>
      </c>
      <c r="BC279" s="55">
        <v>760.99</v>
      </c>
      <c r="BD279" s="55">
        <v>5834.27</v>
      </c>
      <c r="BE279" s="54">
        <v>45748.0</v>
      </c>
      <c r="BF279" s="54">
        <v>45838.0</v>
      </c>
      <c r="BG279" s="52">
        <v>26250.0</v>
      </c>
      <c r="BH279" s="52">
        <v>28365.0</v>
      </c>
      <c r="BI279" s="52">
        <v>2115.0</v>
      </c>
      <c r="BJ279" s="52">
        <v>4500.0</v>
      </c>
      <c r="BK279" s="52">
        <v>-2385.0</v>
      </c>
      <c r="BL279" s="55">
        <v>0.44</v>
      </c>
      <c r="BM279" s="55">
        <v>1.77</v>
      </c>
      <c r="BN279" s="55">
        <v>0.0</v>
      </c>
      <c r="BO279" s="55">
        <v>0.0</v>
      </c>
      <c r="BP279" s="55">
        <v>0.0</v>
      </c>
      <c r="BQ279" s="55">
        <v>-135.95</v>
      </c>
      <c r="BR279" s="55">
        <v>0.0</v>
      </c>
      <c r="BS279" s="55">
        <v>0.0</v>
      </c>
      <c r="BT279" s="55">
        <v>0.0</v>
      </c>
      <c r="BU279" s="55">
        <v>0.0</v>
      </c>
      <c r="BV279" s="55">
        <v>0.0</v>
      </c>
      <c r="BW279" s="55">
        <v>0.0</v>
      </c>
      <c r="BX279" s="55">
        <v>0.0</v>
      </c>
      <c r="BY279" s="55">
        <v>0.0</v>
      </c>
      <c r="BZ279" s="52">
        <v>0.0</v>
      </c>
      <c r="CA279" s="55">
        <v>0.0</v>
      </c>
      <c r="CB279" s="52">
        <v>0.0</v>
      </c>
      <c r="CC279" s="55">
        <v>0.0</v>
      </c>
      <c r="CD279" s="55">
        <v>0.0</v>
      </c>
      <c r="CE279" s="55">
        <v>0.0</v>
      </c>
      <c r="CF279" s="55">
        <v>0.0</v>
      </c>
      <c r="CG279" s="55">
        <v>0.0</v>
      </c>
      <c r="CH279" s="55">
        <v>4792.02</v>
      </c>
      <c r="CI279" s="55">
        <v>625.04</v>
      </c>
      <c r="CJ279" s="55">
        <v>4166.98</v>
      </c>
      <c r="CK279" s="55">
        <v>9.06</v>
      </c>
      <c r="CL279" s="52">
        <v>0.0</v>
      </c>
      <c r="CM279" s="52">
        <v>0.0</v>
      </c>
      <c r="CN279" s="52">
        <v>0.0</v>
      </c>
      <c r="CO279" s="52">
        <v>100.0</v>
      </c>
      <c r="CP279" s="54"/>
      <c r="CQ279" s="52">
        <v>0.0</v>
      </c>
      <c r="CR279" s="52">
        <v>0.0</v>
      </c>
      <c r="CS279" s="52">
        <v>0.0</v>
      </c>
      <c r="CT279" s="52">
        <v>-63087.0</v>
      </c>
      <c r="CU279" s="54">
        <v>45838.0</v>
      </c>
      <c r="CV279" s="54">
        <v>45838.0</v>
      </c>
      <c r="CW279" s="52">
        <v>91452.0</v>
      </c>
      <c r="CX279" s="52" t="s">
        <v>122</v>
      </c>
      <c r="CY279" s="52" t="s">
        <v>123</v>
      </c>
      <c r="CZ279" s="55">
        <v>0.0</v>
      </c>
      <c r="DA279" s="55">
        <v>0.0</v>
      </c>
      <c r="DB279" s="55">
        <v>-22109.53</v>
      </c>
      <c r="DC279" s="55">
        <v>0.38</v>
      </c>
      <c r="DD279" s="55">
        <v>-906.3</v>
      </c>
      <c r="DE279" s="55">
        <v>-1042.25</v>
      </c>
      <c r="DF279" s="52"/>
    </row>
    <row r="280" ht="13.5" customHeight="1">
      <c r="A280" s="52" t="s">
        <v>157</v>
      </c>
      <c r="B280" s="53">
        <v>44105.0</v>
      </c>
      <c r="C280" s="52" t="s">
        <v>109</v>
      </c>
      <c r="D280" s="52" t="s">
        <v>110</v>
      </c>
      <c r="E280" s="52" t="s">
        <v>111</v>
      </c>
      <c r="F280" s="52" t="s">
        <v>112</v>
      </c>
      <c r="G280" s="52" t="s">
        <v>113</v>
      </c>
      <c r="H280" s="52" t="s">
        <v>129</v>
      </c>
      <c r="I280" s="54">
        <v>44111.0</v>
      </c>
      <c r="J280" s="54">
        <v>44112.0</v>
      </c>
      <c r="K280" s="52">
        <f t="shared" si="1"/>
        <v>1</v>
      </c>
      <c r="L280" s="52">
        <v>1.0</v>
      </c>
      <c r="M280" s="52">
        <f t="shared" si="2"/>
        <v>0</v>
      </c>
      <c r="N280" s="54">
        <v>44125.0</v>
      </c>
      <c r="O280" s="54">
        <v>44135.0</v>
      </c>
      <c r="P280" s="52">
        <f t="shared" si="3"/>
        <v>10</v>
      </c>
      <c r="Q280" s="52">
        <v>90.0</v>
      </c>
      <c r="R280" s="52">
        <f t="shared" si="4"/>
        <v>-80</v>
      </c>
      <c r="S280" s="52" t="s">
        <v>771</v>
      </c>
      <c r="T280" s="52" t="s">
        <v>772</v>
      </c>
      <c r="U280" s="52" t="s">
        <v>117</v>
      </c>
      <c r="V280" s="52" t="s">
        <v>190</v>
      </c>
      <c r="W280" s="52" t="s">
        <v>199</v>
      </c>
      <c r="X280" s="52" t="s">
        <v>773</v>
      </c>
      <c r="Y280" s="52">
        <v>2020.0</v>
      </c>
      <c r="Z280" s="52" t="s">
        <v>121</v>
      </c>
      <c r="AA280" s="52">
        <v>1498.0</v>
      </c>
      <c r="AB280" s="52">
        <v>16.0</v>
      </c>
      <c r="AC280" s="52">
        <v>0.0</v>
      </c>
      <c r="AD280" s="55">
        <v>175913.0</v>
      </c>
      <c r="AE280" s="55">
        <v>18493.0</v>
      </c>
      <c r="AF280" s="56">
        <v>0.11</v>
      </c>
      <c r="AG280" s="55">
        <v>8373.85</v>
      </c>
      <c r="AH280" s="55">
        <v>4623.5</v>
      </c>
      <c r="AI280" s="52">
        <v>7.75</v>
      </c>
      <c r="AJ280" s="55">
        <v>91475.0</v>
      </c>
      <c r="AK280" s="52">
        <v>52.0</v>
      </c>
      <c r="AL280" s="54">
        <v>44013.0</v>
      </c>
      <c r="AM280" s="54">
        <v>45961.0</v>
      </c>
      <c r="AN280" s="52">
        <v>60.0</v>
      </c>
      <c r="AO280" s="52">
        <v>1500.0</v>
      </c>
      <c r="AP280" s="52">
        <v>90000.0</v>
      </c>
      <c r="AQ280" s="54">
        <v>46173.0</v>
      </c>
      <c r="AR280" s="52">
        <v>19883.0</v>
      </c>
      <c r="AS280" s="52">
        <v>20341.0</v>
      </c>
      <c r="AT280" s="52">
        <v>458.0</v>
      </c>
      <c r="AU280" s="52">
        <v>18893.0</v>
      </c>
      <c r="AV280" s="52">
        <v>315.0</v>
      </c>
      <c r="AW280" s="55">
        <v>2882.88</v>
      </c>
      <c r="AX280" s="55">
        <v>741.99</v>
      </c>
      <c r="AY280" s="55">
        <v>38.5</v>
      </c>
      <c r="AZ280" s="55">
        <v>291.0</v>
      </c>
      <c r="BA280" s="55">
        <v>1163.26</v>
      </c>
      <c r="BB280" s="55">
        <v>5117.63</v>
      </c>
      <c r="BC280" s="55">
        <v>767.64</v>
      </c>
      <c r="BD280" s="55">
        <v>5885.27</v>
      </c>
      <c r="BE280" s="54">
        <v>45748.0</v>
      </c>
      <c r="BF280" s="54">
        <v>45838.0</v>
      </c>
      <c r="BG280" s="52">
        <v>18357.0</v>
      </c>
      <c r="BH280" s="52">
        <v>20341.0</v>
      </c>
      <c r="BI280" s="52">
        <v>1984.0</v>
      </c>
      <c r="BJ280" s="52">
        <v>4500.0</v>
      </c>
      <c r="BK280" s="52">
        <v>-2516.0</v>
      </c>
      <c r="BL280" s="55">
        <v>0.57</v>
      </c>
      <c r="BM280" s="55">
        <v>1.19</v>
      </c>
      <c r="BN280" s="55">
        <v>0.0</v>
      </c>
      <c r="BO280" s="55">
        <v>0.0</v>
      </c>
      <c r="BP280" s="55">
        <v>0.0</v>
      </c>
      <c r="BQ280" s="55">
        <v>-188.7</v>
      </c>
      <c r="BR280" s="55">
        <v>0.0</v>
      </c>
      <c r="BS280" s="55">
        <v>0.0</v>
      </c>
      <c r="BT280" s="55">
        <v>0.0</v>
      </c>
      <c r="BU280" s="55">
        <v>0.0</v>
      </c>
      <c r="BV280" s="55">
        <v>0.0</v>
      </c>
      <c r="BW280" s="55">
        <v>0.0</v>
      </c>
      <c r="BX280" s="55">
        <v>0.0</v>
      </c>
      <c r="BY280" s="55">
        <v>1028.35</v>
      </c>
      <c r="BZ280" s="52">
        <v>0.0</v>
      </c>
      <c r="CA280" s="55">
        <v>0.0</v>
      </c>
      <c r="CB280" s="52">
        <v>0.0</v>
      </c>
      <c r="CC280" s="55">
        <v>0.0</v>
      </c>
      <c r="CD280" s="55">
        <v>0.0</v>
      </c>
      <c r="CE280" s="55">
        <v>0.0</v>
      </c>
      <c r="CF280" s="55">
        <v>0.0</v>
      </c>
      <c r="CG280" s="55">
        <v>0.0</v>
      </c>
      <c r="CH280" s="55">
        <v>4438.57</v>
      </c>
      <c r="CI280" s="55">
        <v>578.94</v>
      </c>
      <c r="CJ280" s="55">
        <v>3859.63</v>
      </c>
      <c r="CK280" s="55">
        <v>8.43</v>
      </c>
      <c r="CL280" s="52">
        <v>0.0</v>
      </c>
      <c r="CM280" s="52">
        <v>0.0</v>
      </c>
      <c r="CN280" s="52">
        <v>0.0</v>
      </c>
      <c r="CO280" s="52">
        <v>100.0</v>
      </c>
      <c r="CP280" s="54"/>
      <c r="CQ280" s="52">
        <v>0.0</v>
      </c>
      <c r="CR280" s="52">
        <v>0.0</v>
      </c>
      <c r="CS280" s="52">
        <v>0.0</v>
      </c>
      <c r="CT280" s="52">
        <v>-71107.0</v>
      </c>
      <c r="CU280" s="54">
        <v>45838.0</v>
      </c>
      <c r="CV280" s="54">
        <v>45838.0</v>
      </c>
      <c r="CW280" s="52">
        <v>91448.0</v>
      </c>
      <c r="CX280" s="52" t="s">
        <v>122</v>
      </c>
      <c r="CY280" s="52" t="s">
        <v>123</v>
      </c>
      <c r="CZ280" s="55">
        <v>8459.94</v>
      </c>
      <c r="DA280" s="55">
        <v>17661.98</v>
      </c>
      <c r="DB280" s="55">
        <v>-40775.98</v>
      </c>
      <c r="DC280" s="55">
        <v>0.5</v>
      </c>
      <c r="DD280" s="55">
        <v>-1258.0</v>
      </c>
      <c r="DE280" s="55">
        <v>-1446.7</v>
      </c>
      <c r="DF280" s="52"/>
    </row>
    <row r="281" ht="13.5" customHeight="1">
      <c r="A281" s="52" t="s">
        <v>157</v>
      </c>
      <c r="B281" s="53">
        <v>44105.0</v>
      </c>
      <c r="C281" s="52" t="s">
        <v>124</v>
      </c>
      <c r="D281" s="52" t="s">
        <v>125</v>
      </c>
      <c r="E281" s="52" t="s">
        <v>126</v>
      </c>
      <c r="F281" s="52" t="s">
        <v>112</v>
      </c>
      <c r="G281" s="52" t="s">
        <v>113</v>
      </c>
      <c r="H281" s="52" t="s">
        <v>141</v>
      </c>
      <c r="I281" s="54">
        <v>44112.0</v>
      </c>
      <c r="J281" s="54">
        <v>44113.0</v>
      </c>
      <c r="K281" s="52">
        <f t="shared" si="1"/>
        <v>1</v>
      </c>
      <c r="L281" s="52">
        <v>1.0</v>
      </c>
      <c r="M281" s="52">
        <f t="shared" si="2"/>
        <v>0</v>
      </c>
      <c r="N281" s="54">
        <v>44126.0</v>
      </c>
      <c r="O281" s="54">
        <v>44136.0</v>
      </c>
      <c r="P281" s="52">
        <f t="shared" si="3"/>
        <v>10</v>
      </c>
      <c r="Q281" s="52">
        <v>90.0</v>
      </c>
      <c r="R281" s="52">
        <f t="shared" si="4"/>
        <v>-80</v>
      </c>
      <c r="S281" s="52" t="s">
        <v>774</v>
      </c>
      <c r="T281" s="52" t="s">
        <v>775</v>
      </c>
      <c r="U281" s="52" t="s">
        <v>117</v>
      </c>
      <c r="V281" s="52" t="s">
        <v>132</v>
      </c>
      <c r="W281" s="52" t="s">
        <v>133</v>
      </c>
      <c r="X281" s="52" t="s">
        <v>164</v>
      </c>
      <c r="Y281" s="52">
        <v>2020.0</v>
      </c>
      <c r="Z281" s="52" t="s">
        <v>135</v>
      </c>
      <c r="AA281" s="52">
        <v>2498.0</v>
      </c>
      <c r="AB281" s="52">
        <v>16.0</v>
      </c>
      <c r="AC281" s="52">
        <v>0.0</v>
      </c>
      <c r="AD281" s="55">
        <v>291043.48</v>
      </c>
      <c r="AE281" s="55">
        <v>51971.57</v>
      </c>
      <c r="AF281" s="56">
        <v>0.18</v>
      </c>
      <c r="AG281" s="55">
        <v>23351.99</v>
      </c>
      <c r="AH281" s="55">
        <v>4697.5</v>
      </c>
      <c r="AI281" s="52">
        <v>7.75</v>
      </c>
      <c r="AJ281" s="55">
        <v>130970.0</v>
      </c>
      <c r="AK281" s="52">
        <v>98.39</v>
      </c>
      <c r="AL281" s="54">
        <v>44013.0</v>
      </c>
      <c r="AM281" s="54">
        <v>45962.0</v>
      </c>
      <c r="AN281" s="52">
        <v>60.0</v>
      </c>
      <c r="AO281" s="52">
        <v>1400.0</v>
      </c>
      <c r="AP281" s="52">
        <v>32532.0</v>
      </c>
      <c r="AQ281" s="54">
        <v>46173.0</v>
      </c>
      <c r="AR281" s="52">
        <v>28372.0</v>
      </c>
      <c r="AS281" s="52">
        <v>29950.0</v>
      </c>
      <c r="AT281" s="52">
        <v>1578.0</v>
      </c>
      <c r="AU281" s="52">
        <v>28510.0</v>
      </c>
      <c r="AV281" s="52">
        <v>475.0</v>
      </c>
      <c r="AW281" s="55">
        <v>2370.68</v>
      </c>
      <c r="AX281" s="55">
        <v>1783.0</v>
      </c>
      <c r="AY281" s="55">
        <v>125.0</v>
      </c>
      <c r="AZ281" s="55">
        <v>291.0</v>
      </c>
      <c r="BA281" s="55">
        <v>1234.38</v>
      </c>
      <c r="BB281" s="55">
        <v>5804.06</v>
      </c>
      <c r="BC281" s="55">
        <v>870.61</v>
      </c>
      <c r="BD281" s="55">
        <v>6674.67</v>
      </c>
      <c r="BE281" s="54">
        <v>45748.0</v>
      </c>
      <c r="BF281" s="54">
        <v>45838.0</v>
      </c>
      <c r="BG281" s="52">
        <v>24129.0</v>
      </c>
      <c r="BH281" s="52">
        <v>29950.0</v>
      </c>
      <c r="BI281" s="52">
        <v>5821.0</v>
      </c>
      <c r="BJ281" s="52">
        <v>4200.0</v>
      </c>
      <c r="BK281" s="52">
        <v>1621.0</v>
      </c>
      <c r="BL281" s="55">
        <v>0.44</v>
      </c>
      <c r="BM281" s="55">
        <v>2.84</v>
      </c>
      <c r="BN281" s="55">
        <v>713.24</v>
      </c>
      <c r="BO281" s="55">
        <v>4603.64</v>
      </c>
      <c r="BP281" s="55">
        <v>5316.88</v>
      </c>
      <c r="BQ281" s="55">
        <v>797.53</v>
      </c>
      <c r="BR281" s="55">
        <v>6114.41</v>
      </c>
      <c r="BS281" s="55">
        <v>0.0</v>
      </c>
      <c r="BT281" s="55">
        <v>0.0</v>
      </c>
      <c r="BU281" s="55">
        <v>0.0</v>
      </c>
      <c r="BV281" s="55">
        <v>0.0</v>
      </c>
      <c r="BW281" s="55">
        <v>0.0</v>
      </c>
      <c r="BX281" s="55">
        <v>0.0</v>
      </c>
      <c r="BY281" s="55">
        <v>4311.55</v>
      </c>
      <c r="BZ281" s="52">
        <v>0.0</v>
      </c>
      <c r="CA281" s="55">
        <v>0.0</v>
      </c>
      <c r="CB281" s="52">
        <v>0.0</v>
      </c>
      <c r="CC281" s="55">
        <v>0.0</v>
      </c>
      <c r="CD281" s="55">
        <v>0.0</v>
      </c>
      <c r="CE281" s="55">
        <v>0.0</v>
      </c>
      <c r="CF281" s="55">
        <v>0.0</v>
      </c>
      <c r="CG281" s="55">
        <v>0.0</v>
      </c>
      <c r="CH281" s="55">
        <v>12789.08</v>
      </c>
      <c r="CI281" s="55">
        <v>1668.14</v>
      </c>
      <c r="CJ281" s="55">
        <v>11120.94</v>
      </c>
      <c r="CK281" s="55">
        <v>7.05</v>
      </c>
      <c r="CL281" s="52">
        <v>0.0</v>
      </c>
      <c r="CM281" s="52">
        <v>0.0</v>
      </c>
      <c r="CN281" s="52">
        <v>0.0</v>
      </c>
      <c r="CO281" s="52">
        <v>100.0</v>
      </c>
      <c r="CP281" s="54"/>
      <c r="CQ281" s="52">
        <v>0.0</v>
      </c>
      <c r="CR281" s="52">
        <v>0.0</v>
      </c>
      <c r="CS281" s="52">
        <v>0.0</v>
      </c>
      <c r="CT281" s="52">
        <v>-55490.0</v>
      </c>
      <c r="CU281" s="54">
        <v>45930.0</v>
      </c>
      <c r="CV281" s="54">
        <v>45930.0</v>
      </c>
      <c r="CW281" s="52">
        <v>33972.0</v>
      </c>
      <c r="CX281" s="52" t="s">
        <v>122</v>
      </c>
      <c r="CY281" s="52" t="s">
        <v>123</v>
      </c>
      <c r="CZ281" s="55">
        <v>713.24</v>
      </c>
      <c r="DA281" s="55">
        <v>4603.64</v>
      </c>
      <c r="DB281" s="55">
        <v>-20144.79</v>
      </c>
      <c r="DC281" s="55">
        <v>0.38</v>
      </c>
      <c r="DD281" s="55">
        <v>0.0</v>
      </c>
      <c r="DE281" s="55">
        <v>0.0</v>
      </c>
      <c r="DF281" s="52"/>
    </row>
    <row r="282" ht="13.5" customHeight="1">
      <c r="A282" s="52" t="s">
        <v>157</v>
      </c>
      <c r="B282" s="53">
        <v>44105.0</v>
      </c>
      <c r="C282" s="52" t="s">
        <v>136</v>
      </c>
      <c r="D282" s="52" t="s">
        <v>137</v>
      </c>
      <c r="E282" s="52" t="s">
        <v>138</v>
      </c>
      <c r="F282" s="52" t="s">
        <v>112</v>
      </c>
      <c r="G282" s="52" t="s">
        <v>113</v>
      </c>
      <c r="H282" s="52" t="s">
        <v>114</v>
      </c>
      <c r="I282" s="54">
        <v>44113.0</v>
      </c>
      <c r="J282" s="54">
        <v>44116.0</v>
      </c>
      <c r="K282" s="52">
        <f t="shared" si="1"/>
        <v>3</v>
      </c>
      <c r="L282" s="52">
        <v>1.0</v>
      </c>
      <c r="M282" s="52">
        <f t="shared" si="2"/>
        <v>2</v>
      </c>
      <c r="N282" s="54">
        <v>44127.0</v>
      </c>
      <c r="O282" s="54">
        <v>44137.0</v>
      </c>
      <c r="P282" s="52">
        <f t="shared" si="3"/>
        <v>10</v>
      </c>
      <c r="Q282" s="52">
        <v>90.0</v>
      </c>
      <c r="R282" s="52">
        <f t="shared" si="4"/>
        <v>-80</v>
      </c>
      <c r="S282" s="52" t="s">
        <v>776</v>
      </c>
      <c r="T282" s="52" t="s">
        <v>777</v>
      </c>
      <c r="U282" s="52" t="s">
        <v>117</v>
      </c>
      <c r="V282" s="52" t="s">
        <v>132</v>
      </c>
      <c r="W282" s="52" t="s">
        <v>133</v>
      </c>
      <c r="X282" s="52" t="s">
        <v>164</v>
      </c>
      <c r="Y282" s="52">
        <v>2020.0</v>
      </c>
      <c r="Z282" s="52" t="s">
        <v>135</v>
      </c>
      <c r="AA282" s="52">
        <v>2498.0</v>
      </c>
      <c r="AB282" s="52">
        <v>16.0</v>
      </c>
      <c r="AC282" s="52">
        <v>4.0</v>
      </c>
      <c r="AD282" s="55">
        <v>291043.48</v>
      </c>
      <c r="AE282" s="55">
        <v>51971.57</v>
      </c>
      <c r="AF282" s="56">
        <v>0.18</v>
      </c>
      <c r="AG282" s="55">
        <v>23671.52</v>
      </c>
      <c r="AH282" s="55">
        <v>4697.5</v>
      </c>
      <c r="AI282" s="52">
        <v>7.75</v>
      </c>
      <c r="AJ282" s="55">
        <v>130970.0</v>
      </c>
      <c r="AK282" s="52">
        <v>98.39</v>
      </c>
      <c r="AL282" s="54">
        <v>44013.0</v>
      </c>
      <c r="AM282" s="54">
        <v>45963.0</v>
      </c>
      <c r="AN282" s="52">
        <v>60.0</v>
      </c>
      <c r="AO282" s="52">
        <v>1400.0</v>
      </c>
      <c r="AP282" s="52">
        <v>54829.0</v>
      </c>
      <c r="AQ282" s="54">
        <v>46173.0</v>
      </c>
      <c r="AR282" s="52">
        <v>50668.0</v>
      </c>
      <c r="AS282" s="52">
        <v>51206.0</v>
      </c>
      <c r="AT282" s="52">
        <v>538.0</v>
      </c>
      <c r="AU282" s="52">
        <v>49767.0</v>
      </c>
      <c r="AV282" s="52">
        <v>829.0</v>
      </c>
      <c r="AW282" s="55">
        <v>2425.46</v>
      </c>
      <c r="AX282" s="55">
        <v>1783.0</v>
      </c>
      <c r="AY282" s="55">
        <v>125.0</v>
      </c>
      <c r="AZ282" s="55">
        <v>291.0</v>
      </c>
      <c r="BA282" s="55">
        <v>1234.38</v>
      </c>
      <c r="BB282" s="55">
        <v>5858.84</v>
      </c>
      <c r="BC282" s="55">
        <v>878.83</v>
      </c>
      <c r="BD282" s="55">
        <v>6737.67</v>
      </c>
      <c r="BE282" s="54">
        <v>45748.0</v>
      </c>
      <c r="BF282" s="54">
        <v>45838.0</v>
      </c>
      <c r="BG282" s="52">
        <v>49153.0</v>
      </c>
      <c r="BH282" s="52">
        <v>51206.0</v>
      </c>
      <c r="BI282" s="52">
        <v>2053.0</v>
      </c>
      <c r="BJ282" s="52">
        <v>4200.0</v>
      </c>
      <c r="BK282" s="52">
        <v>-2147.0</v>
      </c>
      <c r="BL282" s="55">
        <v>0.44</v>
      </c>
      <c r="BM282" s="55">
        <v>2.84</v>
      </c>
      <c r="BN282" s="55">
        <v>0.0</v>
      </c>
      <c r="BO282" s="55">
        <v>0.0</v>
      </c>
      <c r="BP282" s="55">
        <v>0.0</v>
      </c>
      <c r="BQ282" s="55">
        <v>-122.38</v>
      </c>
      <c r="BR282" s="55">
        <v>0.0</v>
      </c>
      <c r="BS282" s="55">
        <v>0.0</v>
      </c>
      <c r="BT282" s="55">
        <v>0.0</v>
      </c>
      <c r="BU282" s="55">
        <v>0.0</v>
      </c>
      <c r="BV282" s="55">
        <v>0.0</v>
      </c>
      <c r="BW282" s="55">
        <v>0.0</v>
      </c>
      <c r="BX282" s="55">
        <v>0.0</v>
      </c>
      <c r="BY282" s="55">
        <v>2836.8</v>
      </c>
      <c r="BZ282" s="52">
        <v>0.0</v>
      </c>
      <c r="CA282" s="55">
        <v>0.0</v>
      </c>
      <c r="CB282" s="52">
        <v>0.0</v>
      </c>
      <c r="CC282" s="55">
        <v>0.0</v>
      </c>
      <c r="CD282" s="55">
        <v>0.0</v>
      </c>
      <c r="CE282" s="55">
        <v>0.0</v>
      </c>
      <c r="CF282" s="55">
        <v>0.0</v>
      </c>
      <c r="CG282" s="55">
        <v>0.0</v>
      </c>
      <c r="CH282" s="55">
        <v>5799.43</v>
      </c>
      <c r="CI282" s="55">
        <v>756.45</v>
      </c>
      <c r="CJ282" s="55">
        <v>5042.98</v>
      </c>
      <c r="CK282" s="55">
        <v>9.37</v>
      </c>
      <c r="CL282" s="52">
        <v>0.0</v>
      </c>
      <c r="CM282" s="52">
        <v>0.0</v>
      </c>
      <c r="CN282" s="52">
        <v>0.0</v>
      </c>
      <c r="CO282" s="52">
        <v>100.0</v>
      </c>
      <c r="CP282" s="54"/>
      <c r="CQ282" s="52">
        <v>0.0</v>
      </c>
      <c r="CR282" s="52">
        <v>0.0</v>
      </c>
      <c r="CS282" s="52">
        <v>0.0</v>
      </c>
      <c r="CT282" s="52">
        <v>-34233.0</v>
      </c>
      <c r="CU282" s="54">
        <v>45930.0</v>
      </c>
      <c r="CV282" s="54">
        <v>45930.0</v>
      </c>
      <c r="CW282" s="52">
        <v>56268.0</v>
      </c>
      <c r="CX282" s="52" t="s">
        <v>122</v>
      </c>
      <c r="CY282" s="52" t="s">
        <v>778</v>
      </c>
      <c r="CZ282" s="55">
        <v>0.0</v>
      </c>
      <c r="DA282" s="55">
        <v>0.0</v>
      </c>
      <c r="DB282" s="55">
        <v>-12469.09</v>
      </c>
      <c r="DC282" s="55">
        <v>0.38</v>
      </c>
      <c r="DD282" s="55">
        <v>-815.86</v>
      </c>
      <c r="DE282" s="55">
        <v>-938.24</v>
      </c>
      <c r="DF282" s="52"/>
    </row>
    <row r="283" ht="13.5" customHeight="1">
      <c r="A283" s="52" t="s">
        <v>157</v>
      </c>
      <c r="B283" s="53">
        <v>44105.0</v>
      </c>
      <c r="C283" s="52" t="s">
        <v>109</v>
      </c>
      <c r="D283" s="52" t="s">
        <v>110</v>
      </c>
      <c r="E283" s="52" t="s">
        <v>111</v>
      </c>
      <c r="F283" s="52" t="s">
        <v>112</v>
      </c>
      <c r="G283" s="52" t="s">
        <v>113</v>
      </c>
      <c r="H283" s="52" t="s">
        <v>129</v>
      </c>
      <c r="I283" s="54">
        <v>44114.0</v>
      </c>
      <c r="J283" s="54">
        <v>44115.0</v>
      </c>
      <c r="K283" s="52">
        <f t="shared" si="1"/>
        <v>1</v>
      </c>
      <c r="L283" s="52">
        <v>1.0</v>
      </c>
      <c r="M283" s="52">
        <f t="shared" si="2"/>
        <v>0</v>
      </c>
      <c r="N283" s="54">
        <v>44128.0</v>
      </c>
      <c r="O283" s="54">
        <v>44138.0</v>
      </c>
      <c r="P283" s="52">
        <f t="shared" si="3"/>
        <v>10</v>
      </c>
      <c r="Q283" s="52">
        <v>90.0</v>
      </c>
      <c r="R283" s="52">
        <f t="shared" si="4"/>
        <v>-80</v>
      </c>
      <c r="S283" s="52" t="s">
        <v>779</v>
      </c>
      <c r="T283" s="52" t="s">
        <v>780</v>
      </c>
      <c r="U283" s="52" t="s">
        <v>117</v>
      </c>
      <c r="V283" s="52" t="s">
        <v>147</v>
      </c>
      <c r="W283" s="52" t="s">
        <v>199</v>
      </c>
      <c r="X283" s="52" t="s">
        <v>781</v>
      </c>
      <c r="Y283" s="52">
        <v>2020.0</v>
      </c>
      <c r="Z283" s="52" t="s">
        <v>135</v>
      </c>
      <c r="AA283" s="52">
        <v>2798.0</v>
      </c>
      <c r="AB283" s="52">
        <v>16.0</v>
      </c>
      <c r="AC283" s="52">
        <v>5.0</v>
      </c>
      <c r="AD283" s="55">
        <v>541565.0</v>
      </c>
      <c r="AE283" s="55">
        <v>34086.0</v>
      </c>
      <c r="AF283" s="56">
        <v>0.06</v>
      </c>
      <c r="AG283" s="55">
        <v>34200.72</v>
      </c>
      <c r="AH283" s="55">
        <v>4787.5</v>
      </c>
      <c r="AI283" s="52">
        <v>7.75</v>
      </c>
      <c r="AJ283" s="55">
        <v>227457.0</v>
      </c>
      <c r="AK283" s="52">
        <v>42.0</v>
      </c>
      <c r="AL283" s="54">
        <v>44013.0</v>
      </c>
      <c r="AM283" s="54">
        <v>45964.0</v>
      </c>
      <c r="AN283" s="52">
        <v>60.0</v>
      </c>
      <c r="AO283" s="52">
        <v>3000.0</v>
      </c>
      <c r="AP283" s="52">
        <v>180000.0</v>
      </c>
      <c r="AQ283" s="54">
        <v>46173.0</v>
      </c>
      <c r="AR283" s="52">
        <v>101154.0</v>
      </c>
      <c r="AS283" s="52">
        <v>102993.0</v>
      </c>
      <c r="AT283" s="52">
        <v>1839.0</v>
      </c>
      <c r="AU283" s="52">
        <v>101543.0</v>
      </c>
      <c r="AV283" s="52">
        <v>1692.0</v>
      </c>
      <c r="AW283" s="55">
        <v>8329.39</v>
      </c>
      <c r="AX283" s="55">
        <v>1826.43</v>
      </c>
      <c r="AY283" s="55">
        <v>73.7</v>
      </c>
      <c r="AZ283" s="55">
        <v>291.0</v>
      </c>
      <c r="BA283" s="55">
        <v>1139.2</v>
      </c>
      <c r="BB283" s="55">
        <v>11659.72</v>
      </c>
      <c r="BC283" s="55">
        <v>1748.96</v>
      </c>
      <c r="BD283" s="55">
        <v>13408.68</v>
      </c>
      <c r="BE283" s="54">
        <v>45748.0</v>
      </c>
      <c r="BF283" s="54">
        <v>45838.0</v>
      </c>
      <c r="BG283" s="52">
        <v>100099.0</v>
      </c>
      <c r="BH283" s="52">
        <v>102993.0</v>
      </c>
      <c r="BI283" s="52">
        <v>2894.0</v>
      </c>
      <c r="BJ283" s="52">
        <v>9000.0</v>
      </c>
      <c r="BK283" s="52">
        <v>-6106.0</v>
      </c>
      <c r="BL283" s="55">
        <v>0.79</v>
      </c>
      <c r="BM283" s="55">
        <v>1.08</v>
      </c>
      <c r="BN283" s="55">
        <v>0.0</v>
      </c>
      <c r="BO283" s="55">
        <v>0.0</v>
      </c>
      <c r="BP283" s="55">
        <v>0.0</v>
      </c>
      <c r="BQ283" s="55">
        <v>-549.54</v>
      </c>
      <c r="BR283" s="55">
        <v>0.0</v>
      </c>
      <c r="BS283" s="55">
        <v>0.0</v>
      </c>
      <c r="BT283" s="55">
        <v>0.0</v>
      </c>
      <c r="BU283" s="55">
        <v>0.0</v>
      </c>
      <c r="BV283" s="55">
        <v>0.0</v>
      </c>
      <c r="BW283" s="55">
        <v>0.0</v>
      </c>
      <c r="BX283" s="55">
        <v>0.0</v>
      </c>
      <c r="BY283" s="55">
        <v>5082.58</v>
      </c>
      <c r="BZ283" s="52">
        <v>0.0</v>
      </c>
      <c r="CA283" s="55">
        <v>0.0</v>
      </c>
      <c r="CB283" s="52">
        <v>0.0</v>
      </c>
      <c r="CC283" s="55">
        <v>0.0</v>
      </c>
      <c r="CD283" s="55">
        <v>0.0</v>
      </c>
      <c r="CE283" s="55">
        <v>0.0</v>
      </c>
      <c r="CF283" s="55">
        <v>0.0</v>
      </c>
      <c r="CG283" s="55">
        <v>0.0</v>
      </c>
      <c r="CH283" s="55">
        <v>9195.54</v>
      </c>
      <c r="CI283" s="55">
        <v>1199.42</v>
      </c>
      <c r="CJ283" s="55">
        <v>7996.12</v>
      </c>
      <c r="CK283" s="55">
        <v>4.35</v>
      </c>
      <c r="CL283" s="52">
        <v>0.0</v>
      </c>
      <c r="CM283" s="52">
        <v>0.0</v>
      </c>
      <c r="CN283" s="52">
        <v>0.0</v>
      </c>
      <c r="CO283" s="52">
        <v>100.0</v>
      </c>
      <c r="CP283" s="54"/>
      <c r="CQ283" s="52">
        <v>0.0</v>
      </c>
      <c r="CR283" s="52">
        <v>0.0</v>
      </c>
      <c r="CS283" s="52">
        <v>0.0</v>
      </c>
      <c r="CT283" s="52">
        <v>-78457.0</v>
      </c>
      <c r="CU283" s="54">
        <v>45838.0</v>
      </c>
      <c r="CV283" s="54">
        <v>45838.0</v>
      </c>
      <c r="CW283" s="52">
        <v>181450.0</v>
      </c>
      <c r="CX283" s="52" t="s">
        <v>122</v>
      </c>
      <c r="CY283" s="52" t="s">
        <v>778</v>
      </c>
      <c r="CZ283" s="55">
        <v>0.0</v>
      </c>
      <c r="DA283" s="55">
        <v>0.0</v>
      </c>
      <c r="DB283" s="55">
        <v>-44427.6</v>
      </c>
      <c r="DC283" s="55">
        <v>0.6</v>
      </c>
      <c r="DD283" s="55">
        <v>-3663.6</v>
      </c>
      <c r="DE283" s="55">
        <v>-4213.14</v>
      </c>
      <c r="DF283" s="52"/>
    </row>
    <row r="284" ht="13.5" customHeight="1">
      <c r="A284" s="52" t="s">
        <v>157</v>
      </c>
      <c r="B284" s="53">
        <v>44105.0</v>
      </c>
      <c r="C284" s="52" t="s">
        <v>124</v>
      </c>
      <c r="D284" s="52" t="s">
        <v>125</v>
      </c>
      <c r="E284" s="52" t="s">
        <v>126</v>
      </c>
      <c r="F284" s="52" t="s">
        <v>782</v>
      </c>
      <c r="G284" s="52" t="s">
        <v>113</v>
      </c>
      <c r="H284" s="52" t="s">
        <v>141</v>
      </c>
      <c r="I284" s="54">
        <v>44115.0</v>
      </c>
      <c r="J284" s="54">
        <v>44116.0</v>
      </c>
      <c r="K284" s="52">
        <f t="shared" si="1"/>
        <v>1</v>
      </c>
      <c r="L284" s="52">
        <v>1.0</v>
      </c>
      <c r="M284" s="52">
        <f t="shared" si="2"/>
        <v>0</v>
      </c>
      <c r="N284" s="54">
        <v>44129.0</v>
      </c>
      <c r="O284" s="54">
        <v>44139.0</v>
      </c>
      <c r="P284" s="52">
        <f t="shared" si="3"/>
        <v>10</v>
      </c>
      <c r="Q284" s="52">
        <v>90.0</v>
      </c>
      <c r="R284" s="52">
        <f t="shared" si="4"/>
        <v>-80</v>
      </c>
      <c r="S284" s="52" t="s">
        <v>783</v>
      </c>
      <c r="T284" s="52" t="s">
        <v>784</v>
      </c>
      <c r="U284" s="52" t="s">
        <v>117</v>
      </c>
      <c r="V284" s="52" t="s">
        <v>190</v>
      </c>
      <c r="W284" s="52" t="s">
        <v>119</v>
      </c>
      <c r="X284" s="52" t="s">
        <v>191</v>
      </c>
      <c r="Y284" s="52">
        <v>2020.0</v>
      </c>
      <c r="Z284" s="52" t="s">
        <v>121</v>
      </c>
      <c r="AA284" s="52">
        <v>1498.0</v>
      </c>
      <c r="AB284" s="52">
        <v>16.0</v>
      </c>
      <c r="AC284" s="52">
        <v>4.0</v>
      </c>
      <c r="AD284" s="55">
        <v>190240.52</v>
      </c>
      <c r="AE284" s="55">
        <v>38683.01</v>
      </c>
      <c r="AF284" s="56">
        <v>0.2</v>
      </c>
      <c r="AG284" s="55">
        <v>13986.83</v>
      </c>
      <c r="AH284" s="55">
        <v>4623.5</v>
      </c>
      <c r="AI284" s="52">
        <v>7.75</v>
      </c>
      <c r="AJ284" s="55">
        <v>79901.0</v>
      </c>
      <c r="AK284" s="52">
        <v>42.0</v>
      </c>
      <c r="AL284" s="54">
        <v>44013.0</v>
      </c>
      <c r="AM284" s="54">
        <v>45965.0</v>
      </c>
      <c r="AN284" s="52">
        <v>60.0</v>
      </c>
      <c r="AO284" s="52">
        <v>2500.0</v>
      </c>
      <c r="AP284" s="52">
        <v>150000.0</v>
      </c>
      <c r="AQ284" s="54">
        <v>46173.0</v>
      </c>
      <c r="AR284" s="52">
        <v>97127.0</v>
      </c>
      <c r="AS284" s="52">
        <v>101868.0</v>
      </c>
      <c r="AT284" s="52">
        <v>4741.0</v>
      </c>
      <c r="AU284" s="52">
        <v>100450.0</v>
      </c>
      <c r="AV284" s="52">
        <v>1674.0</v>
      </c>
      <c r="AW284" s="55">
        <v>3024.56</v>
      </c>
      <c r="AX284" s="55">
        <v>1236.64</v>
      </c>
      <c r="AY284" s="55">
        <v>75.0</v>
      </c>
      <c r="AZ284" s="55">
        <v>291.0</v>
      </c>
      <c r="BA284" s="55">
        <v>1154.67</v>
      </c>
      <c r="BB284" s="55">
        <v>5781.87</v>
      </c>
      <c r="BC284" s="55">
        <v>867.28</v>
      </c>
      <c r="BD284" s="55">
        <v>6649.15</v>
      </c>
      <c r="BE284" s="54">
        <v>45748.0</v>
      </c>
      <c r="BF284" s="54">
        <v>45838.0</v>
      </c>
      <c r="BG284" s="52">
        <v>91163.0</v>
      </c>
      <c r="BH284" s="52">
        <v>101868.0</v>
      </c>
      <c r="BI284" s="52">
        <v>10705.0</v>
      </c>
      <c r="BJ284" s="52">
        <v>7500.0</v>
      </c>
      <c r="BK284" s="52">
        <v>3205.0</v>
      </c>
      <c r="BL284" s="55">
        <v>0.58</v>
      </c>
      <c r="BM284" s="55">
        <v>0.93</v>
      </c>
      <c r="BN284" s="55">
        <v>1858.9</v>
      </c>
      <c r="BO284" s="55">
        <v>2980.65</v>
      </c>
      <c r="BP284" s="55">
        <v>4839.55</v>
      </c>
      <c r="BQ284" s="55">
        <v>725.93</v>
      </c>
      <c r="BR284" s="55">
        <v>5565.48</v>
      </c>
      <c r="BS284" s="55">
        <v>0.0</v>
      </c>
      <c r="BT284" s="55">
        <v>0.0</v>
      </c>
      <c r="BU284" s="55">
        <v>0.0</v>
      </c>
      <c r="BV284" s="55">
        <v>0.0</v>
      </c>
      <c r="BW284" s="55">
        <v>0.0</v>
      </c>
      <c r="BX284" s="55">
        <v>0.0</v>
      </c>
      <c r="BY284" s="55">
        <v>7145.68</v>
      </c>
      <c r="BZ284" s="52">
        <v>0.0</v>
      </c>
      <c r="CA284" s="55">
        <v>0.0</v>
      </c>
      <c r="CB284" s="52">
        <v>0.0</v>
      </c>
      <c r="CC284" s="55">
        <v>0.0</v>
      </c>
      <c r="CD284" s="55">
        <v>0.0</v>
      </c>
      <c r="CE284" s="55">
        <v>0.0</v>
      </c>
      <c r="CF284" s="55">
        <v>0.0</v>
      </c>
      <c r="CG284" s="55">
        <v>0.0</v>
      </c>
      <c r="CH284" s="55">
        <v>12214.63</v>
      </c>
      <c r="CI284" s="55">
        <v>1593.21</v>
      </c>
      <c r="CJ284" s="55">
        <v>10621.42</v>
      </c>
      <c r="CK284" s="55">
        <v>2.24</v>
      </c>
      <c r="CL284" s="52">
        <v>0.0</v>
      </c>
      <c r="CM284" s="52">
        <v>0.0</v>
      </c>
      <c r="CN284" s="52">
        <v>0.0</v>
      </c>
      <c r="CO284" s="52">
        <v>100.0</v>
      </c>
      <c r="CP284" s="54"/>
      <c r="CQ284" s="52">
        <v>0.0</v>
      </c>
      <c r="CR284" s="52">
        <v>0.0</v>
      </c>
      <c r="CS284" s="52">
        <v>0.0</v>
      </c>
      <c r="CT284" s="52">
        <v>-49550.0</v>
      </c>
      <c r="CU284" s="54">
        <v>45838.0</v>
      </c>
      <c r="CV284" s="54">
        <v>45838.0</v>
      </c>
      <c r="CW284" s="52">
        <v>151418.0</v>
      </c>
      <c r="CX284" s="52" t="s">
        <v>122</v>
      </c>
      <c r="CY284" s="52" t="s">
        <v>778</v>
      </c>
      <c r="CZ284" s="55">
        <v>2754.77</v>
      </c>
      <c r="DA284" s="55">
        <v>4428.43</v>
      </c>
      <c r="DB284" s="55">
        <v>-24151.07</v>
      </c>
      <c r="DC284" s="55">
        <v>0.5</v>
      </c>
      <c r="DD284" s="55">
        <v>0.0</v>
      </c>
      <c r="DE284" s="55">
        <v>0.0</v>
      </c>
      <c r="DF284" s="52"/>
    </row>
    <row r="285" ht="13.5" customHeight="1">
      <c r="A285" s="52" t="s">
        <v>175</v>
      </c>
      <c r="B285" s="53">
        <v>44105.0</v>
      </c>
      <c r="C285" s="52" t="s">
        <v>136</v>
      </c>
      <c r="D285" s="52" t="s">
        <v>137</v>
      </c>
      <c r="E285" s="52" t="s">
        <v>138</v>
      </c>
      <c r="F285" s="52" t="s">
        <v>112</v>
      </c>
      <c r="G285" s="52" t="s">
        <v>113</v>
      </c>
      <c r="H285" s="52" t="s">
        <v>114</v>
      </c>
      <c r="I285" s="54">
        <v>44116.0</v>
      </c>
      <c r="J285" s="54">
        <v>44117.0</v>
      </c>
      <c r="K285" s="52">
        <f t="shared" si="1"/>
        <v>1</v>
      </c>
      <c r="L285" s="52">
        <v>1.0</v>
      </c>
      <c r="M285" s="52">
        <f t="shared" si="2"/>
        <v>0</v>
      </c>
      <c r="N285" s="54">
        <v>44130.0</v>
      </c>
      <c r="O285" s="54">
        <v>44140.0</v>
      </c>
      <c r="P285" s="52">
        <f t="shared" si="3"/>
        <v>10</v>
      </c>
      <c r="Q285" s="52">
        <v>90.0</v>
      </c>
      <c r="R285" s="52">
        <f t="shared" si="4"/>
        <v>-80</v>
      </c>
      <c r="S285" s="52" t="s">
        <v>785</v>
      </c>
      <c r="T285" s="52" t="s">
        <v>786</v>
      </c>
      <c r="U285" s="52" t="s">
        <v>117</v>
      </c>
      <c r="V285" s="52" t="s">
        <v>190</v>
      </c>
      <c r="W285" s="52" t="s">
        <v>119</v>
      </c>
      <c r="X285" s="52" t="s">
        <v>191</v>
      </c>
      <c r="Y285" s="52">
        <v>2020.0</v>
      </c>
      <c r="Z285" s="52" t="s">
        <v>121</v>
      </c>
      <c r="AA285" s="52">
        <v>1498.0</v>
      </c>
      <c r="AB285" s="52">
        <v>16.0</v>
      </c>
      <c r="AC285" s="52">
        <v>15.99</v>
      </c>
      <c r="AD285" s="55">
        <v>190240.52</v>
      </c>
      <c r="AE285" s="55">
        <v>38683.01</v>
      </c>
      <c r="AF285" s="56">
        <v>0.2</v>
      </c>
      <c r="AG285" s="55">
        <v>20748.35</v>
      </c>
      <c r="AH285" s="55">
        <v>4403.5</v>
      </c>
      <c r="AI285" s="52">
        <v>7.75</v>
      </c>
      <c r="AJ285" s="55">
        <v>80296.02</v>
      </c>
      <c r="AK285" s="52">
        <v>98.44</v>
      </c>
      <c r="AL285" s="54">
        <v>44013.0</v>
      </c>
      <c r="AM285" s="54">
        <v>45966.0</v>
      </c>
      <c r="AN285" s="52">
        <v>60.0</v>
      </c>
      <c r="AO285" s="52">
        <v>2000.0</v>
      </c>
      <c r="AP285" s="52">
        <v>114843.0</v>
      </c>
      <c r="AQ285" s="54">
        <v>46173.0</v>
      </c>
      <c r="AR285" s="52">
        <v>108260.0</v>
      </c>
      <c r="AS285" s="52">
        <v>108260.0</v>
      </c>
      <c r="AT285" s="52">
        <v>1.0</v>
      </c>
      <c r="AU285" s="52">
        <v>106843.0</v>
      </c>
      <c r="AV285" s="52">
        <v>1781.0</v>
      </c>
      <c r="AW285" s="55">
        <v>1710.69</v>
      </c>
      <c r="AX285" s="55">
        <v>1870.0</v>
      </c>
      <c r="AY285" s="55">
        <v>115.0</v>
      </c>
      <c r="AZ285" s="55">
        <v>291.0</v>
      </c>
      <c r="BA285" s="55">
        <v>1154.67</v>
      </c>
      <c r="BB285" s="55">
        <v>5141.36</v>
      </c>
      <c r="BC285" s="55">
        <v>771.2</v>
      </c>
      <c r="BD285" s="55">
        <v>5912.56</v>
      </c>
      <c r="BE285" s="54">
        <v>45748.0</v>
      </c>
      <c r="BF285" s="54">
        <v>45838.0</v>
      </c>
      <c r="BG285" s="52">
        <v>108260.0</v>
      </c>
      <c r="BH285" s="52">
        <v>108260.0</v>
      </c>
      <c r="BI285" s="52">
        <v>0.0</v>
      </c>
      <c r="BJ285" s="52">
        <v>6000.0</v>
      </c>
      <c r="BK285" s="52">
        <v>-6000.0</v>
      </c>
      <c r="BL285" s="55">
        <v>0.57</v>
      </c>
      <c r="BM285" s="55">
        <v>0.88</v>
      </c>
      <c r="BN285" s="55">
        <v>0.0</v>
      </c>
      <c r="BO285" s="55">
        <v>0.0</v>
      </c>
      <c r="BP285" s="55">
        <v>0.0</v>
      </c>
      <c r="BQ285" s="55">
        <v>-504.0</v>
      </c>
      <c r="BR285" s="55">
        <v>0.0</v>
      </c>
      <c r="BS285" s="55">
        <v>0.0</v>
      </c>
      <c r="BT285" s="55">
        <v>0.0</v>
      </c>
      <c r="BU285" s="55">
        <v>0.0</v>
      </c>
      <c r="BV285" s="55">
        <v>0.0</v>
      </c>
      <c r="BW285" s="55">
        <v>0.0</v>
      </c>
      <c r="BX285" s="55">
        <v>0.0</v>
      </c>
      <c r="BY285" s="55">
        <v>0.0</v>
      </c>
      <c r="BZ285" s="52">
        <v>0.0</v>
      </c>
      <c r="CA285" s="55">
        <v>0.0</v>
      </c>
      <c r="CB285" s="52">
        <v>0.0</v>
      </c>
      <c r="CC285" s="55">
        <v>0.0</v>
      </c>
      <c r="CD285" s="55">
        <v>0.0</v>
      </c>
      <c r="CE285" s="55">
        <v>0.0</v>
      </c>
      <c r="CF285" s="55">
        <v>0.0</v>
      </c>
      <c r="CG285" s="55">
        <v>0.0</v>
      </c>
      <c r="CH285" s="55">
        <v>2048.56</v>
      </c>
      <c r="CI285" s="55">
        <v>267.2</v>
      </c>
      <c r="CJ285" s="55">
        <v>1781.36</v>
      </c>
      <c r="CK285" s="55">
        <v>1781.36</v>
      </c>
      <c r="CL285" s="52">
        <v>0.0</v>
      </c>
      <c r="CM285" s="52">
        <v>0.0</v>
      </c>
      <c r="CN285" s="52">
        <v>0.0</v>
      </c>
      <c r="CO285" s="52">
        <v>100.0</v>
      </c>
      <c r="CP285" s="54"/>
      <c r="CQ285" s="52">
        <v>0.0</v>
      </c>
      <c r="CR285" s="52">
        <v>0.0</v>
      </c>
      <c r="CS285" s="52">
        <v>0.0</v>
      </c>
      <c r="CT285" s="52">
        <v>-13157.0</v>
      </c>
      <c r="CU285" s="54">
        <v>45930.0</v>
      </c>
      <c r="CV285" s="54">
        <v>45930.0</v>
      </c>
      <c r="CW285" s="52">
        <v>116260.0</v>
      </c>
      <c r="CX285" s="52" t="s">
        <v>122</v>
      </c>
      <c r="CY285" s="52" t="s">
        <v>778</v>
      </c>
      <c r="CZ285" s="55">
        <v>3569.1</v>
      </c>
      <c r="DA285" s="55">
        <v>7082.98</v>
      </c>
      <c r="DB285" s="55">
        <v>-9534.07</v>
      </c>
      <c r="DC285" s="55">
        <v>0.56</v>
      </c>
      <c r="DD285" s="55">
        <v>-3360.0</v>
      </c>
      <c r="DE285" s="55">
        <v>-3864.0</v>
      </c>
      <c r="DF285" s="52"/>
    </row>
    <row r="286" ht="13.5" customHeight="1">
      <c r="A286" s="52" t="s">
        <v>175</v>
      </c>
      <c r="B286" s="53">
        <v>44105.0</v>
      </c>
      <c r="C286" s="52" t="s">
        <v>109</v>
      </c>
      <c r="D286" s="52" t="s">
        <v>110</v>
      </c>
      <c r="E286" s="52" t="s">
        <v>111</v>
      </c>
      <c r="F286" s="52" t="s">
        <v>112</v>
      </c>
      <c r="G286" s="52" t="s">
        <v>113</v>
      </c>
      <c r="H286" s="52" t="s">
        <v>129</v>
      </c>
      <c r="I286" s="54">
        <v>44117.0</v>
      </c>
      <c r="J286" s="54">
        <v>44118.0</v>
      </c>
      <c r="K286" s="52">
        <f t="shared" si="1"/>
        <v>1</v>
      </c>
      <c r="L286" s="52">
        <v>1.0</v>
      </c>
      <c r="M286" s="52">
        <f t="shared" si="2"/>
        <v>0</v>
      </c>
      <c r="N286" s="54">
        <v>44131.0</v>
      </c>
      <c r="O286" s="54">
        <v>44322.0</v>
      </c>
      <c r="P286" s="52">
        <f t="shared" si="3"/>
        <v>191</v>
      </c>
      <c r="Q286" s="52">
        <v>90.0</v>
      </c>
      <c r="R286" s="52">
        <f t="shared" si="4"/>
        <v>101</v>
      </c>
      <c r="S286" s="52" t="s">
        <v>787</v>
      </c>
      <c r="T286" s="52" t="s">
        <v>788</v>
      </c>
      <c r="U286" s="52" t="s">
        <v>117</v>
      </c>
      <c r="V286" s="52" t="s">
        <v>190</v>
      </c>
      <c r="W286" s="52" t="s">
        <v>119</v>
      </c>
      <c r="X286" s="52" t="s">
        <v>191</v>
      </c>
      <c r="Y286" s="52">
        <v>2020.0</v>
      </c>
      <c r="Z286" s="52" t="s">
        <v>121</v>
      </c>
      <c r="AA286" s="52">
        <v>1498.0</v>
      </c>
      <c r="AB286" s="52">
        <v>16.0</v>
      </c>
      <c r="AC286" s="52">
        <v>15.99</v>
      </c>
      <c r="AD286" s="55">
        <v>190240.52</v>
      </c>
      <c r="AE286" s="55">
        <v>38683.01</v>
      </c>
      <c r="AF286" s="56">
        <v>0.2</v>
      </c>
      <c r="AG286" s="55">
        <v>20097.03</v>
      </c>
      <c r="AH286" s="55">
        <v>4403.5</v>
      </c>
      <c r="AI286" s="52">
        <v>7.75</v>
      </c>
      <c r="AJ286" s="55">
        <v>45401.56</v>
      </c>
      <c r="AK286" s="52">
        <v>97.38</v>
      </c>
      <c r="AL286" s="54">
        <v>44013.0</v>
      </c>
      <c r="AM286" s="54">
        <v>46148.0</v>
      </c>
      <c r="AN286" s="52">
        <v>60.0</v>
      </c>
      <c r="AO286" s="52">
        <v>1400.0</v>
      </c>
      <c r="AP286" s="52">
        <v>87084.0</v>
      </c>
      <c r="AQ286" s="54">
        <v>46173.0</v>
      </c>
      <c r="AR286" s="52">
        <v>82904.0</v>
      </c>
      <c r="AS286" s="52">
        <v>87500.0</v>
      </c>
      <c r="AT286" s="52">
        <v>4596.0</v>
      </c>
      <c r="AU286" s="52">
        <v>86080.0</v>
      </c>
      <c r="AV286" s="52">
        <v>1435.0</v>
      </c>
      <c r="AW286" s="55">
        <v>1468.48</v>
      </c>
      <c r="AX286" s="55">
        <v>1443.0</v>
      </c>
      <c r="AY286" s="55">
        <v>115.0</v>
      </c>
      <c r="AZ286" s="55">
        <v>291.0</v>
      </c>
      <c r="BA286" s="55">
        <v>1295.2</v>
      </c>
      <c r="BB286" s="55">
        <v>4612.68</v>
      </c>
      <c r="BC286" s="55">
        <v>691.9</v>
      </c>
      <c r="BD286" s="55">
        <v>5304.58</v>
      </c>
      <c r="BE286" s="54">
        <v>45748.0</v>
      </c>
      <c r="BF286" s="54">
        <v>45838.0</v>
      </c>
      <c r="BG286" s="52">
        <v>81925.0</v>
      </c>
      <c r="BH286" s="52">
        <v>87500.0</v>
      </c>
      <c r="BI286" s="52">
        <v>5575.0</v>
      </c>
      <c r="BJ286" s="52">
        <v>4200.0</v>
      </c>
      <c r="BK286" s="52">
        <v>1375.0</v>
      </c>
      <c r="BL286" s="55">
        <v>0.57</v>
      </c>
      <c r="BM286" s="55">
        <v>1.4</v>
      </c>
      <c r="BN286" s="55">
        <v>783.75</v>
      </c>
      <c r="BO286" s="55">
        <v>1925.0</v>
      </c>
      <c r="BP286" s="55">
        <v>2708.75</v>
      </c>
      <c r="BQ286" s="55">
        <v>406.31</v>
      </c>
      <c r="BR286" s="55">
        <v>3115.06</v>
      </c>
      <c r="BS286" s="55">
        <v>0.0</v>
      </c>
      <c r="BT286" s="55">
        <v>0.0</v>
      </c>
      <c r="BU286" s="55">
        <v>0.0</v>
      </c>
      <c r="BV286" s="55">
        <v>0.0</v>
      </c>
      <c r="BW286" s="55">
        <v>0.0</v>
      </c>
      <c r="BX286" s="55">
        <v>0.0</v>
      </c>
      <c r="BY286" s="55">
        <v>2317.95</v>
      </c>
      <c r="BZ286" s="52">
        <v>0.0</v>
      </c>
      <c r="CA286" s="55">
        <v>0.0</v>
      </c>
      <c r="CB286" s="52">
        <v>0.0</v>
      </c>
      <c r="CC286" s="55">
        <v>0.0</v>
      </c>
      <c r="CD286" s="55">
        <v>0.0</v>
      </c>
      <c r="CE286" s="55">
        <v>0.0</v>
      </c>
      <c r="CF286" s="55">
        <v>0.0</v>
      </c>
      <c r="CG286" s="55">
        <v>0.0</v>
      </c>
      <c r="CH286" s="55">
        <v>8419.64</v>
      </c>
      <c r="CI286" s="55">
        <v>1098.21</v>
      </c>
      <c r="CJ286" s="55">
        <v>7321.43</v>
      </c>
      <c r="CK286" s="55">
        <v>1.59</v>
      </c>
      <c r="CL286" s="52">
        <v>0.0</v>
      </c>
      <c r="CM286" s="52">
        <v>0.0</v>
      </c>
      <c r="CN286" s="52">
        <v>0.0</v>
      </c>
      <c r="CO286" s="52">
        <v>100.0</v>
      </c>
      <c r="CP286" s="54"/>
      <c r="CQ286" s="52">
        <v>0.0</v>
      </c>
      <c r="CR286" s="52">
        <v>0.0</v>
      </c>
      <c r="CS286" s="52">
        <v>0.0</v>
      </c>
      <c r="CT286" s="52">
        <v>2080.0</v>
      </c>
      <c r="CU286" s="54">
        <v>45930.0</v>
      </c>
      <c r="CV286" s="54">
        <v>45930.0</v>
      </c>
      <c r="CW286" s="52">
        <v>88504.0</v>
      </c>
      <c r="CX286" s="52" t="s">
        <v>122</v>
      </c>
      <c r="CY286" s="52" t="s">
        <v>778</v>
      </c>
      <c r="CZ286" s="55">
        <v>8561.09</v>
      </c>
      <c r="DA286" s="55">
        <v>22979.72</v>
      </c>
      <c r="DB286" s="55">
        <v>-6833.39</v>
      </c>
      <c r="DC286" s="55">
        <v>0.5</v>
      </c>
      <c r="DD286" s="55">
        <v>0.0</v>
      </c>
      <c r="DE286" s="55">
        <v>0.0</v>
      </c>
      <c r="DF286" s="52"/>
    </row>
    <row r="287" ht="13.5" customHeight="1">
      <c r="A287" s="52" t="s">
        <v>175</v>
      </c>
      <c r="B287" s="53">
        <v>44105.0</v>
      </c>
      <c r="C287" s="52" t="s">
        <v>124</v>
      </c>
      <c r="D287" s="52" t="s">
        <v>125</v>
      </c>
      <c r="E287" s="52" t="s">
        <v>126</v>
      </c>
      <c r="F287" s="52" t="s">
        <v>112</v>
      </c>
      <c r="G287" s="52" t="s">
        <v>113</v>
      </c>
      <c r="H287" s="52" t="s">
        <v>141</v>
      </c>
      <c r="I287" s="54">
        <v>44118.0</v>
      </c>
      <c r="J287" s="54">
        <v>44119.0</v>
      </c>
      <c r="K287" s="52">
        <f t="shared" si="1"/>
        <v>1</v>
      </c>
      <c r="L287" s="52">
        <v>1.0</v>
      </c>
      <c r="M287" s="52">
        <f t="shared" si="2"/>
        <v>0</v>
      </c>
      <c r="N287" s="54">
        <v>44132.0</v>
      </c>
      <c r="O287" s="54">
        <v>44142.0</v>
      </c>
      <c r="P287" s="52">
        <f t="shared" si="3"/>
        <v>10</v>
      </c>
      <c r="Q287" s="52">
        <v>90.0</v>
      </c>
      <c r="R287" s="52">
        <f t="shared" si="4"/>
        <v>-80</v>
      </c>
      <c r="S287" s="52" t="s">
        <v>789</v>
      </c>
      <c r="T287" s="52" t="s">
        <v>790</v>
      </c>
      <c r="U287" s="52" t="s">
        <v>117</v>
      </c>
      <c r="V287" s="52" t="s">
        <v>190</v>
      </c>
      <c r="W287" s="52" t="s">
        <v>119</v>
      </c>
      <c r="X287" s="52" t="s">
        <v>191</v>
      </c>
      <c r="Y287" s="52">
        <v>2020.0</v>
      </c>
      <c r="Z287" s="52" t="s">
        <v>121</v>
      </c>
      <c r="AA287" s="52">
        <v>1498.0</v>
      </c>
      <c r="AB287" s="52">
        <v>16.0</v>
      </c>
      <c r="AC287" s="52">
        <v>16.0</v>
      </c>
      <c r="AD287" s="55">
        <v>190240.52</v>
      </c>
      <c r="AE287" s="55">
        <v>38683.01</v>
      </c>
      <c r="AF287" s="56">
        <v>0.2</v>
      </c>
      <c r="AG287" s="55">
        <v>20658.37</v>
      </c>
      <c r="AH287" s="55">
        <v>4403.5</v>
      </c>
      <c r="AI287" s="52">
        <v>7.75</v>
      </c>
      <c r="AJ287" s="55">
        <v>0.0</v>
      </c>
      <c r="AK287" s="52">
        <v>0.0</v>
      </c>
      <c r="AL287" s="54">
        <v>44013.0</v>
      </c>
      <c r="AM287" s="54">
        <v>45968.0</v>
      </c>
      <c r="AN287" s="52">
        <v>60.0</v>
      </c>
      <c r="AO287" s="52">
        <v>2000.0</v>
      </c>
      <c r="AP287" s="52">
        <v>112872.0</v>
      </c>
      <c r="AQ287" s="54">
        <v>46173.0</v>
      </c>
      <c r="AR287" s="52">
        <v>106286.0</v>
      </c>
      <c r="AS287" s="52">
        <v>107785.0</v>
      </c>
      <c r="AT287" s="52">
        <v>1499.0</v>
      </c>
      <c r="AU287" s="52">
        <v>106371.0</v>
      </c>
      <c r="AV287" s="52">
        <v>1773.0</v>
      </c>
      <c r="AW287" s="55">
        <v>1611.38</v>
      </c>
      <c r="AX287" s="55">
        <v>1950.0</v>
      </c>
      <c r="AY287" s="55">
        <v>115.0</v>
      </c>
      <c r="AZ287" s="55">
        <v>291.0</v>
      </c>
      <c r="BA287" s="55">
        <v>1154.67</v>
      </c>
      <c r="BB287" s="55">
        <v>5122.05</v>
      </c>
      <c r="BC287" s="55">
        <v>768.31</v>
      </c>
      <c r="BD287" s="55">
        <v>5890.36</v>
      </c>
      <c r="BE287" s="54">
        <v>45748.0</v>
      </c>
      <c r="BF287" s="54">
        <v>45838.0</v>
      </c>
      <c r="BG287" s="52">
        <v>103620.0</v>
      </c>
      <c r="BH287" s="52">
        <v>107785.0</v>
      </c>
      <c r="BI287" s="52">
        <v>4165.0</v>
      </c>
      <c r="BJ287" s="52">
        <v>6000.0</v>
      </c>
      <c r="BK287" s="52">
        <v>-1835.0</v>
      </c>
      <c r="BL287" s="55">
        <v>0.69</v>
      </c>
      <c r="BM287" s="55">
        <v>1.66</v>
      </c>
      <c r="BN287" s="55">
        <v>0.0</v>
      </c>
      <c r="BO287" s="55">
        <v>0.0</v>
      </c>
      <c r="BP287" s="55">
        <v>0.0</v>
      </c>
      <c r="BQ287" s="55">
        <v>-165.15</v>
      </c>
      <c r="BR287" s="55">
        <v>0.0</v>
      </c>
      <c r="BS287" s="55">
        <v>0.0</v>
      </c>
      <c r="BT287" s="55">
        <v>0.0</v>
      </c>
      <c r="BU287" s="55">
        <v>0.0</v>
      </c>
      <c r="BV287" s="55">
        <v>0.0</v>
      </c>
      <c r="BW287" s="55">
        <v>0.0</v>
      </c>
      <c r="BX287" s="55">
        <v>0.0</v>
      </c>
      <c r="BY287" s="55">
        <v>5691.85</v>
      </c>
      <c r="BZ287" s="52">
        <v>0.0</v>
      </c>
      <c r="CA287" s="55">
        <v>0.0</v>
      </c>
      <c r="CB287" s="52">
        <v>0.0</v>
      </c>
      <c r="CC287" s="55">
        <v>0.0</v>
      </c>
      <c r="CD287" s="55">
        <v>0.0</v>
      </c>
      <c r="CE287" s="55">
        <v>0.0</v>
      </c>
      <c r="CF287" s="55">
        <v>0.0</v>
      </c>
      <c r="CG287" s="55">
        <v>0.0</v>
      </c>
      <c r="CH287" s="55">
        <v>4624.21</v>
      </c>
      <c r="CI287" s="55">
        <v>603.16</v>
      </c>
      <c r="CJ287" s="55">
        <v>4021.05</v>
      </c>
      <c r="CK287" s="55">
        <v>2.68</v>
      </c>
      <c r="CL287" s="52">
        <v>0.0</v>
      </c>
      <c r="CM287" s="52">
        <v>0.0</v>
      </c>
      <c r="CN287" s="52">
        <v>0.0</v>
      </c>
      <c r="CO287" s="52">
        <v>100.0</v>
      </c>
      <c r="CP287" s="54"/>
      <c r="CQ287" s="52">
        <v>0.0</v>
      </c>
      <c r="CR287" s="52">
        <v>0.0</v>
      </c>
      <c r="CS287" s="52">
        <v>0.0</v>
      </c>
      <c r="CT287" s="52">
        <v>20571.0</v>
      </c>
      <c r="CU287" s="54">
        <v>45930.0</v>
      </c>
      <c r="CV287" s="54">
        <v>45930.0</v>
      </c>
      <c r="CW287" s="52">
        <v>114286.0</v>
      </c>
      <c r="CX287" s="52" t="s">
        <v>122</v>
      </c>
      <c r="CY287" s="52" t="s">
        <v>778</v>
      </c>
      <c r="CZ287" s="55">
        <v>20219.58</v>
      </c>
      <c r="DA287" s="55">
        <v>50554.42</v>
      </c>
      <c r="DB287" s="55">
        <v>-8643.17</v>
      </c>
      <c r="DC287" s="55">
        <v>0.6</v>
      </c>
      <c r="DD287" s="55">
        <v>-1101.0</v>
      </c>
      <c r="DE287" s="55">
        <v>-1266.15</v>
      </c>
      <c r="DF287" s="52"/>
    </row>
    <row r="288" ht="13.5" customHeight="1">
      <c r="A288" s="52" t="s">
        <v>175</v>
      </c>
      <c r="B288" s="53">
        <v>44105.0</v>
      </c>
      <c r="C288" s="52" t="s">
        <v>136</v>
      </c>
      <c r="D288" s="52" t="s">
        <v>137</v>
      </c>
      <c r="E288" s="52" t="s">
        <v>138</v>
      </c>
      <c r="F288" s="52" t="s">
        <v>112</v>
      </c>
      <c r="G288" s="52" t="s">
        <v>113</v>
      </c>
      <c r="H288" s="52" t="s">
        <v>114</v>
      </c>
      <c r="I288" s="54">
        <v>44119.0</v>
      </c>
      <c r="J288" s="54">
        <v>44122.0</v>
      </c>
      <c r="K288" s="52">
        <f t="shared" si="1"/>
        <v>3</v>
      </c>
      <c r="L288" s="52">
        <v>1.0</v>
      </c>
      <c r="M288" s="52">
        <f t="shared" si="2"/>
        <v>2</v>
      </c>
      <c r="N288" s="54">
        <v>44133.0</v>
      </c>
      <c r="O288" s="54">
        <v>44143.0</v>
      </c>
      <c r="P288" s="52">
        <f t="shared" si="3"/>
        <v>10</v>
      </c>
      <c r="Q288" s="52">
        <v>90.0</v>
      </c>
      <c r="R288" s="52">
        <f t="shared" si="4"/>
        <v>-80</v>
      </c>
      <c r="S288" s="52" t="s">
        <v>791</v>
      </c>
      <c r="T288" s="52" t="s">
        <v>792</v>
      </c>
      <c r="U288" s="52" t="s">
        <v>117</v>
      </c>
      <c r="V288" s="52" t="s">
        <v>118</v>
      </c>
      <c r="W288" s="52" t="s">
        <v>119</v>
      </c>
      <c r="X288" s="52" t="s">
        <v>120</v>
      </c>
      <c r="Y288" s="52">
        <v>2020.0</v>
      </c>
      <c r="Z288" s="52" t="s">
        <v>121</v>
      </c>
      <c r="AA288" s="52">
        <v>1598.0</v>
      </c>
      <c r="AB288" s="52">
        <v>16.0</v>
      </c>
      <c r="AC288" s="52">
        <v>3.0</v>
      </c>
      <c r="AD288" s="55">
        <v>172956.52</v>
      </c>
      <c r="AE288" s="55">
        <v>19926.2</v>
      </c>
      <c r="AF288" s="56">
        <v>0.12</v>
      </c>
      <c r="AG288" s="55">
        <v>22934.81</v>
      </c>
      <c r="AH288" s="55">
        <v>4475.5</v>
      </c>
      <c r="AI288" s="52">
        <v>7.75</v>
      </c>
      <c r="AJ288" s="55">
        <v>74371.0</v>
      </c>
      <c r="AK288" s="52">
        <v>97.96</v>
      </c>
      <c r="AL288" s="54">
        <v>44013.0</v>
      </c>
      <c r="AM288" s="54">
        <v>45969.0</v>
      </c>
      <c r="AN288" s="52">
        <v>60.0</v>
      </c>
      <c r="AO288" s="52">
        <v>1500.0</v>
      </c>
      <c r="AP288" s="52">
        <v>26631.0</v>
      </c>
      <c r="AQ288" s="54">
        <v>46173.0</v>
      </c>
      <c r="AR288" s="52">
        <v>21064.0</v>
      </c>
      <c r="AS288" s="52">
        <v>21493.0</v>
      </c>
      <c r="AT288" s="52">
        <v>429.0</v>
      </c>
      <c r="AU288" s="52">
        <v>21060.0</v>
      </c>
      <c r="AV288" s="52">
        <v>351.0</v>
      </c>
      <c r="AW288" s="55">
        <v>1773.32</v>
      </c>
      <c r="AX288" s="55">
        <v>1283.0</v>
      </c>
      <c r="AY288" s="55">
        <v>115.0</v>
      </c>
      <c r="AZ288" s="55">
        <v>291.0</v>
      </c>
      <c r="BA288" s="55">
        <v>1139.2</v>
      </c>
      <c r="BB288" s="55">
        <v>4601.52</v>
      </c>
      <c r="BC288" s="55">
        <v>690.23</v>
      </c>
      <c r="BD288" s="55">
        <v>5291.75</v>
      </c>
      <c r="BE288" s="54">
        <v>45748.0</v>
      </c>
      <c r="BF288" s="54">
        <v>45838.0</v>
      </c>
      <c r="BG288" s="52">
        <v>20128.0</v>
      </c>
      <c r="BH288" s="52">
        <v>21493.0</v>
      </c>
      <c r="BI288" s="52">
        <v>1365.0</v>
      </c>
      <c r="BJ288" s="52">
        <v>4500.0</v>
      </c>
      <c r="BK288" s="52">
        <v>-3135.0</v>
      </c>
      <c r="BL288" s="55">
        <v>0.41</v>
      </c>
      <c r="BM288" s="55">
        <v>2.16</v>
      </c>
      <c r="BN288" s="55">
        <v>0.0</v>
      </c>
      <c r="BO288" s="55">
        <v>0.0</v>
      </c>
      <c r="BP288" s="55">
        <v>0.0</v>
      </c>
      <c r="BQ288" s="55">
        <v>-169.29</v>
      </c>
      <c r="BR288" s="55">
        <v>0.0</v>
      </c>
      <c r="BS288" s="55">
        <v>0.0</v>
      </c>
      <c r="BT288" s="55">
        <v>0.0</v>
      </c>
      <c r="BU288" s="55">
        <v>0.0</v>
      </c>
      <c r="BV288" s="55">
        <v>0.0</v>
      </c>
      <c r="BW288" s="55">
        <v>0.0</v>
      </c>
      <c r="BX288" s="55">
        <v>0.0</v>
      </c>
      <c r="BY288" s="55">
        <v>1028.7</v>
      </c>
      <c r="BZ288" s="52">
        <v>0.0</v>
      </c>
      <c r="CA288" s="55">
        <v>0.0</v>
      </c>
      <c r="CB288" s="52">
        <v>0.0</v>
      </c>
      <c r="CC288" s="55">
        <v>0.0</v>
      </c>
      <c r="CD288" s="55">
        <v>0.0</v>
      </c>
      <c r="CE288" s="55">
        <v>0.0</v>
      </c>
      <c r="CF288" s="55">
        <v>0.0</v>
      </c>
      <c r="CG288" s="55">
        <v>0.0</v>
      </c>
      <c r="CH288" s="55">
        <v>3993.86</v>
      </c>
      <c r="CI288" s="55">
        <v>520.94</v>
      </c>
      <c r="CJ288" s="55">
        <v>3472.92</v>
      </c>
      <c r="CK288" s="55">
        <v>8.1</v>
      </c>
      <c r="CL288" s="52">
        <v>0.0</v>
      </c>
      <c r="CM288" s="52">
        <v>0.0</v>
      </c>
      <c r="CN288" s="52">
        <v>0.0</v>
      </c>
      <c r="CO288" s="52">
        <v>100.0</v>
      </c>
      <c r="CP288" s="54"/>
      <c r="CQ288" s="52">
        <v>0.0</v>
      </c>
      <c r="CR288" s="52">
        <v>0.0</v>
      </c>
      <c r="CS288" s="52">
        <v>0.0</v>
      </c>
      <c r="CT288" s="52">
        <v>-68940.0</v>
      </c>
      <c r="CU288" s="54">
        <v>45930.0</v>
      </c>
      <c r="CV288" s="54">
        <v>45930.0</v>
      </c>
      <c r="CW288" s="52">
        <v>27064.0</v>
      </c>
      <c r="CX288" s="52" t="s">
        <v>122</v>
      </c>
      <c r="CY288" s="52" t="s">
        <v>778</v>
      </c>
      <c r="CZ288" s="55">
        <v>0.0</v>
      </c>
      <c r="DA288" s="55">
        <v>0.0</v>
      </c>
      <c r="DB288" s="55">
        <v>-22615.83</v>
      </c>
      <c r="DC288" s="55">
        <v>0.36</v>
      </c>
      <c r="DD288" s="55">
        <v>-1128.6</v>
      </c>
      <c r="DE288" s="55">
        <v>-1297.89</v>
      </c>
      <c r="DF288" s="52"/>
    </row>
    <row r="289" ht="13.5" customHeight="1">
      <c r="A289" s="52" t="s">
        <v>175</v>
      </c>
      <c r="B289" s="53">
        <v>44105.0</v>
      </c>
      <c r="C289" s="52" t="s">
        <v>109</v>
      </c>
      <c r="D289" s="52" t="s">
        <v>110</v>
      </c>
      <c r="E289" s="52" t="s">
        <v>111</v>
      </c>
      <c r="F289" s="52" t="s">
        <v>112</v>
      </c>
      <c r="G289" s="52" t="s">
        <v>113</v>
      </c>
      <c r="H289" s="52" t="s">
        <v>129</v>
      </c>
      <c r="I289" s="54">
        <v>44120.0</v>
      </c>
      <c r="J289" s="54">
        <v>44121.0</v>
      </c>
      <c r="K289" s="52">
        <f t="shared" si="1"/>
        <v>1</v>
      </c>
      <c r="L289" s="52">
        <v>1.0</v>
      </c>
      <c r="M289" s="52">
        <f t="shared" si="2"/>
        <v>0</v>
      </c>
      <c r="N289" s="54">
        <v>44134.0</v>
      </c>
      <c r="O289" s="54">
        <v>44144.0</v>
      </c>
      <c r="P289" s="52">
        <f t="shared" si="3"/>
        <v>10</v>
      </c>
      <c r="Q289" s="52">
        <v>90.0</v>
      </c>
      <c r="R289" s="52">
        <f t="shared" si="4"/>
        <v>-80</v>
      </c>
      <c r="S289" s="52" t="s">
        <v>793</v>
      </c>
      <c r="T289" s="52" t="s">
        <v>794</v>
      </c>
      <c r="U289" s="52" t="s">
        <v>117</v>
      </c>
      <c r="V289" s="52" t="s">
        <v>190</v>
      </c>
      <c r="W289" s="52" t="s">
        <v>119</v>
      </c>
      <c r="X289" s="52" t="s">
        <v>191</v>
      </c>
      <c r="Y289" s="52">
        <v>2020.0</v>
      </c>
      <c r="Z289" s="52" t="s">
        <v>121</v>
      </c>
      <c r="AA289" s="52">
        <v>1498.0</v>
      </c>
      <c r="AB289" s="52">
        <v>16.0</v>
      </c>
      <c r="AC289" s="52">
        <v>15.99</v>
      </c>
      <c r="AD289" s="55">
        <v>190240.52</v>
      </c>
      <c r="AE289" s="55">
        <v>38683.01</v>
      </c>
      <c r="AF289" s="56">
        <v>0.2</v>
      </c>
      <c r="AG289" s="55">
        <v>21219.74</v>
      </c>
      <c r="AH289" s="55">
        <v>4403.5</v>
      </c>
      <c r="AI289" s="52">
        <v>7.75</v>
      </c>
      <c r="AJ289" s="55">
        <v>0.0</v>
      </c>
      <c r="AK289" s="52">
        <v>0.0</v>
      </c>
      <c r="AL289" s="54">
        <v>44013.0</v>
      </c>
      <c r="AM289" s="54">
        <v>45970.0</v>
      </c>
      <c r="AN289" s="52">
        <v>60.0</v>
      </c>
      <c r="AO289" s="52">
        <v>2000.0</v>
      </c>
      <c r="AP289" s="52">
        <v>117605.0</v>
      </c>
      <c r="AQ289" s="54">
        <v>46173.0</v>
      </c>
      <c r="AR289" s="52">
        <v>111016.0</v>
      </c>
      <c r="AS289" s="52">
        <v>111749.0</v>
      </c>
      <c r="AT289" s="52">
        <v>733.0</v>
      </c>
      <c r="AU289" s="52">
        <v>110338.0</v>
      </c>
      <c r="AV289" s="52">
        <v>1839.0</v>
      </c>
      <c r="AW289" s="55">
        <v>1325.78</v>
      </c>
      <c r="AX289" s="55">
        <v>1950.0</v>
      </c>
      <c r="AY289" s="55">
        <v>115.0</v>
      </c>
      <c r="AZ289" s="55">
        <v>291.0</v>
      </c>
      <c r="BA289" s="55">
        <v>1154.67</v>
      </c>
      <c r="BB289" s="55">
        <v>4836.45</v>
      </c>
      <c r="BC289" s="55">
        <v>725.47</v>
      </c>
      <c r="BD289" s="55">
        <v>5561.92</v>
      </c>
      <c r="BE289" s="54">
        <v>45748.0</v>
      </c>
      <c r="BF289" s="54">
        <v>45838.0</v>
      </c>
      <c r="BG289" s="52">
        <v>105878.0</v>
      </c>
      <c r="BH289" s="52">
        <v>111749.0</v>
      </c>
      <c r="BI289" s="52">
        <v>5871.0</v>
      </c>
      <c r="BJ289" s="52">
        <v>6000.0</v>
      </c>
      <c r="BK289" s="52">
        <v>-129.0</v>
      </c>
      <c r="BL289" s="55">
        <v>0.69</v>
      </c>
      <c r="BM289" s="55">
        <v>1.51</v>
      </c>
      <c r="BN289" s="55">
        <v>0.0</v>
      </c>
      <c r="BO289" s="55">
        <v>0.0</v>
      </c>
      <c r="BP289" s="55">
        <v>0.0</v>
      </c>
      <c r="BQ289" s="55">
        <v>0.0</v>
      </c>
      <c r="BR289" s="55">
        <v>0.0</v>
      </c>
      <c r="BS289" s="55">
        <v>0.0</v>
      </c>
      <c r="BT289" s="55">
        <v>0.0</v>
      </c>
      <c r="BU289" s="55">
        <v>0.0</v>
      </c>
      <c r="BV289" s="55">
        <v>0.0</v>
      </c>
      <c r="BW289" s="55">
        <v>0.0</v>
      </c>
      <c r="BX289" s="55">
        <v>0.0</v>
      </c>
      <c r="BY289" s="55">
        <v>1463.45</v>
      </c>
      <c r="BZ289" s="52">
        <v>0.0</v>
      </c>
      <c r="CA289" s="55">
        <v>0.0</v>
      </c>
      <c r="CB289" s="52">
        <v>0.0</v>
      </c>
      <c r="CC289" s="55">
        <v>0.0</v>
      </c>
      <c r="CD289" s="55">
        <v>0.0</v>
      </c>
      <c r="CE289" s="55">
        <v>0.0</v>
      </c>
      <c r="CF289" s="55">
        <v>0.0</v>
      </c>
      <c r="CG289" s="55">
        <v>0.0</v>
      </c>
      <c r="CH289" s="55">
        <v>5561.92</v>
      </c>
      <c r="CI289" s="55">
        <v>725.47</v>
      </c>
      <c r="CJ289" s="55">
        <v>4836.45</v>
      </c>
      <c r="CK289" s="55">
        <v>6.6</v>
      </c>
      <c r="CL289" s="52">
        <v>0.0</v>
      </c>
      <c r="CM289" s="52">
        <v>0.0</v>
      </c>
      <c r="CN289" s="52">
        <v>0.0</v>
      </c>
      <c r="CO289" s="52">
        <v>100.0</v>
      </c>
      <c r="CP289" s="54"/>
      <c r="CQ289" s="52">
        <v>0.0</v>
      </c>
      <c r="CR289" s="52">
        <v>0.0</v>
      </c>
      <c r="CS289" s="52">
        <v>0.0</v>
      </c>
      <c r="CT289" s="52">
        <v>24538.0</v>
      </c>
      <c r="CU289" s="54">
        <v>45930.0</v>
      </c>
      <c r="CV289" s="54">
        <v>45930.0</v>
      </c>
      <c r="CW289" s="52">
        <v>119016.0</v>
      </c>
      <c r="CX289" s="52" t="s">
        <v>122</v>
      </c>
      <c r="CY289" s="52" t="s">
        <v>778</v>
      </c>
      <c r="CZ289" s="55">
        <v>17567.49</v>
      </c>
      <c r="DA289" s="55">
        <v>43016.47</v>
      </c>
      <c r="DB289" s="55">
        <v>-4375.85</v>
      </c>
      <c r="DC289" s="55">
        <v>0.6</v>
      </c>
      <c r="DD289" s="55">
        <v>0.0</v>
      </c>
      <c r="DE289" s="55">
        <v>0.0</v>
      </c>
      <c r="DF289" s="52"/>
    </row>
    <row r="290" ht="13.5" customHeight="1">
      <c r="A290" s="52" t="s">
        <v>175</v>
      </c>
      <c r="B290" s="53">
        <v>44105.0</v>
      </c>
      <c r="C290" s="52" t="s">
        <v>124</v>
      </c>
      <c r="D290" s="52" t="s">
        <v>125</v>
      </c>
      <c r="E290" s="52" t="s">
        <v>126</v>
      </c>
      <c r="F290" s="52" t="s">
        <v>112</v>
      </c>
      <c r="G290" s="52" t="s">
        <v>113</v>
      </c>
      <c r="H290" s="52" t="s">
        <v>141</v>
      </c>
      <c r="I290" s="54">
        <v>44121.0</v>
      </c>
      <c r="J290" s="54">
        <v>44122.0</v>
      </c>
      <c r="K290" s="52">
        <f t="shared" si="1"/>
        <v>1</v>
      </c>
      <c r="L290" s="52">
        <v>1.0</v>
      </c>
      <c r="M290" s="52">
        <f t="shared" si="2"/>
        <v>0</v>
      </c>
      <c r="N290" s="54">
        <v>44135.0</v>
      </c>
      <c r="O290" s="54">
        <v>44145.0</v>
      </c>
      <c r="P290" s="52">
        <f t="shared" si="3"/>
        <v>10</v>
      </c>
      <c r="Q290" s="52">
        <v>90.0</v>
      </c>
      <c r="R290" s="52">
        <f t="shared" si="4"/>
        <v>-80</v>
      </c>
      <c r="S290" s="52" t="s">
        <v>795</v>
      </c>
      <c r="T290" s="52" t="s">
        <v>796</v>
      </c>
      <c r="U290" s="52" t="s">
        <v>117</v>
      </c>
      <c r="V290" s="52" t="s">
        <v>190</v>
      </c>
      <c r="W290" s="52" t="s">
        <v>119</v>
      </c>
      <c r="X290" s="52" t="s">
        <v>191</v>
      </c>
      <c r="Y290" s="52">
        <v>2020.0</v>
      </c>
      <c r="Z290" s="52" t="s">
        <v>121</v>
      </c>
      <c r="AA290" s="52">
        <v>1498.0</v>
      </c>
      <c r="AB290" s="52">
        <v>16.0</v>
      </c>
      <c r="AC290" s="52">
        <v>16.0</v>
      </c>
      <c r="AD290" s="55">
        <v>190240.52</v>
      </c>
      <c r="AE290" s="55">
        <v>38683.01</v>
      </c>
      <c r="AF290" s="56">
        <v>0.2</v>
      </c>
      <c r="AG290" s="55">
        <v>20329.87</v>
      </c>
      <c r="AH290" s="55">
        <v>4403.5</v>
      </c>
      <c r="AI290" s="52">
        <v>7.75</v>
      </c>
      <c r="AJ290" s="55">
        <v>13797.96</v>
      </c>
      <c r="AK290" s="52">
        <v>91.83</v>
      </c>
      <c r="AL290" s="54">
        <v>44013.0</v>
      </c>
      <c r="AM290" s="54">
        <v>45971.0</v>
      </c>
      <c r="AN290" s="52">
        <v>60.0</v>
      </c>
      <c r="AO290" s="52">
        <v>2000.0</v>
      </c>
      <c r="AP290" s="52">
        <v>112771.0</v>
      </c>
      <c r="AQ290" s="54">
        <v>46173.0</v>
      </c>
      <c r="AR290" s="52">
        <v>106217.0</v>
      </c>
      <c r="AS290" s="52">
        <v>107933.0</v>
      </c>
      <c r="AT290" s="52">
        <v>1716.0</v>
      </c>
      <c r="AU290" s="52">
        <v>106487.0</v>
      </c>
      <c r="AV290" s="52">
        <v>1775.0</v>
      </c>
      <c r="AW290" s="55">
        <v>1363.12</v>
      </c>
      <c r="AX290" s="55">
        <v>1850.0</v>
      </c>
      <c r="AY290" s="55">
        <v>115.0</v>
      </c>
      <c r="AZ290" s="55">
        <v>291.0</v>
      </c>
      <c r="BA290" s="55">
        <v>1154.67</v>
      </c>
      <c r="BB290" s="55">
        <v>4773.79</v>
      </c>
      <c r="BC290" s="55">
        <v>716.07</v>
      </c>
      <c r="BD290" s="55">
        <v>5489.86</v>
      </c>
      <c r="BE290" s="54">
        <v>45748.0</v>
      </c>
      <c r="BF290" s="54">
        <v>45838.0</v>
      </c>
      <c r="BG290" s="52">
        <v>100412.0</v>
      </c>
      <c r="BH290" s="52">
        <v>107933.0</v>
      </c>
      <c r="BI290" s="52">
        <v>7521.0</v>
      </c>
      <c r="BJ290" s="52">
        <v>5000.0</v>
      </c>
      <c r="BK290" s="52">
        <v>2521.0</v>
      </c>
      <c r="BL290" s="55">
        <v>0.57</v>
      </c>
      <c r="BM290" s="55">
        <v>1.2</v>
      </c>
      <c r="BN290" s="55">
        <v>1436.97</v>
      </c>
      <c r="BO290" s="55">
        <v>3025.2</v>
      </c>
      <c r="BP290" s="55">
        <v>4462.17</v>
      </c>
      <c r="BQ290" s="55">
        <v>669.33</v>
      </c>
      <c r="BR290" s="55">
        <v>5131.5</v>
      </c>
      <c r="BS290" s="55">
        <v>0.0</v>
      </c>
      <c r="BT290" s="55">
        <v>0.0</v>
      </c>
      <c r="BU290" s="55">
        <v>3045.0</v>
      </c>
      <c r="BV290" s="55">
        <v>0.0</v>
      </c>
      <c r="BW290" s="55">
        <v>0.0</v>
      </c>
      <c r="BX290" s="55">
        <v>0.0</v>
      </c>
      <c r="BY290" s="55">
        <v>8549.1</v>
      </c>
      <c r="BZ290" s="52">
        <v>0.0</v>
      </c>
      <c r="CA290" s="55">
        <v>117.0</v>
      </c>
      <c r="CB290" s="52">
        <v>0.0</v>
      </c>
      <c r="CC290" s="55">
        <v>0.0</v>
      </c>
      <c r="CD290" s="55">
        <v>0.0</v>
      </c>
      <c r="CE290" s="55">
        <v>3045.0</v>
      </c>
      <c r="CF290" s="55">
        <v>456.75</v>
      </c>
      <c r="CG290" s="55">
        <v>3501.75</v>
      </c>
      <c r="CH290" s="55">
        <v>14123.11</v>
      </c>
      <c r="CI290" s="55">
        <v>1842.15</v>
      </c>
      <c r="CJ290" s="55">
        <v>12280.96</v>
      </c>
      <c r="CK290" s="55">
        <v>7.16</v>
      </c>
      <c r="CL290" s="52">
        <v>0.0</v>
      </c>
      <c r="CM290" s="52">
        <v>0.0</v>
      </c>
      <c r="CN290" s="52">
        <v>0.0</v>
      </c>
      <c r="CO290" s="52">
        <v>100.0</v>
      </c>
      <c r="CP290" s="54"/>
      <c r="CQ290" s="52">
        <v>0.0</v>
      </c>
      <c r="CR290" s="52">
        <v>0.0</v>
      </c>
      <c r="CS290" s="52">
        <v>0.0</v>
      </c>
      <c r="CT290" s="52">
        <v>15987.0</v>
      </c>
      <c r="CU290" s="54">
        <v>45930.0</v>
      </c>
      <c r="CV290" s="54">
        <v>45930.0</v>
      </c>
      <c r="CW290" s="52">
        <v>114217.0</v>
      </c>
      <c r="CX290" s="52" t="s">
        <v>122</v>
      </c>
      <c r="CY290" s="52" t="s">
        <v>778</v>
      </c>
      <c r="CZ290" s="55">
        <v>17449.26</v>
      </c>
      <c r="DA290" s="55">
        <v>41835.21</v>
      </c>
      <c r="DB290" s="55">
        <v>-8100.71</v>
      </c>
      <c r="DC290" s="55">
        <v>0.55</v>
      </c>
      <c r="DD290" s="55">
        <v>0.0</v>
      </c>
      <c r="DE290" s="55">
        <v>0.0</v>
      </c>
      <c r="DF290" s="52"/>
    </row>
    <row r="291" ht="13.5" customHeight="1">
      <c r="A291" s="52" t="s">
        <v>175</v>
      </c>
      <c r="B291" s="53">
        <v>44105.0</v>
      </c>
      <c r="C291" s="52" t="s">
        <v>136</v>
      </c>
      <c r="D291" s="52" t="s">
        <v>137</v>
      </c>
      <c r="E291" s="52" t="s">
        <v>138</v>
      </c>
      <c r="F291" s="52" t="s">
        <v>112</v>
      </c>
      <c r="G291" s="52" t="s">
        <v>113</v>
      </c>
      <c r="H291" s="52" t="s">
        <v>114</v>
      </c>
      <c r="I291" s="54">
        <v>44122.0</v>
      </c>
      <c r="J291" s="54">
        <v>44123.0</v>
      </c>
      <c r="K291" s="52">
        <f t="shared" si="1"/>
        <v>1</v>
      </c>
      <c r="L291" s="52">
        <v>1.0</v>
      </c>
      <c r="M291" s="52">
        <f t="shared" si="2"/>
        <v>0</v>
      </c>
      <c r="N291" s="54">
        <v>44105.0</v>
      </c>
      <c r="O291" s="54">
        <v>44146.0</v>
      </c>
      <c r="P291" s="52">
        <f t="shared" si="3"/>
        <v>41</v>
      </c>
      <c r="Q291" s="52">
        <v>90.0</v>
      </c>
      <c r="R291" s="52">
        <f t="shared" si="4"/>
        <v>-49</v>
      </c>
      <c r="S291" s="52" t="s">
        <v>797</v>
      </c>
      <c r="T291" s="52" t="s">
        <v>798</v>
      </c>
      <c r="U291" s="52" t="s">
        <v>117</v>
      </c>
      <c r="V291" s="52" t="s">
        <v>190</v>
      </c>
      <c r="W291" s="52" t="s">
        <v>119</v>
      </c>
      <c r="X291" s="52" t="s">
        <v>191</v>
      </c>
      <c r="Y291" s="52">
        <v>2020.0</v>
      </c>
      <c r="Z291" s="52" t="s">
        <v>121</v>
      </c>
      <c r="AA291" s="52">
        <v>1498.0</v>
      </c>
      <c r="AB291" s="52">
        <v>16.0</v>
      </c>
      <c r="AC291" s="52">
        <v>15.99</v>
      </c>
      <c r="AD291" s="55">
        <v>190240.52</v>
      </c>
      <c r="AE291" s="55">
        <v>38683.01</v>
      </c>
      <c r="AF291" s="56">
        <v>0.2</v>
      </c>
      <c r="AG291" s="55">
        <v>21385.8</v>
      </c>
      <c r="AH291" s="55">
        <v>5303.5</v>
      </c>
      <c r="AI291" s="52">
        <v>7.75</v>
      </c>
      <c r="AJ291" s="55">
        <v>47684.74</v>
      </c>
      <c r="AK291" s="52">
        <v>97.5</v>
      </c>
      <c r="AL291" s="54">
        <v>44013.0</v>
      </c>
      <c r="AM291" s="54">
        <v>45972.0</v>
      </c>
      <c r="AN291" s="52">
        <v>60.0</v>
      </c>
      <c r="AO291" s="52">
        <v>2000.0</v>
      </c>
      <c r="AP291" s="52">
        <v>107239.0</v>
      </c>
      <c r="AQ291" s="54">
        <v>46173.0</v>
      </c>
      <c r="AR291" s="52">
        <v>100653.0</v>
      </c>
      <c r="AS291" s="52">
        <v>103747.0</v>
      </c>
      <c r="AT291" s="52">
        <v>3094.0</v>
      </c>
      <c r="AU291" s="52">
        <v>102333.0</v>
      </c>
      <c r="AV291" s="52">
        <v>1706.0</v>
      </c>
      <c r="AW291" s="55">
        <v>1496.28</v>
      </c>
      <c r="AX291" s="55">
        <v>1739.0</v>
      </c>
      <c r="AY291" s="55">
        <v>115.0</v>
      </c>
      <c r="AZ291" s="55">
        <v>291.0</v>
      </c>
      <c r="BA291" s="55">
        <v>1154.67</v>
      </c>
      <c r="BB291" s="55">
        <v>4795.95</v>
      </c>
      <c r="BC291" s="55">
        <v>719.39</v>
      </c>
      <c r="BD291" s="55">
        <v>5515.34</v>
      </c>
      <c r="BE291" s="54">
        <v>45748.0</v>
      </c>
      <c r="BF291" s="54">
        <v>45838.0</v>
      </c>
      <c r="BG291" s="52">
        <v>96213.0</v>
      </c>
      <c r="BH291" s="52">
        <v>103747.0</v>
      </c>
      <c r="BI291" s="52">
        <v>7534.0</v>
      </c>
      <c r="BJ291" s="52">
        <v>5000.0</v>
      </c>
      <c r="BK291" s="52">
        <v>2534.0</v>
      </c>
      <c r="BL291" s="55">
        <v>0.57</v>
      </c>
      <c r="BM291" s="55">
        <v>1.1</v>
      </c>
      <c r="BN291" s="55">
        <v>1444.38</v>
      </c>
      <c r="BO291" s="55">
        <v>2787.4</v>
      </c>
      <c r="BP291" s="55">
        <v>4231.78</v>
      </c>
      <c r="BQ291" s="55">
        <v>634.77</v>
      </c>
      <c r="BR291" s="55">
        <v>4866.55</v>
      </c>
      <c r="BS291" s="55">
        <v>0.0</v>
      </c>
      <c r="BT291" s="55">
        <v>0.0</v>
      </c>
      <c r="BU291" s="55">
        <v>0.0</v>
      </c>
      <c r="BV291" s="55">
        <v>0.0</v>
      </c>
      <c r="BW291" s="55">
        <v>0.0</v>
      </c>
      <c r="BX291" s="55">
        <v>0.0</v>
      </c>
      <c r="BY291" s="55">
        <v>10963.5</v>
      </c>
      <c r="BZ291" s="52">
        <v>0.0</v>
      </c>
      <c r="CA291" s="55">
        <v>0.0</v>
      </c>
      <c r="CB291" s="52">
        <v>0.0</v>
      </c>
      <c r="CC291" s="55">
        <v>0.0</v>
      </c>
      <c r="CD291" s="55">
        <v>0.0</v>
      </c>
      <c r="CE291" s="55">
        <v>0.0</v>
      </c>
      <c r="CF291" s="55">
        <v>0.0</v>
      </c>
      <c r="CG291" s="55">
        <v>0.0</v>
      </c>
      <c r="CH291" s="55">
        <v>10381.89</v>
      </c>
      <c r="CI291" s="55">
        <v>1354.16</v>
      </c>
      <c r="CJ291" s="55">
        <v>9027.73</v>
      </c>
      <c r="CK291" s="55">
        <v>2.92</v>
      </c>
      <c r="CL291" s="52">
        <v>0.0</v>
      </c>
      <c r="CM291" s="52">
        <v>0.0</v>
      </c>
      <c r="CN291" s="52">
        <v>0.0</v>
      </c>
      <c r="CO291" s="52">
        <v>100.0</v>
      </c>
      <c r="CP291" s="54"/>
      <c r="CQ291" s="52">
        <v>0.0</v>
      </c>
      <c r="CR291" s="52">
        <v>0.0</v>
      </c>
      <c r="CS291" s="52">
        <v>0.0</v>
      </c>
      <c r="CT291" s="52">
        <v>11833.0</v>
      </c>
      <c r="CU291" s="54">
        <v>45930.0</v>
      </c>
      <c r="CV291" s="54">
        <v>45930.0</v>
      </c>
      <c r="CW291" s="52">
        <v>108653.0</v>
      </c>
      <c r="CX291" s="52" t="s">
        <v>122</v>
      </c>
      <c r="CY291" s="52" t="s">
        <v>778</v>
      </c>
      <c r="CZ291" s="55">
        <v>22876.74</v>
      </c>
      <c r="DA291" s="55">
        <v>42563.01</v>
      </c>
      <c r="DB291" s="55">
        <v>-15747.41</v>
      </c>
      <c r="DC291" s="55">
        <v>0.49</v>
      </c>
      <c r="DD291" s="55">
        <v>0.0</v>
      </c>
      <c r="DE291" s="55">
        <v>0.0</v>
      </c>
      <c r="DF291" s="52"/>
    </row>
    <row r="292" ht="13.5" customHeight="1">
      <c r="A292" s="52" t="s">
        <v>175</v>
      </c>
      <c r="B292" s="53">
        <v>44105.0</v>
      </c>
      <c r="C292" s="52" t="s">
        <v>109</v>
      </c>
      <c r="D292" s="52" t="s">
        <v>110</v>
      </c>
      <c r="E292" s="52" t="s">
        <v>111</v>
      </c>
      <c r="F292" s="52" t="s">
        <v>112</v>
      </c>
      <c r="G292" s="52" t="s">
        <v>113</v>
      </c>
      <c r="H292" s="52" t="s">
        <v>129</v>
      </c>
      <c r="I292" s="54">
        <v>44123.0</v>
      </c>
      <c r="J292" s="54">
        <v>44124.0</v>
      </c>
      <c r="K292" s="52">
        <f t="shared" si="1"/>
        <v>1</v>
      </c>
      <c r="L292" s="52">
        <v>1.0</v>
      </c>
      <c r="M292" s="52">
        <f t="shared" si="2"/>
        <v>0</v>
      </c>
      <c r="N292" s="54">
        <v>44106.0</v>
      </c>
      <c r="O292" s="54">
        <v>44208.0</v>
      </c>
      <c r="P292" s="52">
        <f t="shared" si="3"/>
        <v>102</v>
      </c>
      <c r="Q292" s="52">
        <v>90.0</v>
      </c>
      <c r="R292" s="52">
        <f t="shared" si="4"/>
        <v>12</v>
      </c>
      <c r="S292" s="52" t="s">
        <v>799</v>
      </c>
      <c r="T292" s="52" t="s">
        <v>800</v>
      </c>
      <c r="U292" s="52" t="s">
        <v>117</v>
      </c>
      <c r="V292" s="52" t="s">
        <v>118</v>
      </c>
      <c r="W292" s="52" t="s">
        <v>119</v>
      </c>
      <c r="X292" s="52" t="s">
        <v>120</v>
      </c>
      <c r="Y292" s="52">
        <v>2020.0</v>
      </c>
      <c r="Z292" s="52" t="s">
        <v>121</v>
      </c>
      <c r="AA292" s="52">
        <v>1598.0</v>
      </c>
      <c r="AB292" s="52">
        <v>16.0</v>
      </c>
      <c r="AC292" s="52">
        <v>10.0</v>
      </c>
      <c r="AD292" s="55">
        <v>172956.52</v>
      </c>
      <c r="AE292" s="55">
        <v>19926.2</v>
      </c>
      <c r="AF292" s="56">
        <v>0.12</v>
      </c>
      <c r="AG292" s="55">
        <v>23865.46</v>
      </c>
      <c r="AH292" s="55">
        <v>4475.5</v>
      </c>
      <c r="AI292" s="52">
        <v>7.75</v>
      </c>
      <c r="AJ292" s="55">
        <v>74371.0</v>
      </c>
      <c r="AK292" s="52">
        <v>97.96</v>
      </c>
      <c r="AL292" s="54">
        <v>44013.0</v>
      </c>
      <c r="AM292" s="54">
        <v>46034.0</v>
      </c>
      <c r="AN292" s="52">
        <v>60.0</v>
      </c>
      <c r="AO292" s="52">
        <v>1500.0</v>
      </c>
      <c r="AP292" s="52">
        <v>66639.0</v>
      </c>
      <c r="AQ292" s="54">
        <v>46173.0</v>
      </c>
      <c r="AR292" s="52">
        <v>62074.0</v>
      </c>
      <c r="AS292" s="52">
        <v>62074.0</v>
      </c>
      <c r="AT292" s="52">
        <v>1.0</v>
      </c>
      <c r="AU292" s="52">
        <v>60639.0</v>
      </c>
      <c r="AV292" s="52">
        <v>1011.0</v>
      </c>
      <c r="AW292" s="55">
        <v>1757.13</v>
      </c>
      <c r="AX292" s="55">
        <v>1283.0</v>
      </c>
      <c r="AY292" s="55">
        <v>115.0</v>
      </c>
      <c r="AZ292" s="55">
        <v>291.0</v>
      </c>
      <c r="BA292" s="55">
        <v>1139.2</v>
      </c>
      <c r="BB292" s="55">
        <v>4585.33</v>
      </c>
      <c r="BC292" s="55">
        <v>687.8</v>
      </c>
      <c r="BD292" s="55">
        <v>5273.13</v>
      </c>
      <c r="BE292" s="54">
        <v>45748.0</v>
      </c>
      <c r="BF292" s="54">
        <v>45838.0</v>
      </c>
      <c r="BG292" s="52">
        <v>60492.0</v>
      </c>
      <c r="BH292" s="52">
        <v>62074.0</v>
      </c>
      <c r="BI292" s="52">
        <v>1582.0</v>
      </c>
      <c r="BJ292" s="52">
        <v>4500.0</v>
      </c>
      <c r="BK292" s="52">
        <v>-2918.0</v>
      </c>
      <c r="BL292" s="55">
        <v>0.41</v>
      </c>
      <c r="BM292" s="55">
        <v>1.45</v>
      </c>
      <c r="BN292" s="55">
        <v>0.0</v>
      </c>
      <c r="BO292" s="55">
        <v>0.0</v>
      </c>
      <c r="BP292" s="55">
        <v>0.0</v>
      </c>
      <c r="BQ292" s="55">
        <v>-157.57</v>
      </c>
      <c r="BR292" s="55">
        <v>0.0</v>
      </c>
      <c r="BS292" s="55">
        <v>0.0</v>
      </c>
      <c r="BT292" s="55">
        <v>0.0</v>
      </c>
      <c r="BU292" s="55">
        <v>0.0</v>
      </c>
      <c r="BV292" s="55">
        <v>0.0</v>
      </c>
      <c r="BW292" s="55">
        <v>0.0</v>
      </c>
      <c r="BX292" s="55">
        <v>0.0</v>
      </c>
      <c r="BY292" s="55">
        <v>3072.75</v>
      </c>
      <c r="BZ292" s="52">
        <v>0.0</v>
      </c>
      <c r="CA292" s="55">
        <v>0.0</v>
      </c>
      <c r="CB292" s="52">
        <v>0.0</v>
      </c>
      <c r="CC292" s="55">
        <v>0.0</v>
      </c>
      <c r="CD292" s="55">
        <v>0.0</v>
      </c>
      <c r="CE292" s="55">
        <v>0.0</v>
      </c>
      <c r="CF292" s="55">
        <v>0.0</v>
      </c>
      <c r="CG292" s="55">
        <v>0.0</v>
      </c>
      <c r="CH292" s="55">
        <v>4065.08</v>
      </c>
      <c r="CI292" s="55">
        <v>530.23</v>
      </c>
      <c r="CJ292" s="55">
        <v>3534.85</v>
      </c>
      <c r="CK292" s="55">
        <v>3534.85</v>
      </c>
      <c r="CL292" s="52">
        <v>0.0</v>
      </c>
      <c r="CM292" s="52">
        <v>0.0</v>
      </c>
      <c r="CN292" s="52">
        <v>0.0</v>
      </c>
      <c r="CO292" s="52">
        <v>100.0</v>
      </c>
      <c r="CP292" s="54"/>
      <c r="CQ292" s="52">
        <v>0.0</v>
      </c>
      <c r="CR292" s="52">
        <v>0.0</v>
      </c>
      <c r="CS292" s="52">
        <v>0.0</v>
      </c>
      <c r="CT292" s="52">
        <v>-29361.0</v>
      </c>
      <c r="CU292" s="54">
        <v>45930.0</v>
      </c>
      <c r="CV292" s="54">
        <v>45930.0</v>
      </c>
      <c r="CW292" s="52">
        <v>68074.0</v>
      </c>
      <c r="CX292" s="52" t="s">
        <v>122</v>
      </c>
      <c r="CY292" s="52" t="s">
        <v>778</v>
      </c>
      <c r="CZ292" s="55">
        <v>0.0</v>
      </c>
      <c r="DA292" s="55">
        <v>0.0</v>
      </c>
      <c r="DB292" s="55">
        <v>-9723.83</v>
      </c>
      <c r="DC292" s="55">
        <v>0.36</v>
      </c>
      <c r="DD292" s="55">
        <v>-1050.48</v>
      </c>
      <c r="DE292" s="55">
        <v>-1208.05</v>
      </c>
      <c r="DF292" s="52"/>
    </row>
    <row r="293" ht="13.5" customHeight="1">
      <c r="A293" s="52" t="s">
        <v>203</v>
      </c>
      <c r="B293" s="53">
        <v>44105.0</v>
      </c>
      <c r="C293" s="52" t="s">
        <v>124</v>
      </c>
      <c r="D293" s="52" t="s">
        <v>125</v>
      </c>
      <c r="E293" s="52" t="s">
        <v>126</v>
      </c>
      <c r="F293" s="52" t="s">
        <v>112</v>
      </c>
      <c r="G293" s="52" t="s">
        <v>113</v>
      </c>
      <c r="H293" s="52" t="s">
        <v>141</v>
      </c>
      <c r="I293" s="54">
        <v>44124.0</v>
      </c>
      <c r="J293" s="54">
        <v>44125.0</v>
      </c>
      <c r="K293" s="52">
        <f t="shared" si="1"/>
        <v>1</v>
      </c>
      <c r="L293" s="52">
        <v>1.0</v>
      </c>
      <c r="M293" s="52">
        <f t="shared" si="2"/>
        <v>0</v>
      </c>
      <c r="N293" s="54">
        <v>44107.0</v>
      </c>
      <c r="O293" s="54">
        <v>44148.0</v>
      </c>
      <c r="P293" s="52">
        <f t="shared" si="3"/>
        <v>41</v>
      </c>
      <c r="Q293" s="52">
        <v>90.0</v>
      </c>
      <c r="R293" s="52">
        <f t="shared" si="4"/>
        <v>-49</v>
      </c>
      <c r="S293" s="52" t="s">
        <v>801</v>
      </c>
      <c r="T293" s="52" t="s">
        <v>802</v>
      </c>
      <c r="U293" s="52" t="s">
        <v>117</v>
      </c>
      <c r="V293" s="52" t="s">
        <v>147</v>
      </c>
      <c r="W293" s="52" t="s">
        <v>133</v>
      </c>
      <c r="X293" s="52" t="s">
        <v>541</v>
      </c>
      <c r="Y293" s="52">
        <v>2020.0</v>
      </c>
      <c r="Z293" s="52" t="s">
        <v>135</v>
      </c>
      <c r="AA293" s="52">
        <v>2498.0</v>
      </c>
      <c r="AB293" s="52">
        <v>16.0</v>
      </c>
      <c r="AC293" s="52">
        <v>11.0</v>
      </c>
      <c r="AD293" s="55">
        <v>408173.91</v>
      </c>
      <c r="AE293" s="55">
        <v>111482.39</v>
      </c>
      <c r="AF293" s="56">
        <v>0.27</v>
      </c>
      <c r="AG293" s="55">
        <v>21452.31</v>
      </c>
      <c r="AH293" s="55">
        <v>5007.5</v>
      </c>
      <c r="AI293" s="52">
        <v>7.75</v>
      </c>
      <c r="AJ293" s="55">
        <v>171433.0</v>
      </c>
      <c r="AK293" s="52">
        <v>98.57</v>
      </c>
      <c r="AL293" s="54">
        <v>44013.0</v>
      </c>
      <c r="AM293" s="54">
        <v>45974.0</v>
      </c>
      <c r="AN293" s="52">
        <v>60.0</v>
      </c>
      <c r="AO293" s="52">
        <v>1500.0</v>
      </c>
      <c r="AP293" s="52">
        <v>74976.0</v>
      </c>
      <c r="AQ293" s="54">
        <v>46203.0</v>
      </c>
      <c r="AR293" s="52">
        <v>70445.0</v>
      </c>
      <c r="AS293" s="52">
        <v>71800.0</v>
      </c>
      <c r="AT293" s="52">
        <v>1355.0</v>
      </c>
      <c r="AU293" s="52">
        <v>70331.0</v>
      </c>
      <c r="AV293" s="52">
        <v>1172.0</v>
      </c>
      <c r="AW293" s="55">
        <v>2771.11</v>
      </c>
      <c r="AX293" s="55">
        <v>2430.0</v>
      </c>
      <c r="AY293" s="55">
        <v>125.0</v>
      </c>
      <c r="AZ293" s="55">
        <v>291.0</v>
      </c>
      <c r="BA293" s="55">
        <v>1535.48</v>
      </c>
      <c r="BB293" s="55">
        <v>7152.59</v>
      </c>
      <c r="BC293" s="55">
        <v>1072.89</v>
      </c>
      <c r="BD293" s="55">
        <v>8225.48</v>
      </c>
      <c r="BE293" s="54">
        <v>45748.0</v>
      </c>
      <c r="BF293" s="54">
        <v>45838.0</v>
      </c>
      <c r="BG293" s="52">
        <v>68514.0</v>
      </c>
      <c r="BH293" s="52">
        <v>71800.0</v>
      </c>
      <c r="BI293" s="52">
        <v>3286.0</v>
      </c>
      <c r="BJ293" s="52">
        <v>6500.0</v>
      </c>
      <c r="BK293" s="52">
        <v>-3214.0</v>
      </c>
      <c r="BL293" s="55">
        <v>0.6</v>
      </c>
      <c r="BM293" s="55">
        <v>3.08</v>
      </c>
      <c r="BN293" s="55">
        <v>0.0</v>
      </c>
      <c r="BO293" s="55">
        <v>0.0</v>
      </c>
      <c r="BP293" s="55">
        <v>0.0</v>
      </c>
      <c r="BQ293" s="55">
        <v>-250.69</v>
      </c>
      <c r="BR293" s="55">
        <v>0.0</v>
      </c>
      <c r="BS293" s="55">
        <v>0.0</v>
      </c>
      <c r="BT293" s="55">
        <v>0.0</v>
      </c>
      <c r="BU293" s="55">
        <v>0.0</v>
      </c>
      <c r="BV293" s="55">
        <v>0.0</v>
      </c>
      <c r="BW293" s="55">
        <v>0.0</v>
      </c>
      <c r="BX293" s="55">
        <v>0.0</v>
      </c>
      <c r="BY293" s="55">
        <v>3100.15</v>
      </c>
      <c r="BZ293" s="52">
        <v>0.0</v>
      </c>
      <c r="CA293" s="55">
        <v>0.0</v>
      </c>
      <c r="CB293" s="52">
        <v>0.0</v>
      </c>
      <c r="CC293" s="55">
        <v>0.0</v>
      </c>
      <c r="CD293" s="55">
        <v>0.0</v>
      </c>
      <c r="CE293" s="55">
        <v>0.0</v>
      </c>
      <c r="CF293" s="55">
        <v>0.0</v>
      </c>
      <c r="CG293" s="55">
        <v>0.0</v>
      </c>
      <c r="CH293" s="55">
        <v>6303.51</v>
      </c>
      <c r="CI293" s="55">
        <v>822.2</v>
      </c>
      <c r="CJ293" s="55">
        <v>5481.31</v>
      </c>
      <c r="CK293" s="55">
        <v>4.05</v>
      </c>
      <c r="CL293" s="52">
        <v>0.0</v>
      </c>
      <c r="CM293" s="52">
        <v>0.0</v>
      </c>
      <c r="CN293" s="52">
        <v>0.0</v>
      </c>
      <c r="CO293" s="52">
        <v>100.0</v>
      </c>
      <c r="CP293" s="54"/>
      <c r="CQ293" s="52">
        <v>0.0</v>
      </c>
      <c r="CR293" s="52">
        <v>0.0</v>
      </c>
      <c r="CS293" s="52">
        <v>0.0</v>
      </c>
      <c r="CT293" s="52">
        <v>-78669.0</v>
      </c>
      <c r="CU293" s="54">
        <v>45930.0</v>
      </c>
      <c r="CV293" s="54">
        <v>45930.0</v>
      </c>
      <c r="CW293" s="52">
        <v>76445.0</v>
      </c>
      <c r="CX293" s="52" t="s">
        <v>122</v>
      </c>
      <c r="CY293" s="52" t="s">
        <v>778</v>
      </c>
      <c r="CZ293" s="55">
        <v>0.0</v>
      </c>
      <c r="DA293" s="55">
        <v>0.0</v>
      </c>
      <c r="DB293" s="55">
        <v>-38339.52</v>
      </c>
      <c r="DC293" s="55">
        <v>0.52</v>
      </c>
      <c r="DD293" s="55">
        <v>-1671.28</v>
      </c>
      <c r="DE293" s="55">
        <v>-1921.97</v>
      </c>
      <c r="DF293" s="52"/>
    </row>
    <row r="294" ht="13.5" customHeight="1">
      <c r="A294" s="52" t="s">
        <v>203</v>
      </c>
      <c r="B294" s="53">
        <v>44105.0</v>
      </c>
      <c r="C294" s="52" t="s">
        <v>136</v>
      </c>
      <c r="D294" s="52" t="s">
        <v>137</v>
      </c>
      <c r="E294" s="52" t="s">
        <v>138</v>
      </c>
      <c r="F294" s="52" t="s">
        <v>782</v>
      </c>
      <c r="G294" s="52" t="s">
        <v>113</v>
      </c>
      <c r="H294" s="52" t="s">
        <v>114</v>
      </c>
      <c r="I294" s="54">
        <v>44125.0</v>
      </c>
      <c r="J294" s="54">
        <v>44126.0</v>
      </c>
      <c r="K294" s="52">
        <f t="shared" si="1"/>
        <v>1</v>
      </c>
      <c r="L294" s="52">
        <v>1.0</v>
      </c>
      <c r="M294" s="52">
        <f t="shared" si="2"/>
        <v>0</v>
      </c>
      <c r="N294" s="54">
        <v>44108.0</v>
      </c>
      <c r="O294" s="54">
        <v>44149.0</v>
      </c>
      <c r="P294" s="52">
        <f t="shared" si="3"/>
        <v>41</v>
      </c>
      <c r="Q294" s="52">
        <v>90.0</v>
      </c>
      <c r="R294" s="52">
        <f t="shared" si="4"/>
        <v>-49</v>
      </c>
      <c r="S294" s="52" t="s">
        <v>803</v>
      </c>
      <c r="T294" s="52" t="s">
        <v>804</v>
      </c>
      <c r="U294" s="52" t="s">
        <v>117</v>
      </c>
      <c r="V294" s="52" t="s">
        <v>132</v>
      </c>
      <c r="W294" s="52" t="s">
        <v>133</v>
      </c>
      <c r="X294" s="52" t="s">
        <v>164</v>
      </c>
      <c r="Y294" s="52">
        <v>2020.0</v>
      </c>
      <c r="Z294" s="52" t="s">
        <v>135</v>
      </c>
      <c r="AA294" s="52">
        <v>2498.0</v>
      </c>
      <c r="AB294" s="52">
        <v>16.0</v>
      </c>
      <c r="AC294" s="52">
        <v>1.0</v>
      </c>
      <c r="AD294" s="55">
        <v>291043.48</v>
      </c>
      <c r="AE294" s="55">
        <v>52106.57</v>
      </c>
      <c r="AF294" s="56">
        <v>0.18</v>
      </c>
      <c r="AG294" s="55">
        <v>30706.78</v>
      </c>
      <c r="AH294" s="55">
        <v>4917.5</v>
      </c>
      <c r="AI294" s="52">
        <v>7.75</v>
      </c>
      <c r="AJ294" s="55">
        <v>130970.0</v>
      </c>
      <c r="AK294" s="52">
        <v>45.0</v>
      </c>
      <c r="AL294" s="54">
        <v>44013.0</v>
      </c>
      <c r="AM294" s="54">
        <v>45975.0</v>
      </c>
      <c r="AN294" s="52">
        <v>60.0</v>
      </c>
      <c r="AO294" s="52">
        <v>1500.0</v>
      </c>
      <c r="AP294" s="52">
        <v>90000.0</v>
      </c>
      <c r="AQ294" s="54">
        <v>46173.0</v>
      </c>
      <c r="AR294" s="52">
        <v>46767.0</v>
      </c>
      <c r="AS294" s="52">
        <v>47502.0</v>
      </c>
      <c r="AT294" s="52">
        <v>735.0</v>
      </c>
      <c r="AU294" s="52">
        <v>46027.0</v>
      </c>
      <c r="AV294" s="52">
        <v>767.0</v>
      </c>
      <c r="AW294" s="55">
        <v>4485.73</v>
      </c>
      <c r="AX294" s="55">
        <v>570.77</v>
      </c>
      <c r="AY294" s="55">
        <v>125.0</v>
      </c>
      <c r="AZ294" s="55">
        <v>291.0</v>
      </c>
      <c r="BA294" s="55">
        <v>1234.38</v>
      </c>
      <c r="BB294" s="55">
        <v>6706.88</v>
      </c>
      <c r="BC294" s="55">
        <v>1006.03</v>
      </c>
      <c r="BD294" s="55">
        <v>7712.91</v>
      </c>
      <c r="BE294" s="54">
        <v>45748.0</v>
      </c>
      <c r="BF294" s="54">
        <v>45838.0</v>
      </c>
      <c r="BG294" s="52">
        <v>45376.0</v>
      </c>
      <c r="BH294" s="52">
        <v>47502.0</v>
      </c>
      <c r="BI294" s="52">
        <v>2126.0</v>
      </c>
      <c r="BJ294" s="52">
        <v>4500.0</v>
      </c>
      <c r="BK294" s="52">
        <v>-2374.0</v>
      </c>
      <c r="BL294" s="55">
        <v>0.45</v>
      </c>
      <c r="BM294" s="55">
        <v>2.25</v>
      </c>
      <c r="BN294" s="55">
        <v>0.0</v>
      </c>
      <c r="BO294" s="55">
        <v>0.0</v>
      </c>
      <c r="BP294" s="55">
        <v>0.0</v>
      </c>
      <c r="BQ294" s="55">
        <v>-135.32</v>
      </c>
      <c r="BR294" s="55">
        <v>0.0</v>
      </c>
      <c r="BS294" s="55">
        <v>0.0</v>
      </c>
      <c r="BT294" s="55">
        <v>0.0</v>
      </c>
      <c r="BU294" s="55">
        <v>0.0</v>
      </c>
      <c r="BV294" s="55">
        <v>0.0</v>
      </c>
      <c r="BW294" s="55">
        <v>0.0</v>
      </c>
      <c r="BX294" s="55">
        <v>0.0</v>
      </c>
      <c r="BY294" s="55">
        <v>1410.7</v>
      </c>
      <c r="BZ294" s="52">
        <v>0.0</v>
      </c>
      <c r="CA294" s="55">
        <v>0.0</v>
      </c>
      <c r="CB294" s="52">
        <v>0.0</v>
      </c>
      <c r="CC294" s="55">
        <v>0.0</v>
      </c>
      <c r="CD294" s="55">
        <v>0.0</v>
      </c>
      <c r="CE294" s="55">
        <v>0.0</v>
      </c>
      <c r="CF294" s="55">
        <v>0.0</v>
      </c>
      <c r="CG294" s="55">
        <v>0.0</v>
      </c>
      <c r="CH294" s="55">
        <v>6675.47</v>
      </c>
      <c r="CI294" s="55">
        <v>870.71</v>
      </c>
      <c r="CJ294" s="55">
        <v>5804.76</v>
      </c>
      <c r="CK294" s="55">
        <v>7.9</v>
      </c>
      <c r="CL294" s="52">
        <v>0.0</v>
      </c>
      <c r="CM294" s="52">
        <v>0.0</v>
      </c>
      <c r="CN294" s="52">
        <v>0.0</v>
      </c>
      <c r="CO294" s="52">
        <v>100.0</v>
      </c>
      <c r="CP294" s="54"/>
      <c r="CQ294" s="52">
        <v>0.0</v>
      </c>
      <c r="CR294" s="52">
        <v>0.0</v>
      </c>
      <c r="CS294" s="52">
        <v>0.0</v>
      </c>
      <c r="CT294" s="52">
        <v>-43973.0</v>
      </c>
      <c r="CU294" s="54">
        <v>45838.0</v>
      </c>
      <c r="CV294" s="54">
        <v>45838.0</v>
      </c>
      <c r="CW294" s="52">
        <v>91475.0</v>
      </c>
      <c r="CX294" s="52" t="s">
        <v>122</v>
      </c>
      <c r="CY294" s="52" t="s">
        <v>778</v>
      </c>
      <c r="CZ294" s="55">
        <v>268.65</v>
      </c>
      <c r="DA294" s="55">
        <v>1343.25</v>
      </c>
      <c r="DB294" s="55">
        <v>-15430.23</v>
      </c>
      <c r="DC294" s="55">
        <v>0.38</v>
      </c>
      <c r="DD294" s="55">
        <v>-902.12</v>
      </c>
      <c r="DE294" s="55">
        <v>-1037.44</v>
      </c>
      <c r="DF294" s="52"/>
    </row>
    <row r="295" ht="13.5" customHeight="1">
      <c r="A295" s="52" t="s">
        <v>203</v>
      </c>
      <c r="B295" s="53">
        <v>44105.0</v>
      </c>
      <c r="C295" s="52" t="s">
        <v>109</v>
      </c>
      <c r="D295" s="52" t="s">
        <v>110</v>
      </c>
      <c r="E295" s="52" t="s">
        <v>111</v>
      </c>
      <c r="F295" s="52" t="s">
        <v>112</v>
      </c>
      <c r="G295" s="52" t="s">
        <v>113</v>
      </c>
      <c r="H295" s="52" t="s">
        <v>129</v>
      </c>
      <c r="I295" s="54">
        <v>44126.0</v>
      </c>
      <c r="J295" s="54">
        <v>44127.0</v>
      </c>
      <c r="K295" s="52">
        <f t="shared" si="1"/>
        <v>1</v>
      </c>
      <c r="L295" s="52">
        <v>1.0</v>
      </c>
      <c r="M295" s="52">
        <f t="shared" si="2"/>
        <v>0</v>
      </c>
      <c r="N295" s="54">
        <v>44109.0</v>
      </c>
      <c r="O295" s="54">
        <v>44150.0</v>
      </c>
      <c r="P295" s="52">
        <f t="shared" si="3"/>
        <v>41</v>
      </c>
      <c r="Q295" s="52">
        <v>90.0</v>
      </c>
      <c r="R295" s="52">
        <f t="shared" si="4"/>
        <v>-49</v>
      </c>
      <c r="S295" s="52" t="s">
        <v>805</v>
      </c>
      <c r="T295" s="52" t="s">
        <v>806</v>
      </c>
      <c r="U295" s="52" t="s">
        <v>117</v>
      </c>
      <c r="V295" s="52" t="s">
        <v>147</v>
      </c>
      <c r="W295" s="52" t="s">
        <v>133</v>
      </c>
      <c r="X295" s="52" t="s">
        <v>541</v>
      </c>
      <c r="Y295" s="52">
        <v>2020.0</v>
      </c>
      <c r="Z295" s="52" t="s">
        <v>135</v>
      </c>
      <c r="AA295" s="52">
        <v>2498.0</v>
      </c>
      <c r="AB295" s="52">
        <v>16.0</v>
      </c>
      <c r="AC295" s="52">
        <v>6.0</v>
      </c>
      <c r="AD295" s="55">
        <v>408173.91</v>
      </c>
      <c r="AE295" s="55">
        <v>111482.39</v>
      </c>
      <c r="AF295" s="56">
        <v>0.27</v>
      </c>
      <c r="AG295" s="55">
        <v>21017.87</v>
      </c>
      <c r="AH295" s="55">
        <v>5007.5</v>
      </c>
      <c r="AI295" s="52">
        <v>7.75</v>
      </c>
      <c r="AJ295" s="55">
        <v>171433.0</v>
      </c>
      <c r="AK295" s="52">
        <v>98.57</v>
      </c>
      <c r="AL295" s="54">
        <v>44013.0</v>
      </c>
      <c r="AM295" s="54">
        <v>45976.0</v>
      </c>
      <c r="AN295" s="52">
        <v>60.0</v>
      </c>
      <c r="AO295" s="52">
        <v>1500.0</v>
      </c>
      <c r="AP295" s="52">
        <v>80973.0</v>
      </c>
      <c r="AQ295" s="54">
        <v>46173.0</v>
      </c>
      <c r="AR295" s="52">
        <v>76396.0</v>
      </c>
      <c r="AS295" s="52">
        <v>76396.0</v>
      </c>
      <c r="AT295" s="52">
        <v>1.0</v>
      </c>
      <c r="AU295" s="52">
        <v>74973.0</v>
      </c>
      <c r="AV295" s="52">
        <v>1250.0</v>
      </c>
      <c r="AW295" s="55">
        <v>2769.03</v>
      </c>
      <c r="AX295" s="55">
        <v>2030.0</v>
      </c>
      <c r="AY295" s="55">
        <v>125.0</v>
      </c>
      <c r="AZ295" s="55">
        <v>291.0</v>
      </c>
      <c r="BA295" s="55">
        <v>1269.65</v>
      </c>
      <c r="BB295" s="55">
        <v>6484.68</v>
      </c>
      <c r="BC295" s="55">
        <v>972.7</v>
      </c>
      <c r="BD295" s="55">
        <v>7457.38</v>
      </c>
      <c r="BE295" s="54">
        <v>45748.0</v>
      </c>
      <c r="BF295" s="54">
        <v>45838.0</v>
      </c>
      <c r="BG295" s="52">
        <v>76396.0</v>
      </c>
      <c r="BH295" s="52">
        <v>76396.0</v>
      </c>
      <c r="BI295" s="52">
        <v>0.0</v>
      </c>
      <c r="BJ295" s="52">
        <v>5500.0</v>
      </c>
      <c r="BK295" s="52">
        <v>-5500.0</v>
      </c>
      <c r="BL295" s="55">
        <v>0.6</v>
      </c>
      <c r="BM295" s="55">
        <v>2.87</v>
      </c>
      <c r="BN295" s="55">
        <v>0.0</v>
      </c>
      <c r="BO295" s="55">
        <v>0.0</v>
      </c>
      <c r="BP295" s="55">
        <v>0.0</v>
      </c>
      <c r="BQ295" s="55">
        <v>-429.0</v>
      </c>
      <c r="BR295" s="55">
        <v>0.0</v>
      </c>
      <c r="BS295" s="55">
        <v>0.0</v>
      </c>
      <c r="BT295" s="55">
        <v>0.0</v>
      </c>
      <c r="BU295" s="55">
        <v>0.0</v>
      </c>
      <c r="BV295" s="55">
        <v>0.0</v>
      </c>
      <c r="BW295" s="55">
        <v>0.0</v>
      </c>
      <c r="BX295" s="55">
        <v>0.0</v>
      </c>
      <c r="BY295" s="55">
        <v>0.0</v>
      </c>
      <c r="BZ295" s="52">
        <v>0.0</v>
      </c>
      <c r="CA295" s="55">
        <v>0.0</v>
      </c>
      <c r="CB295" s="52">
        <v>0.0</v>
      </c>
      <c r="CC295" s="55">
        <v>0.0</v>
      </c>
      <c r="CD295" s="55">
        <v>0.0</v>
      </c>
      <c r="CE295" s="55">
        <v>0.0</v>
      </c>
      <c r="CF295" s="55">
        <v>0.0</v>
      </c>
      <c r="CG295" s="55">
        <v>0.0</v>
      </c>
      <c r="CH295" s="55">
        <v>4168.38</v>
      </c>
      <c r="CI295" s="55">
        <v>543.7</v>
      </c>
      <c r="CJ295" s="55">
        <v>3624.68</v>
      </c>
      <c r="CK295" s="55">
        <v>3624.68</v>
      </c>
      <c r="CL295" s="52">
        <v>0.0</v>
      </c>
      <c r="CM295" s="52">
        <v>0.0</v>
      </c>
      <c r="CN295" s="52">
        <v>0.0</v>
      </c>
      <c r="CO295" s="52">
        <v>100.0</v>
      </c>
      <c r="CP295" s="54"/>
      <c r="CQ295" s="52">
        <v>0.0</v>
      </c>
      <c r="CR295" s="52">
        <v>0.0</v>
      </c>
      <c r="CS295" s="52">
        <v>0.0</v>
      </c>
      <c r="CT295" s="52">
        <v>-44527.0</v>
      </c>
      <c r="CU295" s="54">
        <v>45930.0</v>
      </c>
      <c r="CV295" s="54">
        <v>45930.0</v>
      </c>
      <c r="CW295" s="52">
        <v>82396.0</v>
      </c>
      <c r="CX295" s="52" t="s">
        <v>122</v>
      </c>
      <c r="CY295" s="52" t="s">
        <v>778</v>
      </c>
      <c r="CZ295" s="55">
        <v>0.0</v>
      </c>
      <c r="DA295" s="55">
        <v>0.0</v>
      </c>
      <c r="DB295" s="55">
        <v>-21797.88</v>
      </c>
      <c r="DC295" s="55">
        <v>0.52</v>
      </c>
      <c r="DD295" s="55">
        <v>-2860.0</v>
      </c>
      <c r="DE295" s="55">
        <v>-3289.0</v>
      </c>
      <c r="DF295" s="52"/>
    </row>
    <row r="296" ht="13.5" customHeight="1">
      <c r="A296" s="52" t="s">
        <v>203</v>
      </c>
      <c r="B296" s="53">
        <v>44105.0</v>
      </c>
      <c r="C296" s="52" t="s">
        <v>124</v>
      </c>
      <c r="D296" s="52" t="s">
        <v>125</v>
      </c>
      <c r="E296" s="52" t="s">
        <v>126</v>
      </c>
      <c r="F296" s="52" t="s">
        <v>112</v>
      </c>
      <c r="G296" s="52" t="s">
        <v>113</v>
      </c>
      <c r="H296" s="52" t="s">
        <v>141</v>
      </c>
      <c r="I296" s="54">
        <v>44127.0</v>
      </c>
      <c r="J296" s="54">
        <v>44128.0</v>
      </c>
      <c r="K296" s="52">
        <f t="shared" si="1"/>
        <v>1</v>
      </c>
      <c r="L296" s="52">
        <v>1.0</v>
      </c>
      <c r="M296" s="52">
        <f t="shared" si="2"/>
        <v>0</v>
      </c>
      <c r="N296" s="54">
        <v>44110.0</v>
      </c>
      <c r="O296" s="54">
        <v>44151.0</v>
      </c>
      <c r="P296" s="52">
        <f t="shared" si="3"/>
        <v>41</v>
      </c>
      <c r="Q296" s="52">
        <v>90.0</v>
      </c>
      <c r="R296" s="52">
        <f t="shared" si="4"/>
        <v>-49</v>
      </c>
      <c r="S296" s="52" t="s">
        <v>807</v>
      </c>
      <c r="T296" s="52" t="s">
        <v>808</v>
      </c>
      <c r="U296" s="52" t="s">
        <v>117</v>
      </c>
      <c r="V296" s="52" t="s">
        <v>147</v>
      </c>
      <c r="W296" s="52" t="s">
        <v>133</v>
      </c>
      <c r="X296" s="52" t="s">
        <v>168</v>
      </c>
      <c r="Y296" s="52">
        <v>2020.0</v>
      </c>
      <c r="Z296" s="52" t="s">
        <v>135</v>
      </c>
      <c r="AA296" s="52">
        <v>2498.0</v>
      </c>
      <c r="AB296" s="52">
        <v>16.0</v>
      </c>
      <c r="AC296" s="52">
        <v>2.0</v>
      </c>
      <c r="AD296" s="55">
        <v>363391.3</v>
      </c>
      <c r="AE296" s="55">
        <v>66699.78</v>
      </c>
      <c r="AF296" s="56">
        <v>0.18</v>
      </c>
      <c r="AG296" s="55">
        <v>32291.5</v>
      </c>
      <c r="AH296" s="55">
        <v>5837.5</v>
      </c>
      <c r="AI296" s="52">
        <v>7.75</v>
      </c>
      <c r="AJ296" s="55">
        <v>152624.0</v>
      </c>
      <c r="AK296" s="52">
        <v>42.0</v>
      </c>
      <c r="AL296" s="54">
        <v>44013.0</v>
      </c>
      <c r="AM296" s="54">
        <v>45977.0</v>
      </c>
      <c r="AN296" s="52">
        <v>60.0</v>
      </c>
      <c r="AO296" s="52">
        <v>3000.0</v>
      </c>
      <c r="AP296" s="52">
        <v>180000.0</v>
      </c>
      <c r="AQ296" s="54">
        <v>46173.0</v>
      </c>
      <c r="AR296" s="52">
        <v>56382.0</v>
      </c>
      <c r="AS296" s="52">
        <v>56875.0</v>
      </c>
      <c r="AT296" s="52">
        <v>493.0</v>
      </c>
      <c r="AU296" s="52">
        <v>55432.0</v>
      </c>
      <c r="AV296" s="52">
        <v>924.0</v>
      </c>
      <c r="AW296" s="55">
        <v>5428.3</v>
      </c>
      <c r="AX296" s="55">
        <v>1560.06</v>
      </c>
      <c r="AY296" s="55">
        <v>73.7</v>
      </c>
      <c r="AZ296" s="55">
        <v>291.0</v>
      </c>
      <c r="BA296" s="55">
        <v>1269.65</v>
      </c>
      <c r="BB296" s="55">
        <v>8622.71</v>
      </c>
      <c r="BC296" s="55">
        <v>1293.41</v>
      </c>
      <c r="BD296" s="55">
        <v>9916.12</v>
      </c>
      <c r="BE296" s="54">
        <v>45748.0</v>
      </c>
      <c r="BF296" s="54">
        <v>45838.0</v>
      </c>
      <c r="BG296" s="52">
        <v>55654.0</v>
      </c>
      <c r="BH296" s="52">
        <v>56875.0</v>
      </c>
      <c r="BI296" s="52">
        <v>1221.0</v>
      </c>
      <c r="BJ296" s="52">
        <v>9000.0</v>
      </c>
      <c r="BK296" s="52">
        <v>-7779.0</v>
      </c>
      <c r="BL296" s="55">
        <v>0.6</v>
      </c>
      <c r="BM296" s="55">
        <v>1.49</v>
      </c>
      <c r="BN296" s="55">
        <v>0.0</v>
      </c>
      <c r="BO296" s="55">
        <v>0.0</v>
      </c>
      <c r="BP296" s="55">
        <v>0.0</v>
      </c>
      <c r="BQ296" s="55">
        <v>-606.76</v>
      </c>
      <c r="BR296" s="55">
        <v>0.0</v>
      </c>
      <c r="BS296" s="55">
        <v>0.0</v>
      </c>
      <c r="BT296" s="55">
        <v>0.0</v>
      </c>
      <c r="BU296" s="55">
        <v>0.0</v>
      </c>
      <c r="BV296" s="55">
        <v>0.0</v>
      </c>
      <c r="BW296" s="55">
        <v>0.0</v>
      </c>
      <c r="BX296" s="55">
        <v>0.0</v>
      </c>
      <c r="BY296" s="55">
        <v>0.0</v>
      </c>
      <c r="BZ296" s="52">
        <v>0.0</v>
      </c>
      <c r="CA296" s="55">
        <v>0.0</v>
      </c>
      <c r="CB296" s="52">
        <v>0.0</v>
      </c>
      <c r="CC296" s="55">
        <v>0.0</v>
      </c>
      <c r="CD296" s="55">
        <v>0.0</v>
      </c>
      <c r="CE296" s="55">
        <v>0.0</v>
      </c>
      <c r="CF296" s="55">
        <v>0.0</v>
      </c>
      <c r="CG296" s="55">
        <v>0.0</v>
      </c>
      <c r="CH296" s="55">
        <v>5264.28</v>
      </c>
      <c r="CI296" s="55">
        <v>686.65</v>
      </c>
      <c r="CJ296" s="55">
        <v>4577.63</v>
      </c>
      <c r="CK296" s="55">
        <v>9.29</v>
      </c>
      <c r="CL296" s="52">
        <v>0.0</v>
      </c>
      <c r="CM296" s="52">
        <v>0.0</v>
      </c>
      <c r="CN296" s="52">
        <v>0.0</v>
      </c>
      <c r="CO296" s="52">
        <v>100.0</v>
      </c>
      <c r="CP296" s="54"/>
      <c r="CQ296" s="52">
        <v>0.0</v>
      </c>
      <c r="CR296" s="52">
        <v>0.0</v>
      </c>
      <c r="CS296" s="52">
        <v>0.0</v>
      </c>
      <c r="CT296" s="52">
        <v>-124568.0</v>
      </c>
      <c r="CU296" s="54">
        <v>45838.0</v>
      </c>
      <c r="CV296" s="54">
        <v>45838.0</v>
      </c>
      <c r="CW296" s="52">
        <v>181443.0</v>
      </c>
      <c r="CX296" s="52" t="s">
        <v>122</v>
      </c>
      <c r="CY296" s="52" t="s">
        <v>778</v>
      </c>
      <c r="CZ296" s="55">
        <v>0.0</v>
      </c>
      <c r="DA296" s="55">
        <v>0.0</v>
      </c>
      <c r="DB296" s="55">
        <v>-60158.5</v>
      </c>
      <c r="DC296" s="55">
        <v>0.52</v>
      </c>
      <c r="DD296" s="55">
        <v>-4045.08</v>
      </c>
      <c r="DE296" s="55">
        <v>-4651.84</v>
      </c>
      <c r="DF296" s="52"/>
    </row>
    <row r="297" ht="13.5" customHeight="1">
      <c r="A297" s="52" t="s">
        <v>203</v>
      </c>
      <c r="B297" s="53">
        <v>44105.0</v>
      </c>
      <c r="C297" s="52" t="s">
        <v>109</v>
      </c>
      <c r="D297" s="52" t="s">
        <v>137</v>
      </c>
      <c r="E297" s="52" t="s">
        <v>138</v>
      </c>
      <c r="F297" s="52" t="s">
        <v>112</v>
      </c>
      <c r="G297" s="52" t="s">
        <v>113</v>
      </c>
      <c r="H297" s="52" t="s">
        <v>114</v>
      </c>
      <c r="I297" s="54">
        <v>44128.0</v>
      </c>
      <c r="J297" s="54">
        <v>44131.0</v>
      </c>
      <c r="K297" s="52">
        <f t="shared" si="1"/>
        <v>3</v>
      </c>
      <c r="L297" s="52">
        <v>1.0</v>
      </c>
      <c r="M297" s="52">
        <f t="shared" si="2"/>
        <v>2</v>
      </c>
      <c r="N297" s="54">
        <v>44111.0</v>
      </c>
      <c r="O297" s="54">
        <v>44152.0</v>
      </c>
      <c r="P297" s="52">
        <f t="shared" si="3"/>
        <v>41</v>
      </c>
      <c r="Q297" s="52">
        <v>90.0</v>
      </c>
      <c r="R297" s="52">
        <f t="shared" si="4"/>
        <v>-49</v>
      </c>
      <c r="S297" s="52" t="s">
        <v>809</v>
      </c>
      <c r="T297" s="52" t="s">
        <v>810</v>
      </c>
      <c r="U297" s="52" t="s">
        <v>117</v>
      </c>
      <c r="V297" s="52" t="s">
        <v>207</v>
      </c>
      <c r="W297" s="52" t="s">
        <v>221</v>
      </c>
      <c r="X297" s="52" t="s">
        <v>811</v>
      </c>
      <c r="Y297" s="52">
        <v>2020.0</v>
      </c>
      <c r="Z297" s="52" t="s">
        <v>135</v>
      </c>
      <c r="AA297" s="52">
        <v>2498.0</v>
      </c>
      <c r="AB297" s="52">
        <v>16.0</v>
      </c>
      <c r="AC297" s="52">
        <v>0.0</v>
      </c>
      <c r="AD297" s="55">
        <v>363391.3</v>
      </c>
      <c r="AE297" s="55">
        <v>66699.78</v>
      </c>
      <c r="AF297" s="56">
        <v>0.18</v>
      </c>
      <c r="AG297" s="55">
        <v>16066.64</v>
      </c>
      <c r="AH297" s="55">
        <v>5277.5</v>
      </c>
      <c r="AI297" s="52">
        <v>7.75</v>
      </c>
      <c r="AJ297" s="55">
        <v>223010.0</v>
      </c>
      <c r="AK297" s="52">
        <v>38.0</v>
      </c>
      <c r="AL297" s="54">
        <v>44013.0</v>
      </c>
      <c r="AM297" s="54">
        <v>45978.0</v>
      </c>
      <c r="AN297" s="52">
        <v>60.0</v>
      </c>
      <c r="AO297" s="52">
        <v>1500.0</v>
      </c>
      <c r="AP297" s="52">
        <v>90000.0</v>
      </c>
      <c r="AQ297" s="54">
        <v>46173.0</v>
      </c>
      <c r="AR297" s="52">
        <v>38146.0</v>
      </c>
      <c r="AS297" s="52">
        <v>38332.0</v>
      </c>
      <c r="AT297" s="52">
        <v>186.0</v>
      </c>
      <c r="AU297" s="52">
        <v>36873.0</v>
      </c>
      <c r="AV297" s="52">
        <v>615.0</v>
      </c>
      <c r="AW297" s="55">
        <v>8404.41</v>
      </c>
      <c r="AX297" s="55">
        <v>646.85</v>
      </c>
      <c r="AY297" s="55">
        <v>98.45</v>
      </c>
      <c r="AZ297" s="55">
        <v>291.0</v>
      </c>
      <c r="BA297" s="55">
        <v>1441.63</v>
      </c>
      <c r="BB297" s="55">
        <v>10882.34</v>
      </c>
      <c r="BC297" s="55">
        <v>1632.35</v>
      </c>
      <c r="BD297" s="55">
        <v>12514.69</v>
      </c>
      <c r="BE297" s="54">
        <v>45748.0</v>
      </c>
      <c r="BF297" s="54">
        <v>45838.0</v>
      </c>
      <c r="BG297" s="52">
        <v>35705.0</v>
      </c>
      <c r="BH297" s="52">
        <v>38332.0</v>
      </c>
      <c r="BI297" s="52">
        <v>2627.0</v>
      </c>
      <c r="BJ297" s="52">
        <v>4500.0</v>
      </c>
      <c r="BK297" s="52">
        <v>-1873.0</v>
      </c>
      <c r="BL297" s="55">
        <v>1.5</v>
      </c>
      <c r="BM297" s="55">
        <v>1.5</v>
      </c>
      <c r="BN297" s="55">
        <v>0.0</v>
      </c>
      <c r="BO297" s="55">
        <v>0.0</v>
      </c>
      <c r="BP297" s="55">
        <v>0.0</v>
      </c>
      <c r="BQ297" s="55">
        <v>-120.81</v>
      </c>
      <c r="BR297" s="55">
        <v>0.0</v>
      </c>
      <c r="BS297" s="55">
        <v>0.0</v>
      </c>
      <c r="BT297" s="55">
        <v>0.0</v>
      </c>
      <c r="BU297" s="55">
        <v>0.0</v>
      </c>
      <c r="BV297" s="55">
        <v>0.0</v>
      </c>
      <c r="BW297" s="55">
        <v>0.0</v>
      </c>
      <c r="BX297" s="55">
        <v>0.0</v>
      </c>
      <c r="BY297" s="55">
        <v>1069.45</v>
      </c>
      <c r="BZ297" s="52">
        <v>0.0</v>
      </c>
      <c r="CA297" s="55">
        <v>0.0</v>
      </c>
      <c r="CB297" s="52">
        <v>0.0</v>
      </c>
      <c r="CC297" s="55">
        <v>0.0</v>
      </c>
      <c r="CD297" s="55">
        <v>0.0</v>
      </c>
      <c r="CE297" s="55">
        <v>0.0</v>
      </c>
      <c r="CF297" s="55">
        <v>0.0</v>
      </c>
      <c r="CG297" s="55">
        <v>0.0</v>
      </c>
      <c r="CH297" s="55">
        <v>11588.49</v>
      </c>
      <c r="CI297" s="55">
        <v>1511.54</v>
      </c>
      <c r="CJ297" s="55">
        <v>10076.95</v>
      </c>
      <c r="CK297" s="55">
        <v>54.18</v>
      </c>
      <c r="CL297" s="52">
        <v>0.0</v>
      </c>
      <c r="CM297" s="52">
        <v>0.0</v>
      </c>
      <c r="CN297" s="52">
        <v>0.0</v>
      </c>
      <c r="CO297" s="52">
        <v>100.0</v>
      </c>
      <c r="CP297" s="54"/>
      <c r="CQ297" s="52">
        <v>0.0</v>
      </c>
      <c r="CR297" s="52">
        <v>0.0</v>
      </c>
      <c r="CS297" s="52">
        <v>0.0</v>
      </c>
      <c r="CT297" s="52">
        <v>-53127.0</v>
      </c>
      <c r="CU297" s="54">
        <v>45838.0</v>
      </c>
      <c r="CV297" s="54">
        <v>45838.0</v>
      </c>
      <c r="CW297" s="52">
        <v>91459.0</v>
      </c>
      <c r="CX297" s="52" t="s">
        <v>122</v>
      </c>
      <c r="CY297" s="52" t="s">
        <v>778</v>
      </c>
      <c r="CZ297" s="55">
        <v>343.2</v>
      </c>
      <c r="DA297" s="55">
        <v>343.2</v>
      </c>
      <c r="DB297" s="55">
        <v>-21069.32</v>
      </c>
      <c r="DC297" s="55">
        <v>0.43</v>
      </c>
      <c r="DD297" s="55">
        <v>-805.39</v>
      </c>
      <c r="DE297" s="55">
        <v>-926.2</v>
      </c>
      <c r="DF297" s="52"/>
    </row>
    <row r="298" ht="13.5" customHeight="1">
      <c r="A298" s="52" t="s">
        <v>203</v>
      </c>
      <c r="B298" s="53">
        <v>44105.0</v>
      </c>
      <c r="C298" s="52" t="s">
        <v>124</v>
      </c>
      <c r="D298" s="52" t="s">
        <v>110</v>
      </c>
      <c r="E298" s="52" t="s">
        <v>111</v>
      </c>
      <c r="F298" s="52" t="s">
        <v>112</v>
      </c>
      <c r="G298" s="52" t="s">
        <v>113</v>
      </c>
      <c r="H298" s="52" t="s">
        <v>129</v>
      </c>
      <c r="I298" s="54">
        <v>44129.0</v>
      </c>
      <c r="J298" s="54">
        <v>44130.0</v>
      </c>
      <c r="K298" s="52">
        <f t="shared" si="1"/>
        <v>1</v>
      </c>
      <c r="L298" s="52">
        <v>1.0</v>
      </c>
      <c r="M298" s="52">
        <f t="shared" si="2"/>
        <v>0</v>
      </c>
      <c r="N298" s="54">
        <v>44112.0</v>
      </c>
      <c r="O298" s="54">
        <v>44304.0</v>
      </c>
      <c r="P298" s="52">
        <f t="shared" si="3"/>
        <v>192</v>
      </c>
      <c r="Q298" s="52">
        <v>90.0</v>
      </c>
      <c r="R298" s="52">
        <f t="shared" si="4"/>
        <v>102</v>
      </c>
      <c r="S298" s="52" t="s">
        <v>812</v>
      </c>
      <c r="T298" s="52" t="s">
        <v>813</v>
      </c>
      <c r="U298" s="52" t="s">
        <v>117</v>
      </c>
      <c r="V298" s="52" t="s">
        <v>207</v>
      </c>
      <c r="W298" s="52" t="s">
        <v>199</v>
      </c>
      <c r="X298" s="52" t="s">
        <v>628</v>
      </c>
      <c r="Y298" s="52">
        <v>2020.0</v>
      </c>
      <c r="Z298" s="52" t="s">
        <v>135</v>
      </c>
      <c r="AA298" s="52">
        <v>2798.0</v>
      </c>
      <c r="AB298" s="52">
        <v>16.0</v>
      </c>
      <c r="AC298" s="52">
        <v>9.0</v>
      </c>
      <c r="AD298" s="55">
        <v>363391.3</v>
      </c>
      <c r="AE298" s="55">
        <v>66699.78</v>
      </c>
      <c r="AF298" s="56">
        <v>0.18</v>
      </c>
      <c r="AG298" s="55">
        <v>0.0</v>
      </c>
      <c r="AH298" s="55">
        <v>0.0</v>
      </c>
      <c r="AI298" s="52">
        <v>7.75</v>
      </c>
      <c r="AJ298" s="55"/>
      <c r="AK298" s="52"/>
      <c r="AL298" s="54">
        <v>44013.0</v>
      </c>
      <c r="AM298" s="54">
        <v>46130.0</v>
      </c>
      <c r="AN298" s="52">
        <v>60.0</v>
      </c>
      <c r="AO298" s="52">
        <v>197.0</v>
      </c>
      <c r="AP298" s="52">
        <v>46404.0</v>
      </c>
      <c r="AQ298" s="54">
        <v>46022.0</v>
      </c>
      <c r="AR298" s="52">
        <v>47845.0</v>
      </c>
      <c r="AS298" s="52">
        <v>47853.0</v>
      </c>
      <c r="AT298" s="52">
        <v>8.0</v>
      </c>
      <c r="AU298" s="52">
        <v>46404.0</v>
      </c>
      <c r="AV298" s="52">
        <v>787.0</v>
      </c>
      <c r="AW298" s="55">
        <v>666.34</v>
      </c>
      <c r="AX298" s="55">
        <v>85.07</v>
      </c>
      <c r="AY298" s="55">
        <v>16.3</v>
      </c>
      <c r="AZ298" s="55">
        <v>28.7</v>
      </c>
      <c r="BA298" s="55">
        <v>142.93</v>
      </c>
      <c r="BB298" s="55">
        <v>939.34</v>
      </c>
      <c r="BC298" s="55">
        <v>140.9</v>
      </c>
      <c r="BD298" s="55">
        <v>1080.24</v>
      </c>
      <c r="BE298" s="54">
        <v>45748.0</v>
      </c>
      <c r="BF298" s="54">
        <v>45811.0</v>
      </c>
      <c r="BG298" s="52">
        <v>42028.0</v>
      </c>
      <c r="BH298" s="52">
        <v>47853.0</v>
      </c>
      <c r="BI298" s="52">
        <v>5825.0</v>
      </c>
      <c r="BJ298" s="52">
        <v>4197.0</v>
      </c>
      <c r="BK298" s="52">
        <v>1628.0</v>
      </c>
      <c r="BL298" s="55">
        <v>0.5</v>
      </c>
      <c r="BM298" s="55">
        <v>2.62</v>
      </c>
      <c r="BN298" s="55">
        <v>814.0</v>
      </c>
      <c r="BO298" s="55">
        <v>4265.36</v>
      </c>
      <c r="BP298" s="55">
        <v>5079.36</v>
      </c>
      <c r="BQ298" s="55">
        <v>761.9</v>
      </c>
      <c r="BR298" s="55">
        <v>5841.26</v>
      </c>
      <c r="BS298" s="55">
        <v>2500.0</v>
      </c>
      <c r="BT298" s="55">
        <v>0.0</v>
      </c>
      <c r="BU298" s="55">
        <v>0.0</v>
      </c>
      <c r="BV298" s="55">
        <v>0.0</v>
      </c>
      <c r="BW298" s="55">
        <v>0.0</v>
      </c>
      <c r="BX298" s="55">
        <v>0.0</v>
      </c>
      <c r="BY298" s="55">
        <v>0.0</v>
      </c>
      <c r="BZ298" s="52"/>
      <c r="CA298" s="55"/>
      <c r="CB298" s="52"/>
      <c r="CC298" s="55">
        <v>400.0</v>
      </c>
      <c r="CD298" s="55">
        <v>0.0</v>
      </c>
      <c r="CE298" s="55">
        <v>2900.0</v>
      </c>
      <c r="CF298" s="55">
        <v>375.0</v>
      </c>
      <c r="CG298" s="55">
        <v>3275.0</v>
      </c>
      <c r="CH298" s="55">
        <v>10196.5</v>
      </c>
      <c r="CI298" s="55">
        <v>1277.8</v>
      </c>
      <c r="CJ298" s="55">
        <v>8918.7</v>
      </c>
      <c r="CK298" s="55">
        <v>1114.84</v>
      </c>
      <c r="CL298" s="52">
        <v>20.0</v>
      </c>
      <c r="CM298" s="52">
        <v>0.0</v>
      </c>
      <c r="CN298" s="52">
        <v>0.0</v>
      </c>
      <c r="CO298" s="52">
        <v>100.0</v>
      </c>
      <c r="CP298" s="54"/>
      <c r="CQ298" s="52">
        <v>0.0</v>
      </c>
      <c r="CR298" s="52">
        <v>0.0</v>
      </c>
      <c r="CS298" s="52">
        <v>0.0</v>
      </c>
      <c r="CT298" s="52">
        <v>-71793.0</v>
      </c>
      <c r="CU298" s="54">
        <v>45811.0</v>
      </c>
      <c r="CV298" s="54">
        <v>45811.0</v>
      </c>
      <c r="CW298" s="52">
        <v>47853.0</v>
      </c>
      <c r="CX298" s="52" t="s">
        <v>122</v>
      </c>
      <c r="CY298" s="52" t="s">
        <v>778</v>
      </c>
      <c r="CZ298" s="55">
        <v>814.0</v>
      </c>
      <c r="DA298" s="55">
        <v>4265.36</v>
      </c>
      <c r="DB298" s="55">
        <v>-28726.47</v>
      </c>
      <c r="DC298" s="55">
        <v>0.43</v>
      </c>
      <c r="DD298" s="55">
        <v>0.0</v>
      </c>
      <c r="DE298" s="55">
        <v>0.0</v>
      </c>
      <c r="DF298" s="52"/>
    </row>
    <row r="299" ht="13.5" customHeight="1">
      <c r="A299" s="52" t="s">
        <v>203</v>
      </c>
      <c r="B299" s="53">
        <v>44105.0</v>
      </c>
      <c r="C299" s="52" t="s">
        <v>136</v>
      </c>
      <c r="D299" s="52" t="s">
        <v>125</v>
      </c>
      <c r="E299" s="52" t="s">
        <v>126</v>
      </c>
      <c r="F299" s="52" t="s">
        <v>112</v>
      </c>
      <c r="G299" s="52" t="s">
        <v>113</v>
      </c>
      <c r="H299" s="52" t="s">
        <v>141</v>
      </c>
      <c r="I299" s="54">
        <v>44130.0</v>
      </c>
      <c r="J299" s="54">
        <v>44131.0</v>
      </c>
      <c r="K299" s="52">
        <f t="shared" si="1"/>
        <v>1</v>
      </c>
      <c r="L299" s="52">
        <v>1.0</v>
      </c>
      <c r="M299" s="52">
        <f t="shared" si="2"/>
        <v>0</v>
      </c>
      <c r="N299" s="54">
        <v>44113.0</v>
      </c>
      <c r="O299" s="54">
        <v>44154.0</v>
      </c>
      <c r="P299" s="52">
        <f t="shared" si="3"/>
        <v>41</v>
      </c>
      <c r="Q299" s="52">
        <v>90.0</v>
      </c>
      <c r="R299" s="52">
        <f t="shared" si="4"/>
        <v>-49</v>
      </c>
      <c r="S299" s="52" t="s">
        <v>814</v>
      </c>
      <c r="T299" s="52" t="s">
        <v>815</v>
      </c>
      <c r="U299" s="52" t="s">
        <v>117</v>
      </c>
      <c r="V299" s="52" t="s">
        <v>190</v>
      </c>
      <c r="W299" s="52" t="s">
        <v>119</v>
      </c>
      <c r="X299" s="52" t="s">
        <v>191</v>
      </c>
      <c r="Y299" s="52">
        <v>2020.0</v>
      </c>
      <c r="Z299" s="52" t="s">
        <v>121</v>
      </c>
      <c r="AA299" s="52">
        <v>1498.0</v>
      </c>
      <c r="AB299" s="52">
        <v>16.0</v>
      </c>
      <c r="AC299" s="52">
        <v>11.0</v>
      </c>
      <c r="AD299" s="55">
        <v>190240.52</v>
      </c>
      <c r="AE299" s="55">
        <v>38683.01</v>
      </c>
      <c r="AF299" s="56">
        <v>0.2</v>
      </c>
      <c r="AG299" s="55">
        <v>20911.68</v>
      </c>
      <c r="AH299" s="55">
        <v>4403.5</v>
      </c>
      <c r="AI299" s="52">
        <v>7.75</v>
      </c>
      <c r="AJ299" s="55">
        <v>84516.68</v>
      </c>
      <c r="AK299" s="52">
        <v>98.52</v>
      </c>
      <c r="AL299" s="54">
        <v>44013.0</v>
      </c>
      <c r="AM299" s="54">
        <v>45980.0</v>
      </c>
      <c r="AN299" s="52">
        <v>60.0</v>
      </c>
      <c r="AO299" s="52">
        <v>1400.0</v>
      </c>
      <c r="AP299" s="52">
        <v>49731.0</v>
      </c>
      <c r="AQ299" s="54">
        <v>46173.0</v>
      </c>
      <c r="AR299" s="52">
        <v>45560.0</v>
      </c>
      <c r="AS299" s="52">
        <v>46178.0</v>
      </c>
      <c r="AT299" s="52">
        <v>618.0</v>
      </c>
      <c r="AU299" s="52">
        <v>44749.0</v>
      </c>
      <c r="AV299" s="52">
        <v>746.0</v>
      </c>
      <c r="AW299" s="55">
        <v>1771.15</v>
      </c>
      <c r="AX299" s="55">
        <v>1443.0</v>
      </c>
      <c r="AY299" s="55">
        <v>115.0</v>
      </c>
      <c r="AZ299" s="55">
        <v>291.0</v>
      </c>
      <c r="BA299" s="55">
        <v>1154.67</v>
      </c>
      <c r="BB299" s="55">
        <v>4774.82</v>
      </c>
      <c r="BC299" s="55">
        <v>716.22</v>
      </c>
      <c r="BD299" s="55">
        <v>5491.04</v>
      </c>
      <c r="BE299" s="54">
        <v>45748.0</v>
      </c>
      <c r="BF299" s="54">
        <v>45838.0</v>
      </c>
      <c r="BG299" s="52">
        <v>43375.0</v>
      </c>
      <c r="BH299" s="52">
        <v>46178.0</v>
      </c>
      <c r="BI299" s="52">
        <v>2803.0</v>
      </c>
      <c r="BJ299" s="52">
        <v>4200.0</v>
      </c>
      <c r="BK299" s="52">
        <v>-1397.0</v>
      </c>
      <c r="BL299" s="55">
        <v>0.57</v>
      </c>
      <c r="BM299" s="55">
        <v>2.01</v>
      </c>
      <c r="BN299" s="55">
        <v>0.0</v>
      </c>
      <c r="BO299" s="55">
        <v>0.0</v>
      </c>
      <c r="BP299" s="55">
        <v>0.0</v>
      </c>
      <c r="BQ299" s="55">
        <v>-104.78</v>
      </c>
      <c r="BR299" s="55">
        <v>0.0</v>
      </c>
      <c r="BS299" s="55">
        <v>0.0</v>
      </c>
      <c r="BT299" s="55">
        <v>0.0</v>
      </c>
      <c r="BU299" s="55">
        <v>0.0</v>
      </c>
      <c r="BV299" s="55">
        <v>0.0</v>
      </c>
      <c r="BW299" s="55">
        <v>0.0</v>
      </c>
      <c r="BX299" s="55">
        <v>0.0</v>
      </c>
      <c r="BY299" s="55">
        <v>2045.25</v>
      </c>
      <c r="BZ299" s="52">
        <v>0.0</v>
      </c>
      <c r="CA299" s="55">
        <v>0.0</v>
      </c>
      <c r="CB299" s="52">
        <v>0.0</v>
      </c>
      <c r="CC299" s="55">
        <v>0.0</v>
      </c>
      <c r="CD299" s="55">
        <v>0.0</v>
      </c>
      <c r="CE299" s="55">
        <v>0.0</v>
      </c>
      <c r="CF299" s="55">
        <v>0.0</v>
      </c>
      <c r="CG299" s="55">
        <v>0.0</v>
      </c>
      <c r="CH299" s="55">
        <v>4687.76</v>
      </c>
      <c r="CI299" s="55">
        <v>611.44</v>
      </c>
      <c r="CJ299" s="55">
        <v>4076.32</v>
      </c>
      <c r="CK299" s="55">
        <v>6.6</v>
      </c>
      <c r="CL299" s="52">
        <v>0.0</v>
      </c>
      <c r="CM299" s="52">
        <v>0.0</v>
      </c>
      <c r="CN299" s="52">
        <v>0.0</v>
      </c>
      <c r="CO299" s="52">
        <v>100.0</v>
      </c>
      <c r="CP299" s="54"/>
      <c r="CQ299" s="52">
        <v>0.0</v>
      </c>
      <c r="CR299" s="52">
        <v>0.0</v>
      </c>
      <c r="CS299" s="52">
        <v>0.0</v>
      </c>
      <c r="CT299" s="52">
        <v>-39251.0</v>
      </c>
      <c r="CU299" s="54">
        <v>45930.0</v>
      </c>
      <c r="CV299" s="54">
        <v>45930.0</v>
      </c>
      <c r="CW299" s="52">
        <v>51160.0</v>
      </c>
      <c r="CX299" s="52" t="s">
        <v>122</v>
      </c>
      <c r="CY299" s="52" t="s">
        <v>778</v>
      </c>
      <c r="CZ299" s="55">
        <v>1073.92</v>
      </c>
      <c r="DA299" s="55">
        <v>2858.8</v>
      </c>
      <c r="DB299" s="55">
        <v>-18176.77</v>
      </c>
      <c r="DC299" s="55">
        <v>0.5</v>
      </c>
      <c r="DD299" s="55">
        <v>-698.5</v>
      </c>
      <c r="DE299" s="55">
        <v>-803.28</v>
      </c>
      <c r="DF299" s="52"/>
    </row>
    <row r="300" ht="13.5" customHeight="1">
      <c r="A300" s="52" t="s">
        <v>228</v>
      </c>
      <c r="B300" s="53">
        <v>44105.0</v>
      </c>
      <c r="C300" s="52" t="s">
        <v>109</v>
      </c>
      <c r="D300" s="52" t="s">
        <v>137</v>
      </c>
      <c r="E300" s="52" t="s">
        <v>138</v>
      </c>
      <c r="F300" s="52" t="s">
        <v>112</v>
      </c>
      <c r="G300" s="52" t="s">
        <v>113</v>
      </c>
      <c r="H300" s="52" t="s">
        <v>114</v>
      </c>
      <c r="I300" s="54">
        <v>44131.0</v>
      </c>
      <c r="J300" s="54">
        <v>44132.0</v>
      </c>
      <c r="K300" s="52">
        <f t="shared" si="1"/>
        <v>1</v>
      </c>
      <c r="L300" s="52">
        <v>1.0</v>
      </c>
      <c r="M300" s="52">
        <f t="shared" si="2"/>
        <v>0</v>
      </c>
      <c r="N300" s="54">
        <v>44114.0</v>
      </c>
      <c r="O300" s="54">
        <v>44155.0</v>
      </c>
      <c r="P300" s="52">
        <f t="shared" si="3"/>
        <v>41</v>
      </c>
      <c r="Q300" s="52">
        <v>90.0</v>
      </c>
      <c r="R300" s="52">
        <f t="shared" si="4"/>
        <v>-49</v>
      </c>
      <c r="S300" s="52" t="s">
        <v>816</v>
      </c>
      <c r="T300" s="52" t="s">
        <v>817</v>
      </c>
      <c r="U300" s="52" t="s">
        <v>117</v>
      </c>
      <c r="V300" s="52" t="s">
        <v>132</v>
      </c>
      <c r="W300" s="52" t="s">
        <v>133</v>
      </c>
      <c r="X300" s="52" t="s">
        <v>164</v>
      </c>
      <c r="Y300" s="52">
        <v>2020.0</v>
      </c>
      <c r="Z300" s="52" t="s">
        <v>135</v>
      </c>
      <c r="AA300" s="52">
        <v>2498.0</v>
      </c>
      <c r="AB300" s="52">
        <v>16.0</v>
      </c>
      <c r="AC300" s="52">
        <v>5.0</v>
      </c>
      <c r="AD300" s="55">
        <v>291043.48</v>
      </c>
      <c r="AE300" s="55">
        <v>51971.57</v>
      </c>
      <c r="AF300" s="56">
        <v>0.18</v>
      </c>
      <c r="AG300" s="55">
        <v>19591.75</v>
      </c>
      <c r="AH300" s="55">
        <v>1881.5</v>
      </c>
      <c r="AI300" s="52">
        <v>7.75</v>
      </c>
      <c r="AJ300" s="55">
        <v>130970.0</v>
      </c>
      <c r="AK300" s="52">
        <v>45.0</v>
      </c>
      <c r="AL300" s="54">
        <v>44044.0</v>
      </c>
      <c r="AM300" s="54">
        <v>45981.0</v>
      </c>
      <c r="AN300" s="52">
        <v>60.0</v>
      </c>
      <c r="AO300" s="52">
        <v>2000.0</v>
      </c>
      <c r="AP300" s="52">
        <v>120000.0</v>
      </c>
      <c r="AQ300" s="54">
        <v>46234.0</v>
      </c>
      <c r="AR300" s="52">
        <v>51365.0</v>
      </c>
      <c r="AS300" s="52">
        <v>52818.0</v>
      </c>
      <c r="AT300" s="52">
        <v>1453.0</v>
      </c>
      <c r="AU300" s="52">
        <v>51380.0</v>
      </c>
      <c r="AV300" s="52">
        <v>871.0</v>
      </c>
      <c r="AW300" s="55">
        <v>4218.38</v>
      </c>
      <c r="AX300" s="55">
        <v>761.0</v>
      </c>
      <c r="AY300" s="55">
        <v>125.0</v>
      </c>
      <c r="AZ300" s="55">
        <v>291.0</v>
      </c>
      <c r="BA300" s="55">
        <v>1234.38</v>
      </c>
      <c r="BB300" s="55">
        <v>6629.76</v>
      </c>
      <c r="BC300" s="55">
        <v>994.46</v>
      </c>
      <c r="BD300" s="55">
        <v>7624.22</v>
      </c>
      <c r="BE300" s="54">
        <v>45748.0</v>
      </c>
      <c r="BF300" s="54">
        <v>45838.0</v>
      </c>
      <c r="BG300" s="52">
        <v>48300.0</v>
      </c>
      <c r="BH300" s="52">
        <v>52818.0</v>
      </c>
      <c r="BI300" s="52">
        <v>4518.0</v>
      </c>
      <c r="BJ300" s="52">
        <v>6000.0</v>
      </c>
      <c r="BK300" s="52">
        <v>-1482.0</v>
      </c>
      <c r="BL300" s="55">
        <v>0.45</v>
      </c>
      <c r="BM300" s="55">
        <v>1.68</v>
      </c>
      <c r="BN300" s="55">
        <v>0.0</v>
      </c>
      <c r="BO300" s="55">
        <v>0.0</v>
      </c>
      <c r="BP300" s="55">
        <v>0.0</v>
      </c>
      <c r="BQ300" s="55">
        <v>-84.47</v>
      </c>
      <c r="BR300" s="55">
        <v>0.0</v>
      </c>
      <c r="BS300" s="55">
        <v>0.0</v>
      </c>
      <c r="BT300" s="55">
        <v>0.0</v>
      </c>
      <c r="BU300" s="55">
        <v>0.0</v>
      </c>
      <c r="BV300" s="55">
        <v>0.0</v>
      </c>
      <c r="BW300" s="55">
        <v>0.0</v>
      </c>
      <c r="BX300" s="55">
        <v>0.0</v>
      </c>
      <c r="BY300" s="55">
        <v>5505.25</v>
      </c>
      <c r="BZ300" s="52">
        <v>0.0</v>
      </c>
      <c r="CA300" s="55">
        <v>0.0</v>
      </c>
      <c r="CB300" s="52">
        <v>0.0</v>
      </c>
      <c r="CC300" s="55">
        <v>0.0</v>
      </c>
      <c r="CD300" s="55">
        <v>0.0</v>
      </c>
      <c r="CE300" s="55">
        <v>0.0</v>
      </c>
      <c r="CF300" s="55">
        <v>0.0</v>
      </c>
      <c r="CG300" s="55">
        <v>0.0</v>
      </c>
      <c r="CH300" s="55">
        <v>6976.59</v>
      </c>
      <c r="CI300" s="55">
        <v>909.99</v>
      </c>
      <c r="CJ300" s="55">
        <v>6066.6</v>
      </c>
      <c r="CK300" s="55">
        <v>4.18</v>
      </c>
      <c r="CL300" s="52">
        <v>0.0</v>
      </c>
      <c r="CM300" s="52">
        <v>0.0</v>
      </c>
      <c r="CN300" s="52">
        <v>0.0</v>
      </c>
      <c r="CO300" s="52">
        <v>100.0</v>
      </c>
      <c r="CP300" s="54"/>
      <c r="CQ300" s="52">
        <v>0.0</v>
      </c>
      <c r="CR300" s="52">
        <v>0.0</v>
      </c>
      <c r="CS300" s="52">
        <v>0.0</v>
      </c>
      <c r="CT300" s="52">
        <v>-66620.0</v>
      </c>
      <c r="CU300" s="54">
        <v>45869.0</v>
      </c>
      <c r="CV300" s="54">
        <v>45869.0</v>
      </c>
      <c r="CW300" s="52">
        <v>121438.0</v>
      </c>
      <c r="CX300" s="52" t="s">
        <v>122</v>
      </c>
      <c r="CY300" s="52" t="s">
        <v>778</v>
      </c>
      <c r="CZ300" s="55">
        <v>0.0</v>
      </c>
      <c r="DA300" s="55">
        <v>0.0</v>
      </c>
      <c r="DB300" s="55">
        <v>-23328.32</v>
      </c>
      <c r="DC300" s="55">
        <v>0.38</v>
      </c>
      <c r="DD300" s="55">
        <v>-563.16</v>
      </c>
      <c r="DE300" s="55">
        <v>-647.63</v>
      </c>
      <c r="DF300" s="52"/>
    </row>
    <row r="301" ht="13.5" customHeight="1">
      <c r="A301" s="52" t="s">
        <v>228</v>
      </c>
      <c r="B301" s="53">
        <v>44105.0</v>
      </c>
      <c r="C301" s="52" t="s">
        <v>124</v>
      </c>
      <c r="D301" s="52" t="s">
        <v>110</v>
      </c>
      <c r="E301" s="52" t="s">
        <v>111</v>
      </c>
      <c r="F301" s="52" t="s">
        <v>112</v>
      </c>
      <c r="G301" s="52" t="s">
        <v>113</v>
      </c>
      <c r="H301" s="52" t="s">
        <v>129</v>
      </c>
      <c r="I301" s="54">
        <v>44132.0</v>
      </c>
      <c r="J301" s="54">
        <v>44135.0</v>
      </c>
      <c r="K301" s="52">
        <f t="shared" si="1"/>
        <v>3</v>
      </c>
      <c r="L301" s="52">
        <v>1.0</v>
      </c>
      <c r="M301" s="52">
        <f t="shared" si="2"/>
        <v>2</v>
      </c>
      <c r="N301" s="54">
        <v>44114.0</v>
      </c>
      <c r="O301" s="54">
        <v>44156.0</v>
      </c>
      <c r="P301" s="52">
        <f t="shared" si="3"/>
        <v>42</v>
      </c>
      <c r="Q301" s="52">
        <v>90.0</v>
      </c>
      <c r="R301" s="52">
        <f t="shared" si="4"/>
        <v>-48</v>
      </c>
      <c r="S301" s="52" t="s">
        <v>818</v>
      </c>
      <c r="T301" s="52" t="s">
        <v>819</v>
      </c>
      <c r="U301" s="52" t="s">
        <v>117</v>
      </c>
      <c r="V301" s="52" t="s">
        <v>132</v>
      </c>
      <c r="W301" s="52" t="s">
        <v>133</v>
      </c>
      <c r="X301" s="52" t="s">
        <v>164</v>
      </c>
      <c r="Y301" s="52">
        <v>2020.0</v>
      </c>
      <c r="Z301" s="52" t="s">
        <v>135</v>
      </c>
      <c r="AA301" s="52">
        <v>2498.0</v>
      </c>
      <c r="AB301" s="52">
        <v>16.0</v>
      </c>
      <c r="AC301" s="52">
        <v>6.0</v>
      </c>
      <c r="AD301" s="55">
        <v>291043.48</v>
      </c>
      <c r="AE301" s="55">
        <v>51971.57</v>
      </c>
      <c r="AF301" s="56">
        <v>0.18</v>
      </c>
      <c r="AG301" s="55">
        <v>19015.91</v>
      </c>
      <c r="AH301" s="55">
        <v>1239.5</v>
      </c>
      <c r="AI301" s="52">
        <v>7.75</v>
      </c>
      <c r="AJ301" s="55">
        <v>108212.98</v>
      </c>
      <c r="AK301" s="52">
        <v>82.76</v>
      </c>
      <c r="AL301" s="54">
        <v>44044.0</v>
      </c>
      <c r="AM301" s="54">
        <v>45982.0</v>
      </c>
      <c r="AN301" s="52">
        <v>60.0</v>
      </c>
      <c r="AO301" s="52">
        <v>1500.0</v>
      </c>
      <c r="AP301" s="52">
        <v>96929.0</v>
      </c>
      <c r="AQ301" s="54">
        <v>46234.0</v>
      </c>
      <c r="AR301" s="52">
        <v>89954.0</v>
      </c>
      <c r="AS301" s="52">
        <v>89954.0</v>
      </c>
      <c r="AT301" s="52">
        <v>1.0</v>
      </c>
      <c r="AU301" s="52">
        <v>88514.0</v>
      </c>
      <c r="AV301" s="52">
        <v>1500.0</v>
      </c>
      <c r="AW301" s="55">
        <v>4060.76</v>
      </c>
      <c r="AX301" s="55">
        <v>571.0</v>
      </c>
      <c r="AY301" s="55">
        <v>125.0</v>
      </c>
      <c r="AZ301" s="55">
        <v>291.0</v>
      </c>
      <c r="BA301" s="55">
        <v>1234.38</v>
      </c>
      <c r="BB301" s="55">
        <v>6282.14</v>
      </c>
      <c r="BC301" s="55">
        <v>942.32</v>
      </c>
      <c r="BD301" s="55">
        <v>7224.46</v>
      </c>
      <c r="BE301" s="54">
        <v>45748.0</v>
      </c>
      <c r="BF301" s="54">
        <v>45838.0</v>
      </c>
      <c r="BG301" s="52">
        <v>88538.0</v>
      </c>
      <c r="BH301" s="52">
        <v>89954.0</v>
      </c>
      <c r="BI301" s="52">
        <v>1416.0</v>
      </c>
      <c r="BJ301" s="52">
        <v>4500.0</v>
      </c>
      <c r="BK301" s="52">
        <v>-3084.0</v>
      </c>
      <c r="BL301" s="55">
        <v>0.44</v>
      </c>
      <c r="BM301" s="55">
        <v>1.62</v>
      </c>
      <c r="BN301" s="55">
        <v>0.0</v>
      </c>
      <c r="BO301" s="55">
        <v>0.0</v>
      </c>
      <c r="BP301" s="55">
        <v>0.0</v>
      </c>
      <c r="BQ301" s="55">
        <v>-175.79</v>
      </c>
      <c r="BR301" s="55">
        <v>0.0</v>
      </c>
      <c r="BS301" s="55">
        <v>0.0</v>
      </c>
      <c r="BT301" s="55">
        <v>0.0</v>
      </c>
      <c r="BU301" s="55">
        <v>0.0</v>
      </c>
      <c r="BV301" s="55">
        <v>0.0</v>
      </c>
      <c r="BW301" s="55">
        <v>0.0</v>
      </c>
      <c r="BX301" s="55">
        <v>0.0</v>
      </c>
      <c r="BY301" s="55">
        <v>0.0</v>
      </c>
      <c r="BZ301" s="52">
        <v>0.0</v>
      </c>
      <c r="CA301" s="55">
        <v>0.0</v>
      </c>
      <c r="CB301" s="52">
        <v>0.0</v>
      </c>
      <c r="CC301" s="55">
        <v>0.0</v>
      </c>
      <c r="CD301" s="55">
        <v>0.0</v>
      </c>
      <c r="CE301" s="55">
        <v>0.0</v>
      </c>
      <c r="CF301" s="55">
        <v>0.0</v>
      </c>
      <c r="CG301" s="55">
        <v>0.0</v>
      </c>
      <c r="CH301" s="55">
        <v>5876.75</v>
      </c>
      <c r="CI301" s="55">
        <v>766.53</v>
      </c>
      <c r="CJ301" s="55">
        <v>5110.22</v>
      </c>
      <c r="CK301" s="55">
        <v>5110.22</v>
      </c>
      <c r="CL301" s="52">
        <v>0.0</v>
      </c>
      <c r="CM301" s="52">
        <v>0.0</v>
      </c>
      <c r="CN301" s="52">
        <v>0.0</v>
      </c>
      <c r="CO301" s="52">
        <v>100.0</v>
      </c>
      <c r="CP301" s="54"/>
      <c r="CQ301" s="52">
        <v>0.0</v>
      </c>
      <c r="CR301" s="52">
        <v>0.0</v>
      </c>
      <c r="CS301" s="52">
        <v>0.0</v>
      </c>
      <c r="CT301" s="52">
        <v>14.0</v>
      </c>
      <c r="CU301" s="54">
        <v>45869.0</v>
      </c>
      <c r="CV301" s="54">
        <v>45869.0</v>
      </c>
      <c r="CW301" s="52">
        <v>98369.0</v>
      </c>
      <c r="CX301" s="52" t="s">
        <v>122</v>
      </c>
      <c r="CY301" s="52" t="s">
        <v>778</v>
      </c>
      <c r="CZ301" s="55">
        <v>4465.19</v>
      </c>
      <c r="DA301" s="55">
        <v>22372.27</v>
      </c>
      <c r="DB301" s="55">
        <v>-4154.74</v>
      </c>
      <c r="DC301" s="55">
        <v>0.38</v>
      </c>
      <c r="DD301" s="55">
        <v>-1171.92</v>
      </c>
      <c r="DE301" s="55">
        <v>-1347.71</v>
      </c>
      <c r="DF301" s="52"/>
    </row>
    <row r="302" ht="13.5" customHeight="1">
      <c r="A302" s="57" t="s">
        <v>108</v>
      </c>
      <c r="B302" s="58">
        <v>44136.0</v>
      </c>
      <c r="C302" s="57" t="s">
        <v>136</v>
      </c>
      <c r="D302" s="57" t="s">
        <v>125</v>
      </c>
      <c r="E302" s="57" t="s">
        <v>126</v>
      </c>
      <c r="F302" s="57" t="s">
        <v>112</v>
      </c>
      <c r="G302" s="57" t="s">
        <v>113</v>
      </c>
      <c r="H302" s="57" t="s">
        <v>141</v>
      </c>
      <c r="I302" s="59">
        <v>44164.0</v>
      </c>
      <c r="J302" s="59">
        <v>44165.0</v>
      </c>
      <c r="K302" s="57">
        <f t="shared" si="1"/>
        <v>1</v>
      </c>
      <c r="L302" s="57">
        <v>1.0</v>
      </c>
      <c r="M302" s="57">
        <f t="shared" si="2"/>
        <v>0</v>
      </c>
      <c r="N302" s="59">
        <v>44146.0</v>
      </c>
      <c r="O302" s="59">
        <v>44277.0</v>
      </c>
      <c r="P302" s="57">
        <f t="shared" si="3"/>
        <v>131</v>
      </c>
      <c r="Q302" s="57">
        <v>90.0</v>
      </c>
      <c r="R302" s="57">
        <f t="shared" si="4"/>
        <v>41</v>
      </c>
      <c r="S302" s="57" t="s">
        <v>820</v>
      </c>
      <c r="T302" s="57" t="s">
        <v>821</v>
      </c>
      <c r="U302" s="57" t="s">
        <v>117</v>
      </c>
      <c r="V302" s="57" t="s">
        <v>132</v>
      </c>
      <c r="W302" s="57" t="s">
        <v>133</v>
      </c>
      <c r="X302" s="57" t="s">
        <v>164</v>
      </c>
      <c r="Y302" s="57">
        <v>2020.0</v>
      </c>
      <c r="Z302" s="57" t="s">
        <v>135</v>
      </c>
      <c r="AA302" s="57">
        <v>2498.0</v>
      </c>
      <c r="AB302" s="57">
        <v>16.0</v>
      </c>
      <c r="AC302" s="57">
        <v>5.0</v>
      </c>
      <c r="AD302" s="60">
        <v>291043.48</v>
      </c>
      <c r="AE302" s="60">
        <v>51971.57</v>
      </c>
      <c r="AF302" s="61">
        <v>0.18</v>
      </c>
      <c r="AG302" s="60">
        <v>19462.52</v>
      </c>
      <c r="AH302" s="60">
        <v>1881.5</v>
      </c>
      <c r="AI302" s="57">
        <v>7.75</v>
      </c>
      <c r="AJ302" s="60">
        <v>130970.0</v>
      </c>
      <c r="AK302" s="57">
        <v>45.0</v>
      </c>
      <c r="AL302" s="59">
        <v>44277.0</v>
      </c>
      <c r="AM302" s="59">
        <v>46103.0</v>
      </c>
      <c r="AN302" s="57">
        <v>60.0</v>
      </c>
      <c r="AO302" s="57">
        <v>1500.0</v>
      </c>
      <c r="AP302" s="57">
        <v>90000.0</v>
      </c>
      <c r="AQ302" s="59">
        <v>46234.0</v>
      </c>
      <c r="AR302" s="57">
        <v>60867.0</v>
      </c>
      <c r="AS302" s="57">
        <v>61365.0</v>
      </c>
      <c r="AT302" s="57">
        <v>498.0</v>
      </c>
      <c r="AU302" s="57">
        <v>59925.0</v>
      </c>
      <c r="AV302" s="57">
        <v>1016.0</v>
      </c>
      <c r="AW302" s="60">
        <v>4005.47</v>
      </c>
      <c r="AX302" s="60">
        <v>570.77</v>
      </c>
      <c r="AY302" s="60">
        <v>125.0</v>
      </c>
      <c r="AZ302" s="60">
        <v>291.0</v>
      </c>
      <c r="BA302" s="60">
        <v>1444.7</v>
      </c>
      <c r="BB302" s="60">
        <v>6436.94</v>
      </c>
      <c r="BC302" s="60">
        <v>965.54</v>
      </c>
      <c r="BD302" s="60">
        <v>7402.48</v>
      </c>
      <c r="BE302" s="59">
        <v>45748.0</v>
      </c>
      <c r="BF302" s="59">
        <v>45838.0</v>
      </c>
      <c r="BG302" s="57">
        <v>58459.0</v>
      </c>
      <c r="BH302" s="57">
        <v>61365.0</v>
      </c>
      <c r="BI302" s="57">
        <v>2906.0</v>
      </c>
      <c r="BJ302" s="57">
        <v>4500.0</v>
      </c>
      <c r="BK302" s="57">
        <v>-1594.0</v>
      </c>
      <c r="BL302" s="60">
        <v>0.45</v>
      </c>
      <c r="BM302" s="60">
        <v>2.25</v>
      </c>
      <c r="BN302" s="60">
        <v>0.0</v>
      </c>
      <c r="BO302" s="60">
        <v>0.0</v>
      </c>
      <c r="BP302" s="60">
        <v>0.0</v>
      </c>
      <c r="BQ302" s="60">
        <v>-90.86</v>
      </c>
      <c r="BR302" s="60">
        <v>0.0</v>
      </c>
      <c r="BS302" s="60">
        <v>0.0</v>
      </c>
      <c r="BT302" s="60">
        <v>0.0</v>
      </c>
      <c r="BU302" s="60">
        <v>0.0</v>
      </c>
      <c r="BV302" s="60">
        <v>0.0</v>
      </c>
      <c r="BW302" s="60">
        <v>0.0</v>
      </c>
      <c r="BX302" s="60">
        <v>0.0</v>
      </c>
      <c r="BY302" s="60">
        <v>1444.3</v>
      </c>
      <c r="BZ302" s="57">
        <v>0.0</v>
      </c>
      <c r="CA302" s="60">
        <v>0.0</v>
      </c>
      <c r="CB302" s="57">
        <v>0.0</v>
      </c>
      <c r="CC302" s="60">
        <v>0.0</v>
      </c>
      <c r="CD302" s="60">
        <v>0.0</v>
      </c>
      <c r="CE302" s="60">
        <v>0.0</v>
      </c>
      <c r="CF302" s="60">
        <v>0.0</v>
      </c>
      <c r="CG302" s="60">
        <v>0.0</v>
      </c>
      <c r="CH302" s="60">
        <v>6705.9</v>
      </c>
      <c r="CI302" s="60">
        <v>874.68</v>
      </c>
      <c r="CJ302" s="60">
        <v>5831.22</v>
      </c>
      <c r="CK302" s="60">
        <v>11.71</v>
      </c>
      <c r="CL302" s="57">
        <v>0.0</v>
      </c>
      <c r="CM302" s="57">
        <v>0.0</v>
      </c>
      <c r="CN302" s="57">
        <v>0.0</v>
      </c>
      <c r="CO302" s="57">
        <v>100.0</v>
      </c>
      <c r="CP302" s="59"/>
      <c r="CQ302" s="57">
        <v>0.0</v>
      </c>
      <c r="CR302" s="57">
        <v>0.0</v>
      </c>
      <c r="CS302" s="57">
        <v>0.0</v>
      </c>
      <c r="CT302" s="57">
        <v>-28575.0</v>
      </c>
      <c r="CU302" s="59">
        <v>45869.0</v>
      </c>
      <c r="CV302" s="59">
        <v>45869.0</v>
      </c>
      <c r="CW302" s="57">
        <v>91440.0</v>
      </c>
      <c r="CX302" s="57" t="s">
        <v>122</v>
      </c>
      <c r="CY302" s="57" t="s">
        <v>778</v>
      </c>
      <c r="CZ302" s="60">
        <v>0.0</v>
      </c>
      <c r="DA302" s="60">
        <v>0.0</v>
      </c>
      <c r="DB302" s="60">
        <v>-9760.47</v>
      </c>
      <c r="DC302" s="60">
        <v>0.38</v>
      </c>
      <c r="DD302" s="60">
        <v>-605.72</v>
      </c>
      <c r="DE302" s="60">
        <v>-696.58</v>
      </c>
      <c r="DF302" s="57"/>
    </row>
    <row r="303" ht="13.5" customHeight="1">
      <c r="A303" s="57" t="s">
        <v>108</v>
      </c>
      <c r="B303" s="58">
        <v>44136.0</v>
      </c>
      <c r="C303" s="57" t="s">
        <v>109</v>
      </c>
      <c r="D303" s="57" t="s">
        <v>137</v>
      </c>
      <c r="E303" s="57" t="s">
        <v>138</v>
      </c>
      <c r="F303" s="57" t="s">
        <v>112</v>
      </c>
      <c r="G303" s="57" t="s">
        <v>113</v>
      </c>
      <c r="H303" s="57" t="s">
        <v>114</v>
      </c>
      <c r="I303" s="59">
        <v>44165.0</v>
      </c>
      <c r="J303" s="59">
        <v>44167.0</v>
      </c>
      <c r="K303" s="57">
        <f t="shared" si="1"/>
        <v>2</v>
      </c>
      <c r="L303" s="57">
        <v>1.0</v>
      </c>
      <c r="M303" s="57">
        <f t="shared" si="2"/>
        <v>1</v>
      </c>
      <c r="N303" s="59">
        <v>44148.0</v>
      </c>
      <c r="O303" s="59">
        <v>44278.0</v>
      </c>
      <c r="P303" s="57">
        <f t="shared" si="3"/>
        <v>130</v>
      </c>
      <c r="Q303" s="57">
        <v>90.0</v>
      </c>
      <c r="R303" s="57">
        <f t="shared" si="4"/>
        <v>40</v>
      </c>
      <c r="S303" s="57" t="s">
        <v>822</v>
      </c>
      <c r="T303" s="57" t="s">
        <v>823</v>
      </c>
      <c r="U303" s="57" t="s">
        <v>117</v>
      </c>
      <c r="V303" s="57" t="s">
        <v>190</v>
      </c>
      <c r="W303" s="57" t="s">
        <v>119</v>
      </c>
      <c r="X303" s="57" t="s">
        <v>191</v>
      </c>
      <c r="Y303" s="57">
        <v>2020.0</v>
      </c>
      <c r="Z303" s="57" t="s">
        <v>121</v>
      </c>
      <c r="AA303" s="57">
        <v>1498.0</v>
      </c>
      <c r="AB303" s="57">
        <v>16.0</v>
      </c>
      <c r="AC303" s="57">
        <v>5.0</v>
      </c>
      <c r="AD303" s="60">
        <v>190240.52</v>
      </c>
      <c r="AE303" s="60">
        <v>38683.01</v>
      </c>
      <c r="AF303" s="61">
        <v>0.2</v>
      </c>
      <c r="AG303" s="60">
        <v>20141.64</v>
      </c>
      <c r="AH303" s="60">
        <v>1587.5</v>
      </c>
      <c r="AI303" s="57">
        <v>7.75</v>
      </c>
      <c r="AJ303" s="60">
        <v>77999.0</v>
      </c>
      <c r="AK303" s="57">
        <v>41.0</v>
      </c>
      <c r="AL303" s="59">
        <v>44278.0</v>
      </c>
      <c r="AM303" s="59">
        <v>46104.0</v>
      </c>
      <c r="AN303" s="57">
        <v>60.0</v>
      </c>
      <c r="AO303" s="57">
        <v>1400.0</v>
      </c>
      <c r="AP303" s="57">
        <v>84000.0</v>
      </c>
      <c r="AQ303" s="59">
        <v>46234.0</v>
      </c>
      <c r="AR303" s="57">
        <v>51822.0</v>
      </c>
      <c r="AS303" s="57">
        <v>52757.0</v>
      </c>
      <c r="AT303" s="57">
        <v>935.0</v>
      </c>
      <c r="AU303" s="57">
        <v>51339.0</v>
      </c>
      <c r="AV303" s="57">
        <v>870.0</v>
      </c>
      <c r="AW303" s="60">
        <v>3129.99</v>
      </c>
      <c r="AX303" s="60">
        <v>497.19</v>
      </c>
      <c r="AY303" s="60">
        <v>75.0</v>
      </c>
      <c r="AZ303" s="60">
        <v>291.0</v>
      </c>
      <c r="BA303" s="60">
        <v>1154.67</v>
      </c>
      <c r="BB303" s="60">
        <v>5147.85</v>
      </c>
      <c r="BC303" s="60">
        <v>772.18</v>
      </c>
      <c r="BD303" s="60">
        <v>5920.03</v>
      </c>
      <c r="BE303" s="59">
        <v>45748.0</v>
      </c>
      <c r="BF303" s="59">
        <v>45838.0</v>
      </c>
      <c r="BG303" s="57">
        <v>50555.0</v>
      </c>
      <c r="BH303" s="57">
        <v>52757.0</v>
      </c>
      <c r="BI303" s="57">
        <v>2202.0</v>
      </c>
      <c r="BJ303" s="57">
        <v>4200.0</v>
      </c>
      <c r="BK303" s="57">
        <v>-1998.0</v>
      </c>
      <c r="BL303" s="60">
        <v>0.42</v>
      </c>
      <c r="BM303" s="60">
        <v>1.69</v>
      </c>
      <c r="BN303" s="60">
        <v>0.0</v>
      </c>
      <c r="BO303" s="60">
        <v>0.0</v>
      </c>
      <c r="BP303" s="60">
        <v>0.0</v>
      </c>
      <c r="BQ303" s="60">
        <v>-107.89</v>
      </c>
      <c r="BR303" s="60">
        <v>0.0</v>
      </c>
      <c r="BS303" s="60">
        <v>0.0</v>
      </c>
      <c r="BT303" s="60">
        <v>0.0</v>
      </c>
      <c r="BU303" s="60">
        <v>0.0</v>
      </c>
      <c r="BV303" s="60">
        <v>0.0</v>
      </c>
      <c r="BW303" s="60">
        <v>0.0</v>
      </c>
      <c r="BX303" s="60">
        <v>0.0</v>
      </c>
      <c r="BY303" s="60">
        <v>3058.35</v>
      </c>
      <c r="BZ303" s="57">
        <v>0.0</v>
      </c>
      <c r="CA303" s="60">
        <v>0.0</v>
      </c>
      <c r="CB303" s="57">
        <v>0.0</v>
      </c>
      <c r="CC303" s="60">
        <v>0.0</v>
      </c>
      <c r="CD303" s="60">
        <v>0.0</v>
      </c>
      <c r="CE303" s="60">
        <v>0.0</v>
      </c>
      <c r="CF303" s="60">
        <v>0.0</v>
      </c>
      <c r="CG303" s="60">
        <v>0.0</v>
      </c>
      <c r="CH303" s="60">
        <v>5092.86</v>
      </c>
      <c r="CI303" s="60">
        <v>664.29</v>
      </c>
      <c r="CJ303" s="60">
        <v>4428.57</v>
      </c>
      <c r="CK303" s="60">
        <v>4.74</v>
      </c>
      <c r="CL303" s="57">
        <v>0.0</v>
      </c>
      <c r="CM303" s="57">
        <v>0.0</v>
      </c>
      <c r="CN303" s="57">
        <v>0.0</v>
      </c>
      <c r="CO303" s="57">
        <v>100.0</v>
      </c>
      <c r="CP303" s="59"/>
      <c r="CQ303" s="57">
        <v>0.0</v>
      </c>
      <c r="CR303" s="57">
        <v>0.0</v>
      </c>
      <c r="CS303" s="57">
        <v>0.0</v>
      </c>
      <c r="CT303" s="57">
        <v>-31261.0</v>
      </c>
      <c r="CU303" s="59">
        <v>45869.0</v>
      </c>
      <c r="CV303" s="59">
        <v>45869.0</v>
      </c>
      <c r="CW303" s="57">
        <v>85418.0</v>
      </c>
      <c r="CX303" s="57" t="s">
        <v>122</v>
      </c>
      <c r="CY303" s="57" t="s">
        <v>778</v>
      </c>
      <c r="CZ303" s="60">
        <v>0.0</v>
      </c>
      <c r="DA303" s="60">
        <v>0.0</v>
      </c>
      <c r="DB303" s="60">
        <v>-10281.26</v>
      </c>
      <c r="DC303" s="60">
        <v>0.36</v>
      </c>
      <c r="DD303" s="60">
        <v>-719.28</v>
      </c>
      <c r="DE303" s="60">
        <v>-827.17</v>
      </c>
      <c r="DF303" s="57"/>
    </row>
    <row r="304" ht="13.5" customHeight="1">
      <c r="A304" s="57" t="s">
        <v>108</v>
      </c>
      <c r="B304" s="58">
        <v>44136.0</v>
      </c>
      <c r="C304" s="57" t="s">
        <v>124</v>
      </c>
      <c r="D304" s="57" t="s">
        <v>110</v>
      </c>
      <c r="E304" s="57" t="s">
        <v>111</v>
      </c>
      <c r="F304" s="57" t="s">
        <v>112</v>
      </c>
      <c r="G304" s="57" t="s">
        <v>113</v>
      </c>
      <c r="H304" s="57" t="s">
        <v>129</v>
      </c>
      <c r="I304" s="59">
        <v>44158.0</v>
      </c>
      <c r="J304" s="59">
        <v>44162.0</v>
      </c>
      <c r="K304" s="57">
        <f t="shared" si="1"/>
        <v>4</v>
      </c>
      <c r="L304" s="57">
        <v>1.0</v>
      </c>
      <c r="M304" s="57">
        <f t="shared" si="2"/>
        <v>3</v>
      </c>
      <c r="N304" s="59">
        <v>44149.0</v>
      </c>
      <c r="O304" s="59">
        <v>44279.0</v>
      </c>
      <c r="P304" s="57">
        <f t="shared" si="3"/>
        <v>130</v>
      </c>
      <c r="Q304" s="57">
        <v>90.0</v>
      </c>
      <c r="R304" s="57">
        <f t="shared" si="4"/>
        <v>40</v>
      </c>
      <c r="S304" s="57" t="s">
        <v>824</v>
      </c>
      <c r="T304" s="57" t="s">
        <v>825</v>
      </c>
      <c r="U304" s="57" t="s">
        <v>117</v>
      </c>
      <c r="V304" s="57" t="s">
        <v>147</v>
      </c>
      <c r="W304" s="57" t="s">
        <v>182</v>
      </c>
      <c r="X304" s="57" t="s">
        <v>826</v>
      </c>
      <c r="Y304" s="57">
        <v>2020.0</v>
      </c>
      <c r="Z304" s="57" t="s">
        <v>135</v>
      </c>
      <c r="AA304" s="57">
        <v>2198.0</v>
      </c>
      <c r="AB304" s="57">
        <v>16.0</v>
      </c>
      <c r="AC304" s="57">
        <v>4.0</v>
      </c>
      <c r="AD304" s="60">
        <v>387391.0</v>
      </c>
      <c r="AE304" s="60">
        <v>40292.0</v>
      </c>
      <c r="AF304" s="61">
        <v>0.1</v>
      </c>
      <c r="AG304" s="60">
        <v>30780.28</v>
      </c>
      <c r="AH304" s="60">
        <v>2241.5</v>
      </c>
      <c r="AI304" s="57">
        <v>7.75</v>
      </c>
      <c r="AJ304" s="60">
        <v>147209.0</v>
      </c>
      <c r="AK304" s="57">
        <v>38.0</v>
      </c>
      <c r="AL304" s="59">
        <v>44279.0</v>
      </c>
      <c r="AM304" s="59">
        <v>46105.0</v>
      </c>
      <c r="AN304" s="57">
        <v>60.0</v>
      </c>
      <c r="AO304" s="57">
        <v>3000.0</v>
      </c>
      <c r="AP304" s="57">
        <v>180000.0</v>
      </c>
      <c r="AQ304" s="59">
        <v>46234.0</v>
      </c>
      <c r="AR304" s="57">
        <v>71986.0</v>
      </c>
      <c r="AS304" s="57">
        <v>72586.0</v>
      </c>
      <c r="AT304" s="57">
        <v>600.0</v>
      </c>
      <c r="AU304" s="57">
        <v>71112.0</v>
      </c>
      <c r="AV304" s="57">
        <v>1205.0</v>
      </c>
      <c r="AW304" s="60">
        <v>6359.95</v>
      </c>
      <c r="AX304" s="60">
        <v>1388.97</v>
      </c>
      <c r="AY304" s="60">
        <v>125.0</v>
      </c>
      <c r="AZ304" s="60">
        <v>291.0</v>
      </c>
      <c r="BA304" s="60">
        <v>1254.3</v>
      </c>
      <c r="BB304" s="60">
        <v>9419.22</v>
      </c>
      <c r="BC304" s="60">
        <v>1412.88</v>
      </c>
      <c r="BD304" s="60">
        <v>10832.1</v>
      </c>
      <c r="BE304" s="59">
        <v>45748.0</v>
      </c>
      <c r="BF304" s="59">
        <v>45838.0</v>
      </c>
      <c r="BG304" s="57">
        <v>70665.0</v>
      </c>
      <c r="BH304" s="57">
        <v>72586.0</v>
      </c>
      <c r="BI304" s="57">
        <v>1921.0</v>
      </c>
      <c r="BJ304" s="57">
        <v>9000.0</v>
      </c>
      <c r="BK304" s="57">
        <v>-7079.0</v>
      </c>
      <c r="BL304" s="60">
        <v>0.47</v>
      </c>
      <c r="BM304" s="60">
        <v>1.54</v>
      </c>
      <c r="BN304" s="60">
        <v>0.0</v>
      </c>
      <c r="BO304" s="60">
        <v>0.0</v>
      </c>
      <c r="BP304" s="60">
        <v>0.0</v>
      </c>
      <c r="BQ304" s="60">
        <v>-488.45</v>
      </c>
      <c r="BR304" s="60">
        <v>0.0</v>
      </c>
      <c r="BS304" s="60">
        <v>0.0</v>
      </c>
      <c r="BT304" s="60">
        <v>0.0</v>
      </c>
      <c r="BU304" s="60">
        <v>0.0</v>
      </c>
      <c r="BV304" s="60">
        <v>0.0</v>
      </c>
      <c r="BW304" s="60">
        <v>0.0</v>
      </c>
      <c r="BX304" s="60">
        <v>0.0</v>
      </c>
      <c r="BY304" s="60">
        <v>1074.55</v>
      </c>
      <c r="BZ304" s="57">
        <v>0.0</v>
      </c>
      <c r="CA304" s="60">
        <v>0.0</v>
      </c>
      <c r="CB304" s="57">
        <v>0.0</v>
      </c>
      <c r="CC304" s="60">
        <v>0.0</v>
      </c>
      <c r="CD304" s="60">
        <v>0.0</v>
      </c>
      <c r="CE304" s="60">
        <v>0.0</v>
      </c>
      <c r="CF304" s="60">
        <v>0.0</v>
      </c>
      <c r="CG304" s="60">
        <v>0.0</v>
      </c>
      <c r="CH304" s="60">
        <v>7087.31</v>
      </c>
      <c r="CI304" s="60">
        <v>924.43</v>
      </c>
      <c r="CJ304" s="60">
        <v>6162.88</v>
      </c>
      <c r="CK304" s="60">
        <v>10.27</v>
      </c>
      <c r="CL304" s="57">
        <v>0.0</v>
      </c>
      <c r="CM304" s="57">
        <v>0.0</v>
      </c>
      <c r="CN304" s="57">
        <v>0.0</v>
      </c>
      <c r="CO304" s="57">
        <v>100.0</v>
      </c>
      <c r="CP304" s="59"/>
      <c r="CQ304" s="57">
        <v>0.0</v>
      </c>
      <c r="CR304" s="57">
        <v>0.0</v>
      </c>
      <c r="CS304" s="57">
        <v>0.0</v>
      </c>
      <c r="CT304" s="57">
        <v>-105888.0</v>
      </c>
      <c r="CU304" s="59">
        <v>45869.0</v>
      </c>
      <c r="CV304" s="59">
        <v>45869.0</v>
      </c>
      <c r="CW304" s="57">
        <v>181474.0</v>
      </c>
      <c r="CX304" s="57" t="s">
        <v>122</v>
      </c>
      <c r="CY304" s="57" t="s">
        <v>778</v>
      </c>
      <c r="CZ304" s="60">
        <v>761.87</v>
      </c>
      <c r="DA304" s="60">
        <v>2496.34</v>
      </c>
      <c r="DB304" s="60">
        <v>-45680.09</v>
      </c>
      <c r="DC304" s="60">
        <v>0.46</v>
      </c>
      <c r="DD304" s="60">
        <v>-3256.34</v>
      </c>
      <c r="DE304" s="60">
        <v>-3744.79</v>
      </c>
      <c r="DF304" s="57"/>
    </row>
    <row r="305" ht="13.5" customHeight="1">
      <c r="A305" s="57" t="s">
        <v>144</v>
      </c>
      <c r="B305" s="58">
        <v>44136.0</v>
      </c>
      <c r="C305" s="57" t="s">
        <v>136</v>
      </c>
      <c r="D305" s="57" t="s">
        <v>125</v>
      </c>
      <c r="E305" s="57" t="s">
        <v>126</v>
      </c>
      <c r="F305" s="57" t="s">
        <v>112</v>
      </c>
      <c r="G305" s="57" t="s">
        <v>113</v>
      </c>
      <c r="H305" s="57" t="s">
        <v>141</v>
      </c>
      <c r="I305" s="59">
        <v>44136.0</v>
      </c>
      <c r="J305" s="59">
        <v>44137.0</v>
      </c>
      <c r="K305" s="57">
        <f t="shared" si="1"/>
        <v>1</v>
      </c>
      <c r="L305" s="57">
        <v>1.0</v>
      </c>
      <c r="M305" s="57">
        <f t="shared" si="2"/>
        <v>0</v>
      </c>
      <c r="N305" s="59">
        <v>44150.0</v>
      </c>
      <c r="O305" s="59">
        <v>44278.0</v>
      </c>
      <c r="P305" s="57">
        <f t="shared" si="3"/>
        <v>128</v>
      </c>
      <c r="Q305" s="57">
        <v>90.0</v>
      </c>
      <c r="R305" s="57">
        <f t="shared" si="4"/>
        <v>38</v>
      </c>
      <c r="S305" s="57" t="s">
        <v>827</v>
      </c>
      <c r="T305" s="57" t="s">
        <v>828</v>
      </c>
      <c r="U305" s="57" t="s">
        <v>117</v>
      </c>
      <c r="V305" s="57" t="s">
        <v>147</v>
      </c>
      <c r="W305" s="57" t="s">
        <v>182</v>
      </c>
      <c r="X305" s="57" t="s">
        <v>826</v>
      </c>
      <c r="Y305" s="57">
        <v>2020.0</v>
      </c>
      <c r="Z305" s="57" t="s">
        <v>135</v>
      </c>
      <c r="AA305" s="57">
        <v>2198.0</v>
      </c>
      <c r="AB305" s="57">
        <v>16.0</v>
      </c>
      <c r="AC305" s="57">
        <v>6.0</v>
      </c>
      <c r="AD305" s="60">
        <v>399186.96</v>
      </c>
      <c r="AE305" s="60">
        <v>52087.96</v>
      </c>
      <c r="AF305" s="61">
        <v>0.13</v>
      </c>
      <c r="AG305" s="60">
        <v>23532.42</v>
      </c>
      <c r="AH305" s="60">
        <v>2241.5</v>
      </c>
      <c r="AI305" s="57">
        <v>7.75</v>
      </c>
      <c r="AJ305" s="60">
        <v>151691.0</v>
      </c>
      <c r="AK305" s="57">
        <v>38.0</v>
      </c>
      <c r="AL305" s="59">
        <v>44278.0</v>
      </c>
      <c r="AM305" s="59">
        <v>46104.0</v>
      </c>
      <c r="AN305" s="57">
        <v>60.0</v>
      </c>
      <c r="AO305" s="57">
        <v>2000.0</v>
      </c>
      <c r="AP305" s="57">
        <v>120000.0</v>
      </c>
      <c r="AQ305" s="59">
        <v>46234.0</v>
      </c>
      <c r="AR305" s="57">
        <v>89005.0</v>
      </c>
      <c r="AS305" s="57">
        <v>90002.0</v>
      </c>
      <c r="AT305" s="57">
        <v>997.0</v>
      </c>
      <c r="AU305" s="57">
        <v>88558.0</v>
      </c>
      <c r="AV305" s="57">
        <v>1501.0</v>
      </c>
      <c r="AW305" s="60">
        <v>6156.53</v>
      </c>
      <c r="AX305" s="60">
        <v>852.87</v>
      </c>
      <c r="AY305" s="60">
        <v>125.0</v>
      </c>
      <c r="AZ305" s="60">
        <v>291.0</v>
      </c>
      <c r="BA305" s="60">
        <v>1254.3</v>
      </c>
      <c r="BB305" s="60">
        <v>8679.7</v>
      </c>
      <c r="BC305" s="60">
        <v>1301.96</v>
      </c>
      <c r="BD305" s="60">
        <v>9981.66</v>
      </c>
      <c r="BE305" s="59">
        <v>45748.0</v>
      </c>
      <c r="BF305" s="59">
        <v>45838.0</v>
      </c>
      <c r="BG305" s="57">
        <v>86046.0</v>
      </c>
      <c r="BH305" s="57">
        <v>90002.0</v>
      </c>
      <c r="BI305" s="57">
        <v>3956.0</v>
      </c>
      <c r="BJ305" s="57">
        <v>6000.0</v>
      </c>
      <c r="BK305" s="57">
        <v>-2044.0</v>
      </c>
      <c r="BL305" s="60">
        <v>0.49</v>
      </c>
      <c r="BM305" s="60">
        <v>2.5</v>
      </c>
      <c r="BN305" s="60">
        <v>0.0</v>
      </c>
      <c r="BO305" s="60">
        <v>0.0</v>
      </c>
      <c r="BP305" s="60">
        <v>0.0</v>
      </c>
      <c r="BQ305" s="60">
        <v>-131.84</v>
      </c>
      <c r="BR305" s="60">
        <v>0.0</v>
      </c>
      <c r="BS305" s="60">
        <v>0.0</v>
      </c>
      <c r="BT305" s="60">
        <v>0.0</v>
      </c>
      <c r="BU305" s="60">
        <v>0.0</v>
      </c>
      <c r="BV305" s="60">
        <v>0.0</v>
      </c>
      <c r="BW305" s="60">
        <v>0.0</v>
      </c>
      <c r="BX305" s="60">
        <v>0.0</v>
      </c>
      <c r="BY305" s="60">
        <v>2419.34</v>
      </c>
      <c r="BZ305" s="57">
        <v>0.0</v>
      </c>
      <c r="CA305" s="60">
        <v>0.0</v>
      </c>
      <c r="CB305" s="57">
        <v>0.0</v>
      </c>
      <c r="CC305" s="60">
        <v>0.0</v>
      </c>
      <c r="CD305" s="60">
        <v>0.0</v>
      </c>
      <c r="CE305" s="60">
        <v>0.0</v>
      </c>
      <c r="CF305" s="60">
        <v>0.0</v>
      </c>
      <c r="CG305" s="60">
        <v>0.0</v>
      </c>
      <c r="CH305" s="60">
        <v>8970.9</v>
      </c>
      <c r="CI305" s="60">
        <v>1170.12</v>
      </c>
      <c r="CJ305" s="60">
        <v>7800.78</v>
      </c>
      <c r="CK305" s="60">
        <v>7.82</v>
      </c>
      <c r="CL305" s="57">
        <v>0.0</v>
      </c>
      <c r="CM305" s="57">
        <v>0.0</v>
      </c>
      <c r="CN305" s="57">
        <v>0.0</v>
      </c>
      <c r="CO305" s="57">
        <v>100.0</v>
      </c>
      <c r="CP305" s="59"/>
      <c r="CQ305" s="57">
        <v>0.0</v>
      </c>
      <c r="CR305" s="57">
        <v>0.0</v>
      </c>
      <c r="CS305" s="57">
        <v>0.0</v>
      </c>
      <c r="CT305" s="57">
        <v>-29442.0</v>
      </c>
      <c r="CU305" s="59">
        <v>45869.0</v>
      </c>
      <c r="CV305" s="59">
        <v>45869.0</v>
      </c>
      <c r="CW305" s="57">
        <v>121444.0</v>
      </c>
      <c r="CX305" s="57" t="s">
        <v>122</v>
      </c>
      <c r="CY305" s="57" t="s">
        <v>778</v>
      </c>
      <c r="CZ305" s="60">
        <v>1442.59</v>
      </c>
      <c r="DA305" s="60">
        <v>7451.92</v>
      </c>
      <c r="DB305" s="60">
        <v>-12839.02</v>
      </c>
      <c r="DC305" s="60">
        <v>0.43</v>
      </c>
      <c r="DD305" s="60">
        <v>-878.92</v>
      </c>
      <c r="DE305" s="60">
        <v>-1010.76</v>
      </c>
      <c r="DF305" s="57"/>
    </row>
    <row r="306" ht="13.5" customHeight="1">
      <c r="A306" s="57" t="s">
        <v>144</v>
      </c>
      <c r="B306" s="58">
        <v>44136.0</v>
      </c>
      <c r="C306" s="57" t="s">
        <v>109</v>
      </c>
      <c r="D306" s="57" t="s">
        <v>137</v>
      </c>
      <c r="E306" s="57" t="s">
        <v>138</v>
      </c>
      <c r="F306" s="57" t="s">
        <v>112</v>
      </c>
      <c r="G306" s="57" t="s">
        <v>113</v>
      </c>
      <c r="H306" s="57" t="s">
        <v>114</v>
      </c>
      <c r="I306" s="59">
        <v>44137.0</v>
      </c>
      <c r="J306" s="59">
        <v>44138.0</v>
      </c>
      <c r="K306" s="57">
        <f t="shared" si="1"/>
        <v>1</v>
      </c>
      <c r="L306" s="57">
        <v>1.0</v>
      </c>
      <c r="M306" s="57">
        <f t="shared" si="2"/>
        <v>0</v>
      </c>
      <c r="N306" s="59">
        <v>44151.0</v>
      </c>
      <c r="O306" s="59">
        <v>44281.0</v>
      </c>
      <c r="P306" s="57">
        <f t="shared" si="3"/>
        <v>130</v>
      </c>
      <c r="Q306" s="57">
        <v>90.0</v>
      </c>
      <c r="R306" s="57">
        <f t="shared" si="4"/>
        <v>40</v>
      </c>
      <c r="S306" s="57" t="s">
        <v>829</v>
      </c>
      <c r="T306" s="57" t="s">
        <v>830</v>
      </c>
      <c r="U306" s="57" t="s">
        <v>117</v>
      </c>
      <c r="V306" s="57" t="s">
        <v>190</v>
      </c>
      <c r="W306" s="57" t="s">
        <v>119</v>
      </c>
      <c r="X306" s="57" t="s">
        <v>191</v>
      </c>
      <c r="Y306" s="57">
        <v>2020.0</v>
      </c>
      <c r="Z306" s="57" t="s">
        <v>121</v>
      </c>
      <c r="AA306" s="57">
        <v>1498.0</v>
      </c>
      <c r="AB306" s="57">
        <v>16.0</v>
      </c>
      <c r="AC306" s="57">
        <v>1.0</v>
      </c>
      <c r="AD306" s="60">
        <v>190240.52</v>
      </c>
      <c r="AE306" s="60">
        <v>38683.01</v>
      </c>
      <c r="AF306" s="61">
        <v>0.2</v>
      </c>
      <c r="AG306" s="60">
        <v>20125.56</v>
      </c>
      <c r="AH306" s="60">
        <v>1677.5</v>
      </c>
      <c r="AI306" s="57">
        <v>7.75</v>
      </c>
      <c r="AJ306" s="60">
        <v>77999.0</v>
      </c>
      <c r="AK306" s="57">
        <v>41.0</v>
      </c>
      <c r="AL306" s="59">
        <v>44281.0</v>
      </c>
      <c r="AM306" s="59">
        <v>46107.0</v>
      </c>
      <c r="AN306" s="57">
        <v>60.0</v>
      </c>
      <c r="AO306" s="57">
        <v>1400.0</v>
      </c>
      <c r="AP306" s="57">
        <v>84000.0</v>
      </c>
      <c r="AQ306" s="59">
        <v>46234.0</v>
      </c>
      <c r="AR306" s="57">
        <v>26729.0</v>
      </c>
      <c r="AS306" s="57">
        <v>27051.0</v>
      </c>
      <c r="AT306" s="57">
        <v>322.0</v>
      </c>
      <c r="AU306" s="57">
        <v>25635.0</v>
      </c>
      <c r="AV306" s="57">
        <v>434.0</v>
      </c>
      <c r="AW306" s="60">
        <v>3122.51</v>
      </c>
      <c r="AX306" s="60">
        <v>497.19</v>
      </c>
      <c r="AY306" s="60">
        <v>75.0</v>
      </c>
      <c r="AZ306" s="60">
        <v>291.0</v>
      </c>
      <c r="BA306" s="60">
        <v>1154.67</v>
      </c>
      <c r="BB306" s="60">
        <v>5140.37</v>
      </c>
      <c r="BC306" s="60">
        <v>771.06</v>
      </c>
      <c r="BD306" s="60">
        <v>5911.43</v>
      </c>
      <c r="BE306" s="59">
        <v>45748.0</v>
      </c>
      <c r="BF306" s="59">
        <v>45838.0</v>
      </c>
      <c r="BG306" s="57">
        <v>25986.0</v>
      </c>
      <c r="BH306" s="57">
        <v>27051.0</v>
      </c>
      <c r="BI306" s="57">
        <v>1065.0</v>
      </c>
      <c r="BJ306" s="57">
        <v>4200.0</v>
      </c>
      <c r="BK306" s="57">
        <v>-3135.0</v>
      </c>
      <c r="BL306" s="60">
        <v>0.42</v>
      </c>
      <c r="BM306" s="60">
        <v>1.69</v>
      </c>
      <c r="BN306" s="60">
        <v>0.0</v>
      </c>
      <c r="BO306" s="60">
        <v>0.0</v>
      </c>
      <c r="BP306" s="60">
        <v>0.0</v>
      </c>
      <c r="BQ306" s="60">
        <v>-169.29</v>
      </c>
      <c r="BR306" s="60">
        <v>0.0</v>
      </c>
      <c r="BS306" s="60">
        <v>0.0</v>
      </c>
      <c r="BT306" s="60">
        <v>0.0</v>
      </c>
      <c r="BU306" s="60">
        <v>0.0</v>
      </c>
      <c r="BV306" s="60">
        <v>0.0</v>
      </c>
      <c r="BW306" s="60">
        <v>0.0</v>
      </c>
      <c r="BX306" s="60">
        <v>0.0</v>
      </c>
      <c r="BY306" s="60">
        <v>0.0</v>
      </c>
      <c r="BZ306" s="57">
        <v>0.0</v>
      </c>
      <c r="CA306" s="60">
        <v>0.0</v>
      </c>
      <c r="CB306" s="57">
        <v>0.0</v>
      </c>
      <c r="CC306" s="60">
        <v>0.0</v>
      </c>
      <c r="CD306" s="60">
        <v>0.0</v>
      </c>
      <c r="CE306" s="60">
        <v>0.0</v>
      </c>
      <c r="CF306" s="60">
        <v>0.0</v>
      </c>
      <c r="CG306" s="60">
        <v>0.0</v>
      </c>
      <c r="CH306" s="60">
        <v>4613.54</v>
      </c>
      <c r="CI306" s="60">
        <v>601.77</v>
      </c>
      <c r="CJ306" s="60">
        <v>4011.77</v>
      </c>
      <c r="CK306" s="60">
        <v>12.46</v>
      </c>
      <c r="CL306" s="57">
        <v>0.0</v>
      </c>
      <c r="CM306" s="57">
        <v>0.0</v>
      </c>
      <c r="CN306" s="57">
        <v>0.0</v>
      </c>
      <c r="CO306" s="57">
        <v>100.0</v>
      </c>
      <c r="CP306" s="59"/>
      <c r="CQ306" s="57">
        <v>0.0</v>
      </c>
      <c r="CR306" s="57">
        <v>0.0</v>
      </c>
      <c r="CS306" s="57">
        <v>0.0</v>
      </c>
      <c r="CT306" s="57">
        <v>-56965.0</v>
      </c>
      <c r="CU306" s="59">
        <v>45869.0</v>
      </c>
      <c r="CV306" s="59">
        <v>45869.0</v>
      </c>
      <c r="CW306" s="57">
        <v>85416.0</v>
      </c>
      <c r="CX306" s="57" t="s">
        <v>122</v>
      </c>
      <c r="CY306" s="57" t="s">
        <v>778</v>
      </c>
      <c r="CZ306" s="60">
        <v>0.0</v>
      </c>
      <c r="DA306" s="60">
        <v>0.0</v>
      </c>
      <c r="DB306" s="60">
        <v>-18877.6</v>
      </c>
      <c r="DC306" s="60">
        <v>0.36</v>
      </c>
      <c r="DD306" s="60">
        <v>-1128.6</v>
      </c>
      <c r="DE306" s="60">
        <v>-1297.89</v>
      </c>
      <c r="DF306" s="57"/>
    </row>
    <row r="307" ht="13.5" customHeight="1">
      <c r="A307" s="57" t="s">
        <v>144</v>
      </c>
      <c r="B307" s="58">
        <v>44136.0</v>
      </c>
      <c r="C307" s="57" t="s">
        <v>124</v>
      </c>
      <c r="D307" s="57" t="s">
        <v>110</v>
      </c>
      <c r="E307" s="57" t="s">
        <v>111</v>
      </c>
      <c r="F307" s="57" t="s">
        <v>112</v>
      </c>
      <c r="G307" s="57" t="s">
        <v>113</v>
      </c>
      <c r="H307" s="57" t="s">
        <v>129</v>
      </c>
      <c r="I307" s="59">
        <v>44138.0</v>
      </c>
      <c r="J307" s="59">
        <v>44143.0</v>
      </c>
      <c r="K307" s="57">
        <f t="shared" si="1"/>
        <v>5</v>
      </c>
      <c r="L307" s="57">
        <v>1.0</v>
      </c>
      <c r="M307" s="57">
        <f t="shared" si="2"/>
        <v>4</v>
      </c>
      <c r="N307" s="59">
        <v>44152.0</v>
      </c>
      <c r="O307" s="59">
        <v>44282.0</v>
      </c>
      <c r="P307" s="57">
        <f t="shared" si="3"/>
        <v>130</v>
      </c>
      <c r="Q307" s="57">
        <v>90.0</v>
      </c>
      <c r="R307" s="57">
        <f t="shared" si="4"/>
        <v>40</v>
      </c>
      <c r="S307" s="57" t="s">
        <v>831</v>
      </c>
      <c r="T307" s="57" t="s">
        <v>832</v>
      </c>
      <c r="U307" s="57" t="s">
        <v>117</v>
      </c>
      <c r="V307" s="57" t="s">
        <v>207</v>
      </c>
      <c r="W307" s="57" t="s">
        <v>199</v>
      </c>
      <c r="X307" s="57" t="s">
        <v>833</v>
      </c>
      <c r="Y307" s="57">
        <v>2020.0</v>
      </c>
      <c r="Z307" s="57" t="s">
        <v>135</v>
      </c>
      <c r="AA307" s="57">
        <v>2798.0</v>
      </c>
      <c r="AB307" s="57">
        <v>16.0</v>
      </c>
      <c r="AC307" s="57">
        <v>2.0</v>
      </c>
      <c r="AD307" s="60">
        <v>190240.52</v>
      </c>
      <c r="AE307" s="60">
        <v>38683.01</v>
      </c>
      <c r="AF307" s="61">
        <v>0.2</v>
      </c>
      <c r="AG307" s="60">
        <v>26209.53</v>
      </c>
      <c r="AH307" s="60">
        <v>4314.5</v>
      </c>
      <c r="AI307" s="57">
        <v>7.75</v>
      </c>
      <c r="AJ307" s="60">
        <v>214025.0</v>
      </c>
      <c r="AK307" s="57">
        <v>39.0</v>
      </c>
      <c r="AL307" s="59">
        <v>44282.0</v>
      </c>
      <c r="AM307" s="59">
        <v>46108.0</v>
      </c>
      <c r="AN307" s="57">
        <v>60.0</v>
      </c>
      <c r="AO307" s="57">
        <v>1400.0</v>
      </c>
      <c r="AP307" s="57">
        <v>84000.0</v>
      </c>
      <c r="AQ307" s="59">
        <v>46234.0</v>
      </c>
      <c r="AR307" s="57">
        <v>11536.0</v>
      </c>
      <c r="AS307" s="57">
        <v>11994.0</v>
      </c>
      <c r="AT307" s="57">
        <v>458.0</v>
      </c>
      <c r="AU307" s="57">
        <v>10536.0</v>
      </c>
      <c r="AV307" s="57">
        <v>179.0</v>
      </c>
      <c r="AW307" s="60">
        <v>7729.71</v>
      </c>
      <c r="AX307" s="60">
        <v>603.74</v>
      </c>
      <c r="AY307" s="60">
        <v>175.0</v>
      </c>
      <c r="AZ307" s="60">
        <v>291.0</v>
      </c>
      <c r="BA307" s="60">
        <v>1426.43</v>
      </c>
      <c r="BB307" s="60">
        <v>10225.88</v>
      </c>
      <c r="BC307" s="60">
        <v>1533.88</v>
      </c>
      <c r="BD307" s="60">
        <v>11759.76</v>
      </c>
      <c r="BE307" s="59">
        <v>45748.0</v>
      </c>
      <c r="BF307" s="59">
        <v>45838.0</v>
      </c>
      <c r="BG307" s="57">
        <v>11110.0</v>
      </c>
      <c r="BH307" s="57">
        <v>11994.0</v>
      </c>
      <c r="BI307" s="57">
        <v>884.0</v>
      </c>
      <c r="BJ307" s="57">
        <v>4200.0</v>
      </c>
      <c r="BK307" s="57">
        <v>-3316.0</v>
      </c>
      <c r="BL307" s="60">
        <v>0.5</v>
      </c>
      <c r="BM307" s="60">
        <v>5.05</v>
      </c>
      <c r="BN307" s="60">
        <v>0.0</v>
      </c>
      <c r="BO307" s="60">
        <v>0.0</v>
      </c>
      <c r="BP307" s="60">
        <v>0.0</v>
      </c>
      <c r="BQ307" s="60">
        <v>-213.88</v>
      </c>
      <c r="BR307" s="60">
        <v>0.0</v>
      </c>
      <c r="BS307" s="60">
        <v>0.0</v>
      </c>
      <c r="BT307" s="60">
        <v>0.0</v>
      </c>
      <c r="BU307" s="60">
        <v>0.0</v>
      </c>
      <c r="BV307" s="60">
        <v>0.0</v>
      </c>
      <c r="BW307" s="60">
        <v>0.0</v>
      </c>
      <c r="BX307" s="60">
        <v>0.0</v>
      </c>
      <c r="BY307" s="60">
        <v>1235.8</v>
      </c>
      <c r="BZ307" s="57">
        <v>0.0</v>
      </c>
      <c r="CA307" s="60">
        <v>0.0</v>
      </c>
      <c r="CB307" s="57">
        <v>0.0</v>
      </c>
      <c r="CC307" s="60">
        <v>0.0</v>
      </c>
      <c r="CD307" s="60">
        <v>0.0</v>
      </c>
      <c r="CE307" s="60">
        <v>0.0</v>
      </c>
      <c r="CF307" s="60">
        <v>0.0</v>
      </c>
      <c r="CG307" s="60">
        <v>0.0</v>
      </c>
      <c r="CH307" s="60">
        <v>10120.0</v>
      </c>
      <c r="CI307" s="60">
        <v>1320.0</v>
      </c>
      <c r="CJ307" s="60">
        <v>8800.0</v>
      </c>
      <c r="CK307" s="60">
        <v>19.21</v>
      </c>
      <c r="CL307" s="57">
        <v>0.0</v>
      </c>
      <c r="CM307" s="57">
        <v>0.0</v>
      </c>
      <c r="CN307" s="57">
        <v>0.0</v>
      </c>
      <c r="CO307" s="57">
        <v>100.0</v>
      </c>
      <c r="CP307" s="59"/>
      <c r="CQ307" s="57">
        <v>0.0</v>
      </c>
      <c r="CR307" s="57">
        <v>0.0</v>
      </c>
      <c r="CS307" s="57">
        <v>0.0</v>
      </c>
      <c r="CT307" s="57">
        <v>-72064.0</v>
      </c>
      <c r="CU307" s="59">
        <v>45869.0</v>
      </c>
      <c r="CV307" s="59">
        <v>45869.0</v>
      </c>
      <c r="CW307" s="57">
        <v>85458.0</v>
      </c>
      <c r="CX307" s="57" t="s">
        <v>122</v>
      </c>
      <c r="CY307" s="57" t="s">
        <v>778</v>
      </c>
      <c r="CZ307" s="60">
        <v>0.0</v>
      </c>
      <c r="DA307" s="60">
        <v>0.0</v>
      </c>
      <c r="DB307" s="60">
        <v>-28597.41</v>
      </c>
      <c r="DC307" s="60">
        <v>0.43</v>
      </c>
      <c r="DD307" s="60">
        <v>-1425.88</v>
      </c>
      <c r="DE307" s="60">
        <v>-1639.76</v>
      </c>
      <c r="DF307" s="57"/>
    </row>
    <row r="308" ht="13.5" customHeight="1">
      <c r="A308" s="57" t="s">
        <v>144</v>
      </c>
      <c r="B308" s="58">
        <v>44136.0</v>
      </c>
      <c r="C308" s="57" t="s">
        <v>136</v>
      </c>
      <c r="D308" s="57" t="s">
        <v>125</v>
      </c>
      <c r="E308" s="57" t="s">
        <v>126</v>
      </c>
      <c r="F308" s="57" t="s">
        <v>112</v>
      </c>
      <c r="G308" s="57" t="s">
        <v>113</v>
      </c>
      <c r="H308" s="57" t="s">
        <v>141</v>
      </c>
      <c r="I308" s="59">
        <v>44139.0</v>
      </c>
      <c r="J308" s="59">
        <v>44140.0</v>
      </c>
      <c r="K308" s="57">
        <f t="shared" si="1"/>
        <v>1</v>
      </c>
      <c r="L308" s="57">
        <v>1.0</v>
      </c>
      <c r="M308" s="57">
        <f t="shared" si="2"/>
        <v>0</v>
      </c>
      <c r="N308" s="59">
        <v>44153.0</v>
      </c>
      <c r="O308" s="59">
        <v>44283.0</v>
      </c>
      <c r="P308" s="57">
        <f t="shared" si="3"/>
        <v>130</v>
      </c>
      <c r="Q308" s="57">
        <v>90.0</v>
      </c>
      <c r="R308" s="57">
        <f t="shared" si="4"/>
        <v>40</v>
      </c>
      <c r="S308" s="57" t="s">
        <v>834</v>
      </c>
      <c r="T308" s="57" t="s">
        <v>835</v>
      </c>
      <c r="U308" s="57" t="s">
        <v>117</v>
      </c>
      <c r="V308" s="57" t="s">
        <v>207</v>
      </c>
      <c r="W308" s="57" t="s">
        <v>199</v>
      </c>
      <c r="X308" s="57" t="s">
        <v>628</v>
      </c>
      <c r="Y308" s="57">
        <v>2020.0</v>
      </c>
      <c r="Z308" s="57" t="s">
        <v>135</v>
      </c>
      <c r="AA308" s="57">
        <v>2798.0</v>
      </c>
      <c r="AB308" s="57">
        <v>16.0</v>
      </c>
      <c r="AC308" s="57">
        <v>15.0</v>
      </c>
      <c r="AD308" s="60">
        <v>190240.52</v>
      </c>
      <c r="AE308" s="60">
        <v>38683.01</v>
      </c>
      <c r="AF308" s="61">
        <v>0.2</v>
      </c>
      <c r="AG308" s="60">
        <v>26653.55</v>
      </c>
      <c r="AH308" s="60">
        <v>2664.5</v>
      </c>
      <c r="AI308" s="57">
        <v>7.75</v>
      </c>
      <c r="AJ308" s="60">
        <v>315402.0</v>
      </c>
      <c r="AK308" s="57">
        <v>56.0</v>
      </c>
      <c r="AL308" s="59">
        <v>44283.0</v>
      </c>
      <c r="AM308" s="59">
        <v>46109.0</v>
      </c>
      <c r="AN308" s="57">
        <v>60.0</v>
      </c>
      <c r="AO308" s="57">
        <v>2000.0</v>
      </c>
      <c r="AP308" s="57">
        <v>120000.0</v>
      </c>
      <c r="AQ308" s="59">
        <v>46112.0</v>
      </c>
      <c r="AR308" s="57">
        <v>109029.0</v>
      </c>
      <c r="AS308" s="57">
        <v>111653.0</v>
      </c>
      <c r="AT308" s="57">
        <v>2624.0</v>
      </c>
      <c r="AU308" s="57">
        <v>110207.0</v>
      </c>
      <c r="AV308" s="57">
        <v>1868.0</v>
      </c>
      <c r="AW308" s="60">
        <v>6673.16</v>
      </c>
      <c r="AX308" s="60">
        <v>828.51</v>
      </c>
      <c r="AY308" s="60">
        <v>175.0</v>
      </c>
      <c r="AZ308" s="60">
        <v>291.0</v>
      </c>
      <c r="BA308" s="60">
        <v>1392.1</v>
      </c>
      <c r="BB308" s="60">
        <v>9359.77</v>
      </c>
      <c r="BC308" s="60">
        <v>1403.97</v>
      </c>
      <c r="BD308" s="60">
        <v>10763.74</v>
      </c>
      <c r="BE308" s="59">
        <v>45748.0</v>
      </c>
      <c r="BF308" s="59">
        <v>45838.0</v>
      </c>
      <c r="BG308" s="57">
        <v>101652.0</v>
      </c>
      <c r="BH308" s="57">
        <v>111653.0</v>
      </c>
      <c r="BI308" s="57">
        <v>10001.0</v>
      </c>
      <c r="BJ308" s="57">
        <v>6000.0</v>
      </c>
      <c r="BK308" s="57">
        <v>4001.0</v>
      </c>
      <c r="BL308" s="60">
        <v>0.47</v>
      </c>
      <c r="BM308" s="60">
        <v>2.52</v>
      </c>
      <c r="BN308" s="60">
        <v>1880.47</v>
      </c>
      <c r="BO308" s="60">
        <v>10082.52</v>
      </c>
      <c r="BP308" s="60">
        <v>11962.99</v>
      </c>
      <c r="BQ308" s="60">
        <v>1794.45</v>
      </c>
      <c r="BR308" s="60">
        <v>13757.44</v>
      </c>
      <c r="BS308" s="60">
        <v>1465.0</v>
      </c>
      <c r="BT308" s="60">
        <v>0.0</v>
      </c>
      <c r="BU308" s="60">
        <v>0.0</v>
      </c>
      <c r="BV308" s="60">
        <v>0.0</v>
      </c>
      <c r="BW308" s="60">
        <v>0.0</v>
      </c>
      <c r="BX308" s="60">
        <v>0.0</v>
      </c>
      <c r="BY308" s="60">
        <v>9641.5</v>
      </c>
      <c r="BZ308" s="57">
        <v>0.0</v>
      </c>
      <c r="CA308" s="60">
        <v>0.0</v>
      </c>
      <c r="CB308" s="57">
        <v>0.0</v>
      </c>
      <c r="CC308" s="60">
        <v>0.0</v>
      </c>
      <c r="CD308" s="60">
        <v>0.0</v>
      </c>
      <c r="CE308" s="60">
        <v>1465.0</v>
      </c>
      <c r="CF308" s="60">
        <v>219.75</v>
      </c>
      <c r="CG308" s="60">
        <v>1684.75</v>
      </c>
      <c r="CH308" s="60">
        <v>26205.93</v>
      </c>
      <c r="CI308" s="60">
        <v>3418.17</v>
      </c>
      <c r="CJ308" s="60">
        <v>22787.76</v>
      </c>
      <c r="CK308" s="60">
        <v>8.68</v>
      </c>
      <c r="CL308" s="57">
        <v>15.0</v>
      </c>
      <c r="CM308" s="57">
        <v>0.0</v>
      </c>
      <c r="CN308" s="57">
        <v>0.0</v>
      </c>
      <c r="CO308" s="57">
        <v>100.0</v>
      </c>
      <c r="CP308" s="59"/>
      <c r="CQ308" s="57">
        <v>0.0</v>
      </c>
      <c r="CR308" s="57">
        <v>0.0</v>
      </c>
      <c r="CS308" s="57">
        <v>0.0</v>
      </c>
      <c r="CT308" s="57">
        <v>-7793.0</v>
      </c>
      <c r="CU308" s="59">
        <v>45869.0</v>
      </c>
      <c r="CV308" s="59">
        <v>45869.0</v>
      </c>
      <c r="CW308" s="57">
        <v>121446.0</v>
      </c>
      <c r="CX308" s="57" t="s">
        <v>122</v>
      </c>
      <c r="CY308" s="57" t="s">
        <v>778</v>
      </c>
      <c r="CZ308" s="60">
        <v>7184.34</v>
      </c>
      <c r="DA308" s="60">
        <v>38513.64</v>
      </c>
      <c r="DB308" s="60">
        <v>-8375.05</v>
      </c>
      <c r="DC308" s="60">
        <v>0.41</v>
      </c>
      <c r="DD308" s="60">
        <v>0.0</v>
      </c>
      <c r="DE308" s="60">
        <v>0.0</v>
      </c>
      <c r="DF308" s="57"/>
    </row>
    <row r="309" ht="13.5" customHeight="1">
      <c r="A309" s="57" t="s">
        <v>157</v>
      </c>
      <c r="B309" s="58">
        <v>44136.0</v>
      </c>
      <c r="C309" s="57" t="s">
        <v>109</v>
      </c>
      <c r="D309" s="57" t="s">
        <v>137</v>
      </c>
      <c r="E309" s="57" t="s">
        <v>138</v>
      </c>
      <c r="F309" s="57" t="s">
        <v>112</v>
      </c>
      <c r="G309" s="57" t="s">
        <v>113</v>
      </c>
      <c r="H309" s="57" t="s">
        <v>114</v>
      </c>
      <c r="I309" s="59">
        <v>44140.0</v>
      </c>
      <c r="J309" s="59">
        <v>44141.0</v>
      </c>
      <c r="K309" s="57">
        <f t="shared" si="1"/>
        <v>1</v>
      </c>
      <c r="L309" s="57">
        <v>1.0</v>
      </c>
      <c r="M309" s="57">
        <f t="shared" si="2"/>
        <v>0</v>
      </c>
      <c r="N309" s="59">
        <v>44154.0</v>
      </c>
      <c r="O309" s="59">
        <v>44284.0</v>
      </c>
      <c r="P309" s="57">
        <f t="shared" si="3"/>
        <v>130</v>
      </c>
      <c r="Q309" s="57">
        <v>90.0</v>
      </c>
      <c r="R309" s="57">
        <f t="shared" si="4"/>
        <v>40</v>
      </c>
      <c r="S309" s="57" t="s">
        <v>836</v>
      </c>
      <c r="T309" s="57" t="s">
        <v>837</v>
      </c>
      <c r="U309" s="57" t="s">
        <v>117</v>
      </c>
      <c r="V309" s="57" t="s">
        <v>207</v>
      </c>
      <c r="W309" s="57" t="s">
        <v>199</v>
      </c>
      <c r="X309" s="57" t="s">
        <v>833</v>
      </c>
      <c r="Y309" s="57">
        <v>2020.0</v>
      </c>
      <c r="Z309" s="57" t="s">
        <v>135</v>
      </c>
      <c r="AA309" s="57">
        <v>2798.0</v>
      </c>
      <c r="AB309" s="57">
        <v>16.0</v>
      </c>
      <c r="AC309" s="57">
        <v>16.0</v>
      </c>
      <c r="AD309" s="60">
        <v>190240.52</v>
      </c>
      <c r="AE309" s="60">
        <v>38683.01</v>
      </c>
      <c r="AF309" s="61">
        <v>0.2</v>
      </c>
      <c r="AG309" s="60">
        <v>26486.43</v>
      </c>
      <c r="AH309" s="60">
        <v>4314.5</v>
      </c>
      <c r="AI309" s="57">
        <v>7.75</v>
      </c>
      <c r="AJ309" s="60">
        <v>252440.0</v>
      </c>
      <c r="AK309" s="57">
        <v>46.0</v>
      </c>
      <c r="AL309" s="59">
        <v>44284.0</v>
      </c>
      <c r="AM309" s="59">
        <v>46110.0</v>
      </c>
      <c r="AN309" s="57">
        <v>60.0</v>
      </c>
      <c r="AO309" s="57">
        <v>2500.0</v>
      </c>
      <c r="AP309" s="57">
        <v>150000.0</v>
      </c>
      <c r="AQ309" s="59">
        <v>46203.0</v>
      </c>
      <c r="AR309" s="57">
        <v>117032.0</v>
      </c>
      <c r="AS309" s="57">
        <v>121357.0</v>
      </c>
      <c r="AT309" s="57">
        <v>4325.0</v>
      </c>
      <c r="AU309" s="57">
        <v>119897.0</v>
      </c>
      <c r="AV309" s="57">
        <v>2032.0</v>
      </c>
      <c r="AW309" s="60">
        <v>7482.46</v>
      </c>
      <c r="AX309" s="60">
        <v>1078.1</v>
      </c>
      <c r="AY309" s="60">
        <v>175.0</v>
      </c>
      <c r="AZ309" s="60">
        <v>291.0</v>
      </c>
      <c r="BA309" s="60">
        <v>1426.43</v>
      </c>
      <c r="BB309" s="60">
        <v>10452.99</v>
      </c>
      <c r="BC309" s="60">
        <v>1567.95</v>
      </c>
      <c r="BD309" s="60">
        <v>12020.94</v>
      </c>
      <c r="BE309" s="59">
        <v>45748.0</v>
      </c>
      <c r="BF309" s="59">
        <v>45838.0</v>
      </c>
      <c r="BG309" s="57">
        <v>108451.0</v>
      </c>
      <c r="BH309" s="57">
        <v>121357.0</v>
      </c>
      <c r="BI309" s="57">
        <v>12906.0</v>
      </c>
      <c r="BJ309" s="57">
        <v>7500.0</v>
      </c>
      <c r="BK309" s="57">
        <v>5406.0</v>
      </c>
      <c r="BL309" s="60">
        <v>0.5</v>
      </c>
      <c r="BM309" s="60">
        <v>2.5</v>
      </c>
      <c r="BN309" s="60">
        <v>2703.0</v>
      </c>
      <c r="BO309" s="60">
        <v>13515.0</v>
      </c>
      <c r="BP309" s="60">
        <v>16218.0</v>
      </c>
      <c r="BQ309" s="60">
        <v>2432.7</v>
      </c>
      <c r="BR309" s="60">
        <v>18650.7</v>
      </c>
      <c r="BS309" s="60">
        <v>3941.0</v>
      </c>
      <c r="BT309" s="60">
        <v>0.0</v>
      </c>
      <c r="BU309" s="60">
        <v>0.0</v>
      </c>
      <c r="BV309" s="60">
        <v>0.0</v>
      </c>
      <c r="BW309" s="60">
        <v>0.0</v>
      </c>
      <c r="BX309" s="60">
        <v>0.0</v>
      </c>
      <c r="BY309" s="60">
        <v>15134.4</v>
      </c>
      <c r="BZ309" s="57">
        <v>0.0</v>
      </c>
      <c r="CA309" s="60">
        <v>0.0</v>
      </c>
      <c r="CB309" s="57">
        <v>0.0</v>
      </c>
      <c r="CC309" s="60">
        <v>0.0</v>
      </c>
      <c r="CD309" s="60">
        <v>0.0</v>
      </c>
      <c r="CE309" s="60">
        <v>3941.0</v>
      </c>
      <c r="CF309" s="60">
        <v>591.15</v>
      </c>
      <c r="CG309" s="60">
        <v>4532.15</v>
      </c>
      <c r="CH309" s="60">
        <v>35203.79</v>
      </c>
      <c r="CI309" s="60">
        <v>4591.8</v>
      </c>
      <c r="CJ309" s="60">
        <v>30611.99</v>
      </c>
      <c r="CK309" s="60">
        <v>7.08</v>
      </c>
      <c r="CL309" s="57">
        <v>19.0</v>
      </c>
      <c r="CM309" s="57">
        <v>0.0</v>
      </c>
      <c r="CN309" s="57">
        <v>0.0</v>
      </c>
      <c r="CO309" s="57">
        <v>100.0</v>
      </c>
      <c r="CP309" s="59"/>
      <c r="CQ309" s="57">
        <v>0.0</v>
      </c>
      <c r="CR309" s="57">
        <v>0.0</v>
      </c>
      <c r="CS309" s="57">
        <v>0.0</v>
      </c>
      <c r="CT309" s="57">
        <v>-27603.0</v>
      </c>
      <c r="CU309" s="59">
        <v>45869.0</v>
      </c>
      <c r="CV309" s="59">
        <v>45869.0</v>
      </c>
      <c r="CW309" s="57">
        <v>151460.0</v>
      </c>
      <c r="CX309" s="57" t="s">
        <v>122</v>
      </c>
      <c r="CY309" s="57" t="s">
        <v>778</v>
      </c>
      <c r="CZ309" s="60">
        <v>7730.0</v>
      </c>
      <c r="DA309" s="60">
        <v>38650.0</v>
      </c>
      <c r="DB309" s="60">
        <v>-16121.21</v>
      </c>
      <c r="DC309" s="60">
        <v>0.43</v>
      </c>
      <c r="DD309" s="60">
        <v>0.0</v>
      </c>
      <c r="DE309" s="60">
        <v>0.0</v>
      </c>
      <c r="DF309" s="57"/>
    </row>
    <row r="310" ht="13.5" customHeight="1">
      <c r="A310" s="57" t="s">
        <v>157</v>
      </c>
      <c r="B310" s="58">
        <v>44136.0</v>
      </c>
      <c r="C310" s="57" t="s">
        <v>124</v>
      </c>
      <c r="D310" s="57" t="s">
        <v>110</v>
      </c>
      <c r="E310" s="57" t="s">
        <v>111</v>
      </c>
      <c r="F310" s="57" t="s">
        <v>838</v>
      </c>
      <c r="G310" s="57" t="s">
        <v>113</v>
      </c>
      <c r="H310" s="57" t="s">
        <v>129</v>
      </c>
      <c r="I310" s="59">
        <v>44141.0</v>
      </c>
      <c r="J310" s="59">
        <v>44142.0</v>
      </c>
      <c r="K310" s="57">
        <f t="shared" si="1"/>
        <v>1</v>
      </c>
      <c r="L310" s="57">
        <v>1.0</v>
      </c>
      <c r="M310" s="57">
        <f t="shared" si="2"/>
        <v>0</v>
      </c>
      <c r="N310" s="59">
        <v>44155.0</v>
      </c>
      <c r="O310" s="59">
        <v>44285.0</v>
      </c>
      <c r="P310" s="57">
        <f t="shared" si="3"/>
        <v>130</v>
      </c>
      <c r="Q310" s="57">
        <v>90.0</v>
      </c>
      <c r="R310" s="57">
        <f t="shared" si="4"/>
        <v>40</v>
      </c>
      <c r="S310" s="57" t="s">
        <v>839</v>
      </c>
      <c r="T310" s="57" t="s">
        <v>840</v>
      </c>
      <c r="U310" s="57" t="s">
        <v>117</v>
      </c>
      <c r="V310" s="57" t="s">
        <v>132</v>
      </c>
      <c r="W310" s="57" t="s">
        <v>133</v>
      </c>
      <c r="X310" s="57" t="s">
        <v>164</v>
      </c>
      <c r="Y310" s="57">
        <v>2020.0</v>
      </c>
      <c r="Z310" s="57" t="s">
        <v>135</v>
      </c>
      <c r="AA310" s="57">
        <v>2498.0</v>
      </c>
      <c r="AB310" s="57">
        <v>16.0</v>
      </c>
      <c r="AC310" s="57">
        <v>15.99</v>
      </c>
      <c r="AD310" s="60">
        <v>291043.48</v>
      </c>
      <c r="AE310" s="60">
        <v>52106.57</v>
      </c>
      <c r="AF310" s="61">
        <v>0.18</v>
      </c>
      <c r="AG310" s="60">
        <v>30373.32</v>
      </c>
      <c r="AH310" s="60">
        <v>1830.0</v>
      </c>
      <c r="AI310" s="57">
        <v>7.75</v>
      </c>
      <c r="AJ310" s="60">
        <v>130970.0</v>
      </c>
      <c r="AK310" s="57">
        <v>45.0</v>
      </c>
      <c r="AL310" s="59">
        <v>44285.0</v>
      </c>
      <c r="AM310" s="59">
        <v>46111.0</v>
      </c>
      <c r="AN310" s="57">
        <v>60.0</v>
      </c>
      <c r="AO310" s="57">
        <v>3000.0</v>
      </c>
      <c r="AP310" s="57">
        <v>180000.0</v>
      </c>
      <c r="AQ310" s="59">
        <v>46142.0</v>
      </c>
      <c r="AR310" s="57">
        <v>132468.0</v>
      </c>
      <c r="AS310" s="57">
        <v>137765.0</v>
      </c>
      <c r="AT310" s="57">
        <v>5297.0</v>
      </c>
      <c r="AU310" s="57">
        <v>136207.0</v>
      </c>
      <c r="AV310" s="57">
        <v>2309.0</v>
      </c>
      <c r="AW310" s="60">
        <v>4203.86</v>
      </c>
      <c r="AX310" s="60">
        <v>1096.54</v>
      </c>
      <c r="AY310" s="60">
        <v>125.0</v>
      </c>
      <c r="AZ310" s="60">
        <v>291.0</v>
      </c>
      <c r="BA310" s="60">
        <v>1185.78</v>
      </c>
      <c r="BB310" s="60">
        <v>6902.18</v>
      </c>
      <c r="BC310" s="60">
        <v>1035.33</v>
      </c>
      <c r="BD310" s="60">
        <v>7937.51</v>
      </c>
      <c r="BE310" s="59">
        <v>45748.0</v>
      </c>
      <c r="BF310" s="59">
        <v>45838.0</v>
      </c>
      <c r="BG310" s="57">
        <v>126822.0</v>
      </c>
      <c r="BH310" s="57">
        <v>137765.0</v>
      </c>
      <c r="BI310" s="57">
        <v>10943.0</v>
      </c>
      <c r="BJ310" s="57">
        <v>9000.0</v>
      </c>
      <c r="BK310" s="57">
        <v>1943.0</v>
      </c>
      <c r="BL310" s="60">
        <v>0.83</v>
      </c>
      <c r="BM310" s="60">
        <v>2.76</v>
      </c>
      <c r="BN310" s="60">
        <v>1612.69</v>
      </c>
      <c r="BO310" s="60">
        <v>5362.68</v>
      </c>
      <c r="BP310" s="60">
        <v>6975.37</v>
      </c>
      <c r="BQ310" s="60">
        <v>1046.31</v>
      </c>
      <c r="BR310" s="60">
        <v>8021.68</v>
      </c>
      <c r="BS310" s="60">
        <v>0.0</v>
      </c>
      <c r="BT310" s="60">
        <v>0.0</v>
      </c>
      <c r="BU310" s="60">
        <v>0.0</v>
      </c>
      <c r="BV310" s="60">
        <v>0.0</v>
      </c>
      <c r="BW310" s="60">
        <v>0.0</v>
      </c>
      <c r="BX310" s="60">
        <v>0.0</v>
      </c>
      <c r="BY310" s="60">
        <v>11452.05</v>
      </c>
      <c r="BZ310" s="57">
        <v>0.0</v>
      </c>
      <c r="CA310" s="60">
        <v>0.0</v>
      </c>
      <c r="CB310" s="57">
        <v>0.0</v>
      </c>
      <c r="CC310" s="60">
        <v>0.0</v>
      </c>
      <c r="CD310" s="60">
        <v>0.0</v>
      </c>
      <c r="CE310" s="60">
        <v>0.0</v>
      </c>
      <c r="CF310" s="60">
        <v>0.0</v>
      </c>
      <c r="CG310" s="60">
        <v>0.0</v>
      </c>
      <c r="CH310" s="60">
        <v>15959.19</v>
      </c>
      <c r="CI310" s="60">
        <v>2081.64</v>
      </c>
      <c r="CJ310" s="60">
        <v>13877.55</v>
      </c>
      <c r="CK310" s="60">
        <v>2.62</v>
      </c>
      <c r="CL310" s="57">
        <v>0.0</v>
      </c>
      <c r="CM310" s="57">
        <v>0.0</v>
      </c>
      <c r="CN310" s="57">
        <v>0.0</v>
      </c>
      <c r="CO310" s="57">
        <v>100.0</v>
      </c>
      <c r="CP310" s="59"/>
      <c r="CQ310" s="57">
        <v>0.0</v>
      </c>
      <c r="CR310" s="57">
        <v>0.0</v>
      </c>
      <c r="CS310" s="57">
        <v>0.0</v>
      </c>
      <c r="CT310" s="57">
        <v>-40793.0</v>
      </c>
      <c r="CU310" s="59">
        <v>45869.0</v>
      </c>
      <c r="CV310" s="59">
        <v>45869.0</v>
      </c>
      <c r="CW310" s="57">
        <v>181558.0</v>
      </c>
      <c r="CX310" s="57" t="s">
        <v>122</v>
      </c>
      <c r="CY310" s="57" t="s">
        <v>778</v>
      </c>
      <c r="CZ310" s="60">
        <v>18637.12</v>
      </c>
      <c r="DA310" s="60">
        <v>61175.45</v>
      </c>
      <c r="DB310" s="60">
        <v>-22383.18</v>
      </c>
      <c r="DC310" s="60">
        <v>0.37</v>
      </c>
      <c r="DD310" s="60">
        <v>0.0</v>
      </c>
      <c r="DE310" s="60">
        <v>0.0</v>
      </c>
      <c r="DF310" s="57"/>
    </row>
    <row r="311" ht="13.5" customHeight="1">
      <c r="A311" s="57" t="s">
        <v>157</v>
      </c>
      <c r="B311" s="58">
        <v>44136.0</v>
      </c>
      <c r="C311" s="57" t="s">
        <v>136</v>
      </c>
      <c r="D311" s="57" t="s">
        <v>125</v>
      </c>
      <c r="E311" s="57" t="s">
        <v>126</v>
      </c>
      <c r="F311" s="57" t="s">
        <v>112</v>
      </c>
      <c r="G311" s="57" t="s">
        <v>113</v>
      </c>
      <c r="H311" s="57" t="s">
        <v>141</v>
      </c>
      <c r="I311" s="59">
        <v>44142.0</v>
      </c>
      <c r="J311" s="59">
        <v>44143.0</v>
      </c>
      <c r="K311" s="57">
        <f t="shared" si="1"/>
        <v>1</v>
      </c>
      <c r="L311" s="57">
        <v>1.0</v>
      </c>
      <c r="M311" s="57">
        <f t="shared" si="2"/>
        <v>0</v>
      </c>
      <c r="N311" s="59">
        <v>44156.0</v>
      </c>
      <c r="O311" s="59">
        <v>44197.0</v>
      </c>
      <c r="P311" s="57">
        <f t="shared" si="3"/>
        <v>41</v>
      </c>
      <c r="Q311" s="57">
        <v>90.0</v>
      </c>
      <c r="R311" s="57">
        <f t="shared" si="4"/>
        <v>-49</v>
      </c>
      <c r="S311" s="57" t="s">
        <v>841</v>
      </c>
      <c r="T311" s="57" t="s">
        <v>842</v>
      </c>
      <c r="U311" s="57" t="s">
        <v>117</v>
      </c>
      <c r="V311" s="57" t="s">
        <v>147</v>
      </c>
      <c r="W311" s="57" t="s">
        <v>199</v>
      </c>
      <c r="X311" s="57" t="s">
        <v>781</v>
      </c>
      <c r="Y311" s="57">
        <v>2020.0</v>
      </c>
      <c r="Z311" s="57" t="s">
        <v>135</v>
      </c>
      <c r="AA311" s="57">
        <v>2798.0</v>
      </c>
      <c r="AB311" s="57">
        <v>16.0</v>
      </c>
      <c r="AC311" s="57">
        <v>4.0</v>
      </c>
      <c r="AD311" s="60">
        <v>541565.0</v>
      </c>
      <c r="AE311" s="60">
        <v>34086.0</v>
      </c>
      <c r="AF311" s="61">
        <v>0.06</v>
      </c>
      <c r="AG311" s="60">
        <v>22858.73</v>
      </c>
      <c r="AH311" s="60">
        <v>1536.5</v>
      </c>
      <c r="AI311" s="57">
        <v>7.75</v>
      </c>
      <c r="AJ311" s="60">
        <v>227457.0</v>
      </c>
      <c r="AK311" s="57">
        <v>42.0</v>
      </c>
      <c r="AL311" s="59">
        <v>44197.0</v>
      </c>
      <c r="AM311" s="59">
        <v>46023.0</v>
      </c>
      <c r="AN311" s="57">
        <v>60.0</v>
      </c>
      <c r="AO311" s="57">
        <v>3000.0</v>
      </c>
      <c r="AP311" s="57">
        <v>180000.0</v>
      </c>
      <c r="AQ311" s="59">
        <v>46234.0</v>
      </c>
      <c r="AR311" s="57">
        <v>87562.0</v>
      </c>
      <c r="AS311" s="57">
        <v>88004.0</v>
      </c>
      <c r="AT311" s="57">
        <v>442.0</v>
      </c>
      <c r="AU311" s="57">
        <v>86551.0</v>
      </c>
      <c r="AV311" s="57">
        <v>1492.0</v>
      </c>
      <c r="AW311" s="60">
        <v>8425.85</v>
      </c>
      <c r="AX311" s="60">
        <v>2010.35</v>
      </c>
      <c r="AY311" s="60">
        <v>125.0</v>
      </c>
      <c r="AZ311" s="60">
        <v>291.0</v>
      </c>
      <c r="BA311" s="60">
        <v>1414.11</v>
      </c>
      <c r="BB311" s="60">
        <v>12266.31</v>
      </c>
      <c r="BC311" s="60">
        <v>1839.95</v>
      </c>
      <c r="BD311" s="60">
        <v>14106.26</v>
      </c>
      <c r="BE311" s="59">
        <v>45748.0</v>
      </c>
      <c r="BF311" s="59">
        <v>45838.0</v>
      </c>
      <c r="BG311" s="57">
        <v>84652.0</v>
      </c>
      <c r="BH311" s="57">
        <v>88004.0</v>
      </c>
      <c r="BI311" s="57">
        <v>3352.0</v>
      </c>
      <c r="BJ311" s="57">
        <v>9000.0</v>
      </c>
      <c r="BK311" s="57">
        <v>-5648.0</v>
      </c>
      <c r="BL311" s="60">
        <v>0.47</v>
      </c>
      <c r="BM311" s="60">
        <v>1.54</v>
      </c>
      <c r="BN311" s="60">
        <v>0.0</v>
      </c>
      <c r="BO311" s="60">
        <v>0.0</v>
      </c>
      <c r="BP311" s="60">
        <v>0.0</v>
      </c>
      <c r="BQ311" s="60">
        <v>-567.62</v>
      </c>
      <c r="BR311" s="60">
        <v>0.0</v>
      </c>
      <c r="BS311" s="60">
        <v>0.0</v>
      </c>
      <c r="BT311" s="60">
        <v>0.0</v>
      </c>
      <c r="BU311" s="60">
        <v>0.0</v>
      </c>
      <c r="BV311" s="60">
        <v>0.0</v>
      </c>
      <c r="BW311" s="60">
        <v>0.0</v>
      </c>
      <c r="BX311" s="60">
        <v>0.0</v>
      </c>
      <c r="BY311" s="60">
        <v>3424.89</v>
      </c>
      <c r="BZ311" s="57">
        <v>0.0</v>
      </c>
      <c r="CA311" s="60">
        <v>0.0</v>
      </c>
      <c r="CB311" s="57">
        <v>0.0</v>
      </c>
      <c r="CC311" s="60">
        <v>0.0</v>
      </c>
      <c r="CD311" s="60">
        <v>0.0</v>
      </c>
      <c r="CE311" s="60">
        <v>0.0</v>
      </c>
      <c r="CF311" s="60">
        <v>0.0</v>
      </c>
      <c r="CG311" s="60">
        <v>0.0</v>
      </c>
      <c r="CH311" s="60">
        <v>9754.48</v>
      </c>
      <c r="CI311" s="60">
        <v>1272.33</v>
      </c>
      <c r="CJ311" s="60">
        <v>8482.15</v>
      </c>
      <c r="CK311" s="60">
        <v>19.19</v>
      </c>
      <c r="CL311" s="57">
        <v>0.0</v>
      </c>
      <c r="CM311" s="57">
        <v>0.0</v>
      </c>
      <c r="CN311" s="57">
        <v>0.0</v>
      </c>
      <c r="CO311" s="57">
        <v>100.0</v>
      </c>
      <c r="CP311" s="59"/>
      <c r="CQ311" s="57">
        <v>0.0</v>
      </c>
      <c r="CR311" s="57">
        <v>0.0</v>
      </c>
      <c r="CS311" s="57">
        <v>0.0</v>
      </c>
      <c r="CT311" s="57">
        <v>-85996.0</v>
      </c>
      <c r="CU311" s="59">
        <v>45900.0</v>
      </c>
      <c r="CV311" s="59">
        <v>45900.0</v>
      </c>
      <c r="CW311" s="57">
        <v>181453.0</v>
      </c>
      <c r="CX311" s="57" t="s">
        <v>122</v>
      </c>
      <c r="CY311" s="57" t="s">
        <v>778</v>
      </c>
      <c r="CZ311" s="60">
        <v>0.0</v>
      </c>
      <c r="DA311" s="60">
        <v>0.0</v>
      </c>
      <c r="DB311" s="60">
        <v>-53395.85</v>
      </c>
      <c r="DC311" s="60">
        <v>0.67</v>
      </c>
      <c r="DD311" s="60">
        <v>-3784.16</v>
      </c>
      <c r="DE311" s="60">
        <v>-4351.78</v>
      </c>
      <c r="DF311" s="57"/>
    </row>
    <row r="312" ht="13.5" customHeight="1">
      <c r="A312" s="57" t="s">
        <v>157</v>
      </c>
      <c r="B312" s="58">
        <v>44136.0</v>
      </c>
      <c r="C312" s="57" t="s">
        <v>109</v>
      </c>
      <c r="D312" s="57" t="s">
        <v>137</v>
      </c>
      <c r="E312" s="57" t="s">
        <v>138</v>
      </c>
      <c r="F312" s="57" t="s">
        <v>112</v>
      </c>
      <c r="G312" s="57" t="s">
        <v>113</v>
      </c>
      <c r="H312" s="57" t="s">
        <v>114</v>
      </c>
      <c r="I312" s="59">
        <v>44143.0</v>
      </c>
      <c r="J312" s="59">
        <v>44144.0</v>
      </c>
      <c r="K312" s="57">
        <f t="shared" si="1"/>
        <v>1</v>
      </c>
      <c r="L312" s="57">
        <v>1.0</v>
      </c>
      <c r="M312" s="57">
        <f t="shared" si="2"/>
        <v>0</v>
      </c>
      <c r="N312" s="59">
        <v>44157.0</v>
      </c>
      <c r="O312" s="59">
        <v>44198.0</v>
      </c>
      <c r="P312" s="57">
        <f t="shared" si="3"/>
        <v>41</v>
      </c>
      <c r="Q312" s="57">
        <v>90.0</v>
      </c>
      <c r="R312" s="57">
        <f t="shared" si="4"/>
        <v>-49</v>
      </c>
      <c r="S312" s="57" t="s">
        <v>843</v>
      </c>
      <c r="T312" s="57" t="s">
        <v>844</v>
      </c>
      <c r="U312" s="57" t="s">
        <v>117</v>
      </c>
      <c r="V312" s="57" t="s">
        <v>147</v>
      </c>
      <c r="W312" s="57" t="s">
        <v>199</v>
      </c>
      <c r="X312" s="57" t="s">
        <v>781</v>
      </c>
      <c r="Y312" s="57">
        <v>2020.0</v>
      </c>
      <c r="Z312" s="57" t="s">
        <v>135</v>
      </c>
      <c r="AA312" s="57">
        <v>2798.0</v>
      </c>
      <c r="AB312" s="57">
        <v>16.0</v>
      </c>
      <c r="AC312" s="57">
        <v>6.0</v>
      </c>
      <c r="AD312" s="60">
        <v>541565.0</v>
      </c>
      <c r="AE312" s="60">
        <v>34086.0</v>
      </c>
      <c r="AF312" s="61">
        <v>0.06</v>
      </c>
      <c r="AG312" s="60">
        <v>27745.54</v>
      </c>
      <c r="AH312" s="60">
        <v>1536.5</v>
      </c>
      <c r="AI312" s="57">
        <v>7.75</v>
      </c>
      <c r="AJ312" s="60">
        <v>227457.0</v>
      </c>
      <c r="AK312" s="57">
        <v>42.0</v>
      </c>
      <c r="AL312" s="59">
        <v>44198.0</v>
      </c>
      <c r="AM312" s="59">
        <v>46024.0</v>
      </c>
      <c r="AN312" s="57">
        <v>60.0</v>
      </c>
      <c r="AO312" s="57">
        <v>2000.0</v>
      </c>
      <c r="AP312" s="57">
        <v>120000.0</v>
      </c>
      <c r="AQ312" s="59">
        <v>46234.0</v>
      </c>
      <c r="AR312" s="57">
        <v>65250.0</v>
      </c>
      <c r="AS312" s="57">
        <v>66098.0</v>
      </c>
      <c r="AT312" s="57">
        <v>848.0</v>
      </c>
      <c r="AU312" s="57">
        <v>64646.0</v>
      </c>
      <c r="AV312" s="57">
        <v>1115.0</v>
      </c>
      <c r="AW312" s="60">
        <v>8524.71</v>
      </c>
      <c r="AX312" s="60">
        <v>1340.24</v>
      </c>
      <c r="AY312" s="60">
        <v>125.0</v>
      </c>
      <c r="AZ312" s="60">
        <v>291.0</v>
      </c>
      <c r="BA312" s="60">
        <v>1414.11</v>
      </c>
      <c r="BB312" s="60">
        <v>11695.06</v>
      </c>
      <c r="BC312" s="60">
        <v>1754.26</v>
      </c>
      <c r="BD312" s="60">
        <v>13449.32</v>
      </c>
      <c r="BE312" s="59">
        <v>45748.0</v>
      </c>
      <c r="BF312" s="59">
        <v>45838.0</v>
      </c>
      <c r="BG312" s="57">
        <v>63269.0</v>
      </c>
      <c r="BH312" s="57">
        <v>66098.0</v>
      </c>
      <c r="BI312" s="57">
        <v>2829.0</v>
      </c>
      <c r="BJ312" s="57">
        <v>6000.0</v>
      </c>
      <c r="BK312" s="57">
        <v>-3171.0</v>
      </c>
      <c r="BL312" s="60">
        <v>0.46</v>
      </c>
      <c r="BM312" s="60">
        <v>2.34</v>
      </c>
      <c r="BN312" s="60">
        <v>0.0</v>
      </c>
      <c r="BO312" s="60">
        <v>0.0</v>
      </c>
      <c r="BP312" s="60">
        <v>0.0</v>
      </c>
      <c r="BQ312" s="60">
        <v>-318.69</v>
      </c>
      <c r="BR312" s="60">
        <v>0.0</v>
      </c>
      <c r="BS312" s="60">
        <v>0.0</v>
      </c>
      <c r="BT312" s="60">
        <v>0.0</v>
      </c>
      <c r="BU312" s="60">
        <v>0.0</v>
      </c>
      <c r="BV312" s="60">
        <v>0.0</v>
      </c>
      <c r="BW312" s="60">
        <v>0.0</v>
      </c>
      <c r="BX312" s="60">
        <v>0.0</v>
      </c>
      <c r="BY312" s="60">
        <v>1270.65</v>
      </c>
      <c r="BZ312" s="57">
        <v>0.0</v>
      </c>
      <c r="CA312" s="60">
        <v>0.0</v>
      </c>
      <c r="CB312" s="57">
        <v>0.0</v>
      </c>
      <c r="CC312" s="60">
        <v>0.0</v>
      </c>
      <c r="CD312" s="60">
        <v>0.0</v>
      </c>
      <c r="CE312" s="60">
        <v>0.0</v>
      </c>
      <c r="CF312" s="60">
        <v>0.0</v>
      </c>
      <c r="CG312" s="60">
        <v>0.0</v>
      </c>
      <c r="CH312" s="60">
        <v>11006.06</v>
      </c>
      <c r="CI312" s="60">
        <v>1435.57</v>
      </c>
      <c r="CJ312" s="60">
        <v>9570.49</v>
      </c>
      <c r="CK312" s="60">
        <v>11.29</v>
      </c>
      <c r="CL312" s="57">
        <v>0.0</v>
      </c>
      <c r="CM312" s="57">
        <v>0.0</v>
      </c>
      <c r="CN312" s="57">
        <v>0.0</v>
      </c>
      <c r="CO312" s="57">
        <v>100.0</v>
      </c>
      <c r="CP312" s="59"/>
      <c r="CQ312" s="57">
        <v>0.0</v>
      </c>
      <c r="CR312" s="57">
        <v>0.0</v>
      </c>
      <c r="CS312" s="57">
        <v>0.0</v>
      </c>
      <c r="CT312" s="57">
        <v>-51354.0</v>
      </c>
      <c r="CU312" s="59">
        <v>45900.0</v>
      </c>
      <c r="CV312" s="59">
        <v>45900.0</v>
      </c>
      <c r="CW312" s="57">
        <v>121452.0</v>
      </c>
      <c r="CX312" s="57" t="s">
        <v>122</v>
      </c>
      <c r="CY312" s="57" t="s">
        <v>778</v>
      </c>
      <c r="CZ312" s="60">
        <v>571.9</v>
      </c>
      <c r="DA312" s="60">
        <v>2874.55</v>
      </c>
      <c r="DB312" s="60">
        <v>-33193.32</v>
      </c>
      <c r="DC312" s="60">
        <v>0.67</v>
      </c>
      <c r="DD312" s="60">
        <v>-2124.57</v>
      </c>
      <c r="DE312" s="60">
        <v>-2443.26</v>
      </c>
      <c r="DF312" s="57"/>
    </row>
    <row r="313" ht="13.5" customHeight="1">
      <c r="A313" s="57" t="s">
        <v>157</v>
      </c>
      <c r="B313" s="58">
        <v>44136.0</v>
      </c>
      <c r="C313" s="57" t="s">
        <v>124</v>
      </c>
      <c r="D313" s="57" t="s">
        <v>110</v>
      </c>
      <c r="E313" s="57" t="s">
        <v>111</v>
      </c>
      <c r="F313" s="57" t="s">
        <v>112</v>
      </c>
      <c r="G313" s="57" t="s">
        <v>113</v>
      </c>
      <c r="H313" s="57" t="s">
        <v>129</v>
      </c>
      <c r="I313" s="59">
        <v>44144.0</v>
      </c>
      <c r="J313" s="59">
        <v>44146.0</v>
      </c>
      <c r="K313" s="57">
        <f t="shared" si="1"/>
        <v>2</v>
      </c>
      <c r="L313" s="57">
        <v>1.0</v>
      </c>
      <c r="M313" s="57">
        <f t="shared" si="2"/>
        <v>1</v>
      </c>
      <c r="N313" s="59">
        <v>44158.0</v>
      </c>
      <c r="O313" s="59">
        <v>44199.0</v>
      </c>
      <c r="P313" s="57">
        <f t="shared" si="3"/>
        <v>41</v>
      </c>
      <c r="Q313" s="57">
        <v>90.0</v>
      </c>
      <c r="R313" s="57">
        <f t="shared" si="4"/>
        <v>-49</v>
      </c>
      <c r="S313" s="57" t="s">
        <v>845</v>
      </c>
      <c r="T313" s="57" t="s">
        <v>846</v>
      </c>
      <c r="U313" s="57" t="s">
        <v>117</v>
      </c>
      <c r="V313" s="57" t="s">
        <v>190</v>
      </c>
      <c r="W313" s="57" t="s">
        <v>119</v>
      </c>
      <c r="X313" s="57" t="s">
        <v>191</v>
      </c>
      <c r="Y313" s="57">
        <v>2020.0</v>
      </c>
      <c r="Z313" s="57" t="s">
        <v>121</v>
      </c>
      <c r="AA313" s="57">
        <v>1498.0</v>
      </c>
      <c r="AB313" s="57">
        <v>16.0</v>
      </c>
      <c r="AC313" s="57">
        <v>16.0</v>
      </c>
      <c r="AD313" s="60">
        <v>190240.52</v>
      </c>
      <c r="AE313" s="60">
        <v>38683.01</v>
      </c>
      <c r="AF313" s="61">
        <v>0.2</v>
      </c>
      <c r="AG313" s="60">
        <v>20973.19</v>
      </c>
      <c r="AH313" s="60">
        <v>2205.5</v>
      </c>
      <c r="AI313" s="57">
        <v>7.75</v>
      </c>
      <c r="AJ313" s="60">
        <v>87511.0</v>
      </c>
      <c r="AK313" s="57">
        <v>46.0</v>
      </c>
      <c r="AL313" s="59">
        <v>44199.0</v>
      </c>
      <c r="AM313" s="59">
        <v>46025.0</v>
      </c>
      <c r="AN313" s="57">
        <v>60.0</v>
      </c>
      <c r="AO313" s="57">
        <v>1400.0</v>
      </c>
      <c r="AP313" s="57">
        <v>84000.0</v>
      </c>
      <c r="AQ313" s="59">
        <v>46234.0</v>
      </c>
      <c r="AR313" s="57">
        <v>84492.0</v>
      </c>
      <c r="AS313" s="57">
        <v>87516.0</v>
      </c>
      <c r="AT313" s="57">
        <v>3024.0</v>
      </c>
      <c r="AU313" s="57">
        <v>86092.0</v>
      </c>
      <c r="AV313" s="57">
        <v>1459.0</v>
      </c>
      <c r="AW313" s="60">
        <v>2997.95</v>
      </c>
      <c r="AX313" s="60">
        <v>682.3</v>
      </c>
      <c r="AY313" s="60">
        <v>75.0</v>
      </c>
      <c r="AZ313" s="60">
        <v>291.0</v>
      </c>
      <c r="BA313" s="60">
        <v>1109.19</v>
      </c>
      <c r="BB313" s="60">
        <v>5155.44</v>
      </c>
      <c r="BC313" s="60">
        <v>773.32</v>
      </c>
      <c r="BD313" s="60">
        <v>5928.76</v>
      </c>
      <c r="BE313" s="59">
        <v>45748.0</v>
      </c>
      <c r="BF313" s="59">
        <v>45838.0</v>
      </c>
      <c r="BG313" s="57">
        <v>77732.0</v>
      </c>
      <c r="BH313" s="57">
        <v>87516.0</v>
      </c>
      <c r="BI313" s="57">
        <v>9784.0</v>
      </c>
      <c r="BJ313" s="57">
        <v>4200.0</v>
      </c>
      <c r="BK313" s="57">
        <v>5584.0</v>
      </c>
      <c r="BL313" s="60">
        <v>0.55</v>
      </c>
      <c r="BM313" s="60">
        <v>1.49</v>
      </c>
      <c r="BN313" s="60">
        <v>3071.2</v>
      </c>
      <c r="BO313" s="60">
        <v>8320.16</v>
      </c>
      <c r="BP313" s="60">
        <v>11391.36</v>
      </c>
      <c r="BQ313" s="60">
        <v>1708.7</v>
      </c>
      <c r="BR313" s="60">
        <v>13100.06</v>
      </c>
      <c r="BS313" s="60">
        <v>0.0</v>
      </c>
      <c r="BT313" s="60">
        <v>0.0</v>
      </c>
      <c r="BU313" s="60">
        <v>0.0</v>
      </c>
      <c r="BV313" s="60">
        <v>0.0</v>
      </c>
      <c r="BW313" s="60">
        <v>0.0</v>
      </c>
      <c r="BX313" s="60">
        <v>0.0</v>
      </c>
      <c r="BY313" s="60">
        <v>10859.9</v>
      </c>
      <c r="BZ313" s="57">
        <v>0.0</v>
      </c>
      <c r="CA313" s="60">
        <v>186.0</v>
      </c>
      <c r="CB313" s="57">
        <v>0.0</v>
      </c>
      <c r="CC313" s="60">
        <v>0.0</v>
      </c>
      <c r="CD313" s="60">
        <v>0.0</v>
      </c>
      <c r="CE313" s="60">
        <v>0.0</v>
      </c>
      <c r="CF313" s="60">
        <v>0.0</v>
      </c>
      <c r="CG313" s="60">
        <v>0.0</v>
      </c>
      <c r="CH313" s="60">
        <v>19028.82</v>
      </c>
      <c r="CI313" s="60">
        <v>2482.02</v>
      </c>
      <c r="CJ313" s="60">
        <v>16546.8</v>
      </c>
      <c r="CK313" s="60">
        <v>5.47</v>
      </c>
      <c r="CL313" s="57">
        <v>0.0</v>
      </c>
      <c r="CM313" s="57">
        <v>0.0</v>
      </c>
      <c r="CN313" s="57">
        <v>0.0</v>
      </c>
      <c r="CO313" s="57">
        <v>100.0</v>
      </c>
      <c r="CP313" s="59"/>
      <c r="CQ313" s="57">
        <v>0.0</v>
      </c>
      <c r="CR313" s="57">
        <v>0.0</v>
      </c>
      <c r="CS313" s="57">
        <v>0.0</v>
      </c>
      <c r="CT313" s="57">
        <v>3492.0</v>
      </c>
      <c r="CU313" s="59">
        <v>45869.0</v>
      </c>
      <c r="CV313" s="59">
        <v>45869.0</v>
      </c>
      <c r="CW313" s="57">
        <v>85424.0</v>
      </c>
      <c r="CX313" s="57" t="s">
        <v>122</v>
      </c>
      <c r="CY313" s="57" t="s">
        <v>778</v>
      </c>
      <c r="CZ313" s="60">
        <v>11313.27</v>
      </c>
      <c r="DA313" s="60">
        <v>30513.81</v>
      </c>
      <c r="DB313" s="60">
        <v>-7917.3</v>
      </c>
      <c r="DC313" s="60">
        <v>0.48</v>
      </c>
      <c r="DD313" s="60">
        <v>0.0</v>
      </c>
      <c r="DE313" s="60">
        <v>0.0</v>
      </c>
      <c r="DF313" s="57"/>
    </row>
    <row r="314" ht="13.5" customHeight="1">
      <c r="A314" s="57" t="s">
        <v>175</v>
      </c>
      <c r="B314" s="58">
        <v>44136.0</v>
      </c>
      <c r="C314" s="57" t="s">
        <v>136</v>
      </c>
      <c r="D314" s="57" t="s">
        <v>125</v>
      </c>
      <c r="E314" s="57" t="s">
        <v>126</v>
      </c>
      <c r="F314" s="57" t="s">
        <v>112</v>
      </c>
      <c r="G314" s="57" t="s">
        <v>113</v>
      </c>
      <c r="H314" s="57" t="s">
        <v>141</v>
      </c>
      <c r="I314" s="59">
        <v>44146.0</v>
      </c>
      <c r="J314" s="59">
        <v>44146.0</v>
      </c>
      <c r="K314" s="57">
        <f t="shared" si="1"/>
        <v>0</v>
      </c>
      <c r="L314" s="57">
        <v>1.0</v>
      </c>
      <c r="M314" s="57">
        <f t="shared" si="2"/>
        <v>-1</v>
      </c>
      <c r="N314" s="59">
        <v>44159.0</v>
      </c>
      <c r="O314" s="59">
        <v>44200.0</v>
      </c>
      <c r="P314" s="57">
        <f t="shared" si="3"/>
        <v>41</v>
      </c>
      <c r="Q314" s="57">
        <v>90.0</v>
      </c>
      <c r="R314" s="57">
        <f t="shared" si="4"/>
        <v>-49</v>
      </c>
      <c r="S314" s="57" t="s">
        <v>847</v>
      </c>
      <c r="T314" s="57" t="s">
        <v>848</v>
      </c>
      <c r="U314" s="57" t="s">
        <v>117</v>
      </c>
      <c r="V314" s="57" t="s">
        <v>147</v>
      </c>
      <c r="W314" s="57" t="s">
        <v>199</v>
      </c>
      <c r="X314" s="57" t="s">
        <v>781</v>
      </c>
      <c r="Y314" s="57">
        <v>2020.0</v>
      </c>
      <c r="Z314" s="57" t="s">
        <v>135</v>
      </c>
      <c r="AA314" s="57">
        <v>2798.0</v>
      </c>
      <c r="AB314" s="57">
        <v>16.0</v>
      </c>
      <c r="AC314" s="57">
        <v>1.0</v>
      </c>
      <c r="AD314" s="60">
        <v>541565.0</v>
      </c>
      <c r="AE314" s="60">
        <v>34086.0</v>
      </c>
      <c r="AF314" s="61">
        <v>0.06</v>
      </c>
      <c r="AG314" s="60">
        <v>28957.61</v>
      </c>
      <c r="AH314" s="60">
        <v>2548.3</v>
      </c>
      <c r="AI314" s="57">
        <v>7.75</v>
      </c>
      <c r="AJ314" s="60">
        <v>227457.0</v>
      </c>
      <c r="AK314" s="57">
        <v>42.0</v>
      </c>
      <c r="AL314" s="59">
        <v>44200.0</v>
      </c>
      <c r="AM314" s="59">
        <v>46026.0</v>
      </c>
      <c r="AN314" s="57">
        <v>60.0</v>
      </c>
      <c r="AO314" s="57">
        <v>1500.0</v>
      </c>
      <c r="AP314" s="57">
        <v>90000.0</v>
      </c>
      <c r="AQ314" s="59">
        <v>46234.0</v>
      </c>
      <c r="AR314" s="57">
        <v>60910.0</v>
      </c>
      <c r="AS314" s="57">
        <v>62151.0</v>
      </c>
      <c r="AT314" s="57">
        <v>1241.0</v>
      </c>
      <c r="AU314" s="57">
        <v>60697.0</v>
      </c>
      <c r="AV314" s="57">
        <v>1047.0</v>
      </c>
      <c r="AW314" s="60">
        <v>8569.69</v>
      </c>
      <c r="AX314" s="60">
        <v>1297.58</v>
      </c>
      <c r="AY314" s="60">
        <v>125.0</v>
      </c>
      <c r="AZ314" s="60">
        <v>291.0</v>
      </c>
      <c r="BA314" s="60">
        <v>1414.11</v>
      </c>
      <c r="BB314" s="60">
        <v>11697.38</v>
      </c>
      <c r="BC314" s="60">
        <v>1754.61</v>
      </c>
      <c r="BD314" s="60">
        <v>13451.99</v>
      </c>
      <c r="BE314" s="59">
        <v>45748.0</v>
      </c>
      <c r="BF314" s="59">
        <v>45838.0</v>
      </c>
      <c r="BG314" s="57">
        <v>59216.0</v>
      </c>
      <c r="BH314" s="57">
        <v>62151.0</v>
      </c>
      <c r="BI314" s="57">
        <v>2935.0</v>
      </c>
      <c r="BJ314" s="57">
        <v>4500.0</v>
      </c>
      <c r="BK314" s="57">
        <v>-1565.0</v>
      </c>
      <c r="BL314" s="60">
        <v>0.46</v>
      </c>
      <c r="BM314" s="60">
        <v>3.1</v>
      </c>
      <c r="BN314" s="60">
        <v>0.0</v>
      </c>
      <c r="BO314" s="60">
        <v>0.0</v>
      </c>
      <c r="BP314" s="60">
        <v>0.0</v>
      </c>
      <c r="BQ314" s="60">
        <v>-201.89</v>
      </c>
      <c r="BR314" s="60">
        <v>0.0</v>
      </c>
      <c r="BS314" s="60">
        <v>0.0</v>
      </c>
      <c r="BT314" s="60">
        <v>0.0</v>
      </c>
      <c r="BU314" s="60">
        <v>0.0</v>
      </c>
      <c r="BV314" s="60">
        <v>0.0</v>
      </c>
      <c r="BW314" s="60">
        <v>0.0</v>
      </c>
      <c r="BX314" s="60">
        <v>0.0</v>
      </c>
      <c r="BY314" s="60">
        <v>2363.02</v>
      </c>
      <c r="BZ314" s="57">
        <v>0.0</v>
      </c>
      <c r="CA314" s="60">
        <v>0.0</v>
      </c>
      <c r="CB314" s="57">
        <v>0.0</v>
      </c>
      <c r="CC314" s="60">
        <v>0.0</v>
      </c>
      <c r="CD314" s="60">
        <v>0.0</v>
      </c>
      <c r="CE314" s="60">
        <v>0.0</v>
      </c>
      <c r="CF314" s="60">
        <v>0.0</v>
      </c>
      <c r="CG314" s="60">
        <v>0.0</v>
      </c>
      <c r="CH314" s="60">
        <v>11904.2</v>
      </c>
      <c r="CI314" s="60">
        <v>1552.72</v>
      </c>
      <c r="CJ314" s="60">
        <v>10351.48</v>
      </c>
      <c r="CK314" s="60">
        <v>8.34</v>
      </c>
      <c r="CL314" s="57">
        <v>0.0</v>
      </c>
      <c r="CM314" s="57">
        <v>0.0</v>
      </c>
      <c r="CN314" s="57">
        <v>0.0</v>
      </c>
      <c r="CO314" s="57">
        <v>100.0</v>
      </c>
      <c r="CP314" s="59"/>
      <c r="CQ314" s="57">
        <v>0.0</v>
      </c>
      <c r="CR314" s="57">
        <v>0.0</v>
      </c>
      <c r="CS314" s="57">
        <v>0.0</v>
      </c>
      <c r="CT314" s="57">
        <v>-26303.0</v>
      </c>
      <c r="CU314" s="59">
        <v>45900.0</v>
      </c>
      <c r="CV314" s="59">
        <v>45900.0</v>
      </c>
      <c r="CW314" s="57">
        <v>91454.0</v>
      </c>
      <c r="CX314" s="57" t="s">
        <v>122</v>
      </c>
      <c r="CY314" s="57" t="s">
        <v>778</v>
      </c>
      <c r="CZ314" s="60">
        <v>1027.64</v>
      </c>
      <c r="DA314" s="60">
        <v>6918.92</v>
      </c>
      <c r="DB314" s="60">
        <v>-22815.83</v>
      </c>
      <c r="DC314" s="60">
        <v>0.86</v>
      </c>
      <c r="DD314" s="60">
        <v>-1345.9</v>
      </c>
      <c r="DE314" s="60">
        <v>-1547.79</v>
      </c>
      <c r="DF314" s="57"/>
    </row>
    <row r="315" ht="13.5" customHeight="1">
      <c r="A315" s="57" t="s">
        <v>175</v>
      </c>
      <c r="B315" s="58">
        <v>44136.0</v>
      </c>
      <c r="C315" s="57" t="s">
        <v>109</v>
      </c>
      <c r="D315" s="57" t="s">
        <v>110</v>
      </c>
      <c r="E315" s="57" t="s">
        <v>111</v>
      </c>
      <c r="F315" s="57" t="s">
        <v>231</v>
      </c>
      <c r="G315" s="57" t="s">
        <v>113</v>
      </c>
      <c r="H315" s="57" t="s">
        <v>114</v>
      </c>
      <c r="I315" s="59">
        <v>44146.0</v>
      </c>
      <c r="J315" s="59">
        <v>44147.0</v>
      </c>
      <c r="K315" s="57">
        <f t="shared" si="1"/>
        <v>1</v>
      </c>
      <c r="L315" s="57">
        <v>1.0</v>
      </c>
      <c r="M315" s="57">
        <f t="shared" si="2"/>
        <v>0</v>
      </c>
      <c r="N315" s="59">
        <v>44160.0</v>
      </c>
      <c r="O315" s="59">
        <v>44199.0</v>
      </c>
      <c r="P315" s="57">
        <f t="shared" si="3"/>
        <v>39</v>
      </c>
      <c r="Q315" s="57">
        <v>90.0</v>
      </c>
      <c r="R315" s="57">
        <f t="shared" si="4"/>
        <v>-51</v>
      </c>
      <c r="S315" s="57" t="s">
        <v>849</v>
      </c>
      <c r="T315" s="57" t="s">
        <v>850</v>
      </c>
      <c r="U315" s="57" t="s">
        <v>117</v>
      </c>
      <c r="V315" s="57" t="s">
        <v>207</v>
      </c>
      <c r="W315" s="57" t="s">
        <v>221</v>
      </c>
      <c r="X315" s="57" t="s">
        <v>811</v>
      </c>
      <c r="Y315" s="57">
        <v>2020.0</v>
      </c>
      <c r="Z315" s="57" t="s">
        <v>135</v>
      </c>
      <c r="AA315" s="57">
        <v>2498.0</v>
      </c>
      <c r="AB315" s="57">
        <v>16.0</v>
      </c>
      <c r="AC315" s="57">
        <v>4.0</v>
      </c>
      <c r="AD315" s="60">
        <v>541565.0</v>
      </c>
      <c r="AE315" s="60">
        <v>34086.0</v>
      </c>
      <c r="AF315" s="61">
        <v>0.06</v>
      </c>
      <c r="AG315" s="60">
        <v>22123.04</v>
      </c>
      <c r="AH315" s="60">
        <v>1911.5</v>
      </c>
      <c r="AI315" s="57">
        <v>7.75</v>
      </c>
      <c r="AJ315" s="60">
        <v>263422.0</v>
      </c>
      <c r="AK315" s="57">
        <v>43.0</v>
      </c>
      <c r="AL315" s="59">
        <v>44199.0</v>
      </c>
      <c r="AM315" s="59">
        <v>46025.0</v>
      </c>
      <c r="AN315" s="57">
        <v>60.0</v>
      </c>
      <c r="AO315" s="57">
        <v>2500.0</v>
      </c>
      <c r="AP315" s="57">
        <v>150000.0</v>
      </c>
      <c r="AQ315" s="59">
        <v>46234.0</v>
      </c>
      <c r="AR315" s="57">
        <v>101960.0</v>
      </c>
      <c r="AS315" s="57">
        <v>105781.0</v>
      </c>
      <c r="AT315" s="57">
        <v>3821.0</v>
      </c>
      <c r="AU315" s="57">
        <v>104323.0</v>
      </c>
      <c r="AV315" s="57">
        <v>1768.0</v>
      </c>
      <c r="AW315" s="60">
        <v>8097.27</v>
      </c>
      <c r="AX315" s="60">
        <v>1492.54</v>
      </c>
      <c r="AY315" s="60">
        <v>175.0</v>
      </c>
      <c r="AZ315" s="60">
        <v>291.0</v>
      </c>
      <c r="BA315" s="60">
        <v>1384.85</v>
      </c>
      <c r="BB315" s="60">
        <v>11440.66</v>
      </c>
      <c r="BC315" s="60">
        <v>1716.1</v>
      </c>
      <c r="BD315" s="60">
        <v>13156.76</v>
      </c>
      <c r="BE315" s="59">
        <v>45748.0</v>
      </c>
      <c r="BF315" s="59">
        <v>45838.0</v>
      </c>
      <c r="BG315" s="57">
        <v>99841.0</v>
      </c>
      <c r="BH315" s="57">
        <v>105781.0</v>
      </c>
      <c r="BI315" s="57">
        <v>5940.0</v>
      </c>
      <c r="BJ315" s="57">
        <v>7500.0</v>
      </c>
      <c r="BK315" s="57">
        <v>-1560.0</v>
      </c>
      <c r="BL315" s="60">
        <v>0.47</v>
      </c>
      <c r="BM315" s="60">
        <v>2.06</v>
      </c>
      <c r="BN315" s="60">
        <v>0.0</v>
      </c>
      <c r="BO315" s="60">
        <v>0.0</v>
      </c>
      <c r="BP315" s="60">
        <v>0.0</v>
      </c>
      <c r="BQ315" s="60">
        <v>-138.06</v>
      </c>
      <c r="BR315" s="60">
        <v>0.0</v>
      </c>
      <c r="BS315" s="60">
        <v>0.0</v>
      </c>
      <c r="BT315" s="60">
        <v>0.0</v>
      </c>
      <c r="BU315" s="60">
        <v>0.0</v>
      </c>
      <c r="BV315" s="60">
        <v>0.0</v>
      </c>
      <c r="BW315" s="60">
        <v>0.0</v>
      </c>
      <c r="BX315" s="60">
        <v>0.0</v>
      </c>
      <c r="BY315" s="60">
        <v>7165.05</v>
      </c>
      <c r="BZ315" s="57">
        <v>0.0</v>
      </c>
      <c r="CA315" s="60">
        <v>0.0</v>
      </c>
      <c r="CB315" s="57">
        <v>0.0</v>
      </c>
      <c r="CC315" s="60">
        <v>0.0</v>
      </c>
      <c r="CD315" s="60">
        <v>0.0</v>
      </c>
      <c r="CE315" s="60">
        <v>0.0</v>
      </c>
      <c r="CF315" s="60">
        <v>0.0</v>
      </c>
      <c r="CG315" s="60">
        <v>0.0</v>
      </c>
      <c r="CH315" s="60">
        <v>12098.3</v>
      </c>
      <c r="CI315" s="60">
        <v>1578.04</v>
      </c>
      <c r="CJ315" s="60">
        <v>10520.26</v>
      </c>
      <c r="CK315" s="60">
        <v>2.75</v>
      </c>
      <c r="CL315" s="57">
        <v>0.0</v>
      </c>
      <c r="CM315" s="57">
        <v>0.0</v>
      </c>
      <c r="CN315" s="57">
        <v>0.0</v>
      </c>
      <c r="CO315" s="57">
        <v>100.0</v>
      </c>
      <c r="CP315" s="59"/>
      <c r="CQ315" s="57">
        <v>0.0</v>
      </c>
      <c r="CR315" s="57">
        <v>0.0</v>
      </c>
      <c r="CS315" s="57">
        <v>0.0</v>
      </c>
      <c r="CT315" s="57">
        <v>-43177.0</v>
      </c>
      <c r="CU315" s="59">
        <v>45869.0</v>
      </c>
      <c r="CV315" s="59">
        <v>45869.0</v>
      </c>
      <c r="CW315" s="57">
        <v>151458.0</v>
      </c>
      <c r="CX315" s="57" t="s">
        <v>122</v>
      </c>
      <c r="CY315" s="57" t="s">
        <v>778</v>
      </c>
      <c r="CZ315" s="60">
        <v>5047.42</v>
      </c>
      <c r="DA315" s="60">
        <v>22130.28</v>
      </c>
      <c r="DB315" s="60">
        <v>-31410.73</v>
      </c>
      <c r="DC315" s="60">
        <v>0.59</v>
      </c>
      <c r="DD315" s="60">
        <v>-920.4</v>
      </c>
      <c r="DE315" s="60">
        <v>-1058.46</v>
      </c>
      <c r="DF315" s="57"/>
    </row>
    <row r="316" ht="13.5" customHeight="1">
      <c r="A316" s="57" t="s">
        <v>175</v>
      </c>
      <c r="B316" s="58">
        <v>44136.0</v>
      </c>
      <c r="C316" s="57" t="s">
        <v>124</v>
      </c>
      <c r="D316" s="57" t="s">
        <v>125</v>
      </c>
      <c r="E316" s="57" t="s">
        <v>126</v>
      </c>
      <c r="F316" s="57" t="s">
        <v>112</v>
      </c>
      <c r="G316" s="57" t="s">
        <v>113</v>
      </c>
      <c r="H316" s="57" t="s">
        <v>129</v>
      </c>
      <c r="I316" s="59">
        <v>44147.0</v>
      </c>
      <c r="J316" s="59">
        <v>44148.0</v>
      </c>
      <c r="K316" s="57">
        <f t="shared" si="1"/>
        <v>1</v>
      </c>
      <c r="L316" s="57">
        <v>1.0</v>
      </c>
      <c r="M316" s="57">
        <f t="shared" si="2"/>
        <v>0</v>
      </c>
      <c r="N316" s="59">
        <v>44161.0</v>
      </c>
      <c r="O316" s="59">
        <v>44202.0</v>
      </c>
      <c r="P316" s="57">
        <f t="shared" si="3"/>
        <v>41</v>
      </c>
      <c r="Q316" s="57">
        <v>90.0</v>
      </c>
      <c r="R316" s="57">
        <f t="shared" si="4"/>
        <v>-49</v>
      </c>
      <c r="S316" s="57" t="s">
        <v>851</v>
      </c>
      <c r="T316" s="57" t="s">
        <v>852</v>
      </c>
      <c r="U316" s="57" t="s">
        <v>117</v>
      </c>
      <c r="V316" s="57" t="s">
        <v>132</v>
      </c>
      <c r="W316" s="57" t="s">
        <v>133</v>
      </c>
      <c r="X316" s="57" t="s">
        <v>164</v>
      </c>
      <c r="Y316" s="57">
        <v>2020.0</v>
      </c>
      <c r="Z316" s="57" t="s">
        <v>135</v>
      </c>
      <c r="AA316" s="57">
        <v>2498.0</v>
      </c>
      <c r="AB316" s="57">
        <v>16.0</v>
      </c>
      <c r="AC316" s="57">
        <v>2.0</v>
      </c>
      <c r="AD316" s="60">
        <v>291043.48</v>
      </c>
      <c r="AE316" s="60">
        <v>52106.57</v>
      </c>
      <c r="AF316" s="61">
        <v>0.18</v>
      </c>
      <c r="AG316" s="60">
        <v>32204.18</v>
      </c>
      <c r="AH316" s="60">
        <v>1217.5</v>
      </c>
      <c r="AI316" s="57">
        <v>7.75</v>
      </c>
      <c r="AJ316" s="60">
        <v>130970.0</v>
      </c>
      <c r="AK316" s="57">
        <v>63.77</v>
      </c>
      <c r="AL316" s="59">
        <v>44202.0</v>
      </c>
      <c r="AM316" s="59">
        <v>46028.0</v>
      </c>
      <c r="AN316" s="57">
        <v>40.0</v>
      </c>
      <c r="AO316" s="57">
        <v>1500.0</v>
      </c>
      <c r="AP316" s="57">
        <v>68489.0</v>
      </c>
      <c r="AQ316" s="59">
        <v>45900.0</v>
      </c>
      <c r="AR316" s="57">
        <v>42524.0</v>
      </c>
      <c r="AS316" s="57">
        <v>43001.0</v>
      </c>
      <c r="AT316" s="57">
        <v>477.0</v>
      </c>
      <c r="AU316" s="57">
        <v>41562.0</v>
      </c>
      <c r="AV316" s="57">
        <v>717.0</v>
      </c>
      <c r="AW316" s="60">
        <v>4415.19</v>
      </c>
      <c r="AX316" s="60">
        <v>1226.89</v>
      </c>
      <c r="AY316" s="60">
        <v>125.0</v>
      </c>
      <c r="AZ316" s="60">
        <v>291.0</v>
      </c>
      <c r="BA316" s="60">
        <v>1185.78</v>
      </c>
      <c r="BB316" s="60">
        <v>7243.86</v>
      </c>
      <c r="BC316" s="60">
        <v>1086.58</v>
      </c>
      <c r="BD316" s="60">
        <v>8330.44</v>
      </c>
      <c r="BE316" s="59">
        <v>45748.0</v>
      </c>
      <c r="BF316" s="59">
        <v>45838.0</v>
      </c>
      <c r="BG316" s="57">
        <v>41044.0</v>
      </c>
      <c r="BH316" s="57">
        <v>43001.0</v>
      </c>
      <c r="BI316" s="57">
        <v>1957.0</v>
      </c>
      <c r="BJ316" s="57">
        <v>4500.0</v>
      </c>
      <c r="BK316" s="57">
        <v>-2543.0</v>
      </c>
      <c r="BL316" s="60">
        <v>0.7</v>
      </c>
      <c r="BM316" s="60">
        <v>2.58</v>
      </c>
      <c r="BN316" s="60">
        <v>0.0</v>
      </c>
      <c r="BO316" s="60">
        <v>0.0</v>
      </c>
      <c r="BP316" s="60">
        <v>0.0</v>
      </c>
      <c r="BQ316" s="60">
        <v>-308.97</v>
      </c>
      <c r="BR316" s="60">
        <v>0.0</v>
      </c>
      <c r="BS316" s="60">
        <v>0.0</v>
      </c>
      <c r="BT316" s="60">
        <v>0.0</v>
      </c>
      <c r="BU316" s="60">
        <v>0.0</v>
      </c>
      <c r="BV316" s="60">
        <v>0.0</v>
      </c>
      <c r="BW316" s="60">
        <v>0.0</v>
      </c>
      <c r="BX316" s="60">
        <v>0.0</v>
      </c>
      <c r="BY316" s="60">
        <v>0.0</v>
      </c>
      <c r="BZ316" s="57">
        <v>0.0</v>
      </c>
      <c r="CA316" s="60">
        <v>0.0</v>
      </c>
      <c r="CB316" s="57">
        <v>0.0</v>
      </c>
      <c r="CC316" s="60">
        <v>0.0</v>
      </c>
      <c r="CD316" s="60">
        <v>0.0</v>
      </c>
      <c r="CE316" s="60">
        <v>0.0</v>
      </c>
      <c r="CF316" s="60">
        <v>0.0</v>
      </c>
      <c r="CG316" s="60">
        <v>0.0</v>
      </c>
      <c r="CH316" s="60">
        <v>5961.64</v>
      </c>
      <c r="CI316" s="60">
        <v>777.61</v>
      </c>
      <c r="CJ316" s="60">
        <v>5184.03</v>
      </c>
      <c r="CK316" s="60">
        <v>10.87</v>
      </c>
      <c r="CL316" s="57">
        <v>0.0</v>
      </c>
      <c r="CM316" s="57">
        <v>0.0</v>
      </c>
      <c r="CN316" s="57">
        <v>0.0</v>
      </c>
      <c r="CO316" s="57">
        <v>100.0</v>
      </c>
      <c r="CP316" s="59"/>
      <c r="CQ316" s="57">
        <v>0.0</v>
      </c>
      <c r="CR316" s="57">
        <v>0.0</v>
      </c>
      <c r="CS316" s="57">
        <v>0.0</v>
      </c>
      <c r="CT316" s="57">
        <v>-65438.0</v>
      </c>
      <c r="CU316" s="59">
        <v>45900.0</v>
      </c>
      <c r="CV316" s="59">
        <v>45900.0</v>
      </c>
      <c r="CW316" s="57">
        <v>69928.0</v>
      </c>
      <c r="CX316" s="57" t="s">
        <v>122</v>
      </c>
      <c r="CY316" s="57" t="s">
        <v>778</v>
      </c>
      <c r="CZ316" s="60">
        <v>0.0</v>
      </c>
      <c r="DA316" s="60">
        <v>0.0</v>
      </c>
      <c r="DB316" s="60">
        <v>-40878.97</v>
      </c>
      <c r="DC316" s="60">
        <v>0.81</v>
      </c>
      <c r="DD316" s="60">
        <v>-2059.83</v>
      </c>
      <c r="DE316" s="60">
        <v>-2368.8</v>
      </c>
      <c r="DF316" s="57"/>
    </row>
    <row r="317" ht="13.5" customHeight="1">
      <c r="A317" s="57" t="s">
        <v>175</v>
      </c>
      <c r="B317" s="58">
        <v>44136.0</v>
      </c>
      <c r="C317" s="57" t="s">
        <v>136</v>
      </c>
      <c r="D317" s="57" t="s">
        <v>137</v>
      </c>
      <c r="E317" s="57" t="s">
        <v>138</v>
      </c>
      <c r="F317" s="57" t="s">
        <v>112</v>
      </c>
      <c r="G317" s="57" t="s">
        <v>113</v>
      </c>
      <c r="H317" s="57" t="s">
        <v>141</v>
      </c>
      <c r="I317" s="59">
        <v>44148.0</v>
      </c>
      <c r="J317" s="59">
        <v>44159.0</v>
      </c>
      <c r="K317" s="57">
        <f t="shared" si="1"/>
        <v>11</v>
      </c>
      <c r="L317" s="57">
        <v>1.0</v>
      </c>
      <c r="M317" s="57">
        <f t="shared" si="2"/>
        <v>10</v>
      </c>
      <c r="N317" s="59">
        <v>44162.0</v>
      </c>
      <c r="O317" s="59">
        <v>44203.0</v>
      </c>
      <c r="P317" s="57">
        <f t="shared" si="3"/>
        <v>41</v>
      </c>
      <c r="Q317" s="57">
        <v>90.0</v>
      </c>
      <c r="R317" s="57">
        <f t="shared" si="4"/>
        <v>-49</v>
      </c>
      <c r="S317" s="57" t="s">
        <v>853</v>
      </c>
      <c r="T317" s="57" t="s">
        <v>854</v>
      </c>
      <c r="U317" s="57" t="s">
        <v>117</v>
      </c>
      <c r="V317" s="57" t="s">
        <v>132</v>
      </c>
      <c r="W317" s="57" t="s">
        <v>133</v>
      </c>
      <c r="X317" s="57" t="s">
        <v>164</v>
      </c>
      <c r="Y317" s="57">
        <v>2020.0</v>
      </c>
      <c r="Z317" s="57" t="s">
        <v>135</v>
      </c>
      <c r="AA317" s="57">
        <v>2498.0</v>
      </c>
      <c r="AB317" s="57">
        <v>16.0</v>
      </c>
      <c r="AC317" s="57">
        <v>2.0</v>
      </c>
      <c r="AD317" s="60">
        <v>291043.48</v>
      </c>
      <c r="AE317" s="60">
        <v>52106.57</v>
      </c>
      <c r="AF317" s="61">
        <v>0.18</v>
      </c>
      <c r="AG317" s="60">
        <v>27881.04</v>
      </c>
      <c r="AH317" s="60">
        <v>1217.5</v>
      </c>
      <c r="AI317" s="57">
        <v>7.75</v>
      </c>
      <c r="AJ317" s="60">
        <v>130970.0</v>
      </c>
      <c r="AK317" s="57">
        <v>63.77</v>
      </c>
      <c r="AL317" s="59">
        <v>44203.0</v>
      </c>
      <c r="AM317" s="59">
        <v>46029.0</v>
      </c>
      <c r="AN317" s="57">
        <v>40.0</v>
      </c>
      <c r="AO317" s="57">
        <v>1500.0</v>
      </c>
      <c r="AP317" s="57">
        <v>69689.0</v>
      </c>
      <c r="AQ317" s="59">
        <v>46234.0</v>
      </c>
      <c r="AR317" s="57">
        <v>53309.0</v>
      </c>
      <c r="AS317" s="57">
        <v>54403.0</v>
      </c>
      <c r="AT317" s="57">
        <v>1094.0</v>
      </c>
      <c r="AU317" s="57">
        <v>52966.0</v>
      </c>
      <c r="AV317" s="57">
        <v>913.0</v>
      </c>
      <c r="AW317" s="60">
        <v>4317.13</v>
      </c>
      <c r="AX317" s="60">
        <v>1212.23</v>
      </c>
      <c r="AY317" s="60">
        <v>125.0</v>
      </c>
      <c r="AZ317" s="60">
        <v>291.0</v>
      </c>
      <c r="BA317" s="60">
        <v>1185.78</v>
      </c>
      <c r="BB317" s="60">
        <v>7131.14</v>
      </c>
      <c r="BC317" s="60">
        <v>1069.67</v>
      </c>
      <c r="BD317" s="60">
        <v>8200.81</v>
      </c>
      <c r="BE317" s="59">
        <v>45748.0</v>
      </c>
      <c r="BF317" s="59">
        <v>45838.0</v>
      </c>
      <c r="BG317" s="57">
        <v>51022.0</v>
      </c>
      <c r="BH317" s="57">
        <v>54403.0</v>
      </c>
      <c r="BI317" s="57">
        <v>3381.0</v>
      </c>
      <c r="BJ317" s="57">
        <v>4500.0</v>
      </c>
      <c r="BK317" s="57">
        <v>-1119.0</v>
      </c>
      <c r="BL317" s="60">
        <v>0.7</v>
      </c>
      <c r="BM317" s="60">
        <v>2.54</v>
      </c>
      <c r="BN317" s="60">
        <v>0.0</v>
      </c>
      <c r="BO317" s="60">
        <v>0.0</v>
      </c>
      <c r="BP317" s="60">
        <v>0.0</v>
      </c>
      <c r="BQ317" s="60">
        <v>-135.96</v>
      </c>
      <c r="BR317" s="60">
        <v>0.0</v>
      </c>
      <c r="BS317" s="60">
        <v>0.0</v>
      </c>
      <c r="BT317" s="60">
        <v>0.0</v>
      </c>
      <c r="BU317" s="60">
        <v>0.0</v>
      </c>
      <c r="BV317" s="60">
        <v>0.0</v>
      </c>
      <c r="BW317" s="60">
        <v>0.0</v>
      </c>
      <c r="BX317" s="60">
        <v>0.0</v>
      </c>
      <c r="BY317" s="60">
        <v>3512.8</v>
      </c>
      <c r="BZ317" s="57">
        <v>0.0</v>
      </c>
      <c r="CA317" s="60">
        <v>0.0</v>
      </c>
      <c r="CB317" s="57">
        <v>0.0</v>
      </c>
      <c r="CC317" s="60">
        <v>0.0</v>
      </c>
      <c r="CD317" s="60">
        <v>0.0</v>
      </c>
      <c r="CE317" s="60">
        <v>0.0</v>
      </c>
      <c r="CF317" s="60">
        <v>0.0</v>
      </c>
      <c r="CG317" s="60">
        <v>0.0</v>
      </c>
      <c r="CH317" s="60">
        <v>7158.46</v>
      </c>
      <c r="CI317" s="60">
        <v>933.71</v>
      </c>
      <c r="CJ317" s="60">
        <v>6224.75</v>
      </c>
      <c r="CK317" s="60">
        <v>5.69</v>
      </c>
      <c r="CL317" s="57">
        <v>0.0</v>
      </c>
      <c r="CM317" s="57">
        <v>0.0</v>
      </c>
      <c r="CN317" s="57">
        <v>0.0</v>
      </c>
      <c r="CO317" s="57">
        <v>100.0</v>
      </c>
      <c r="CP317" s="59"/>
      <c r="CQ317" s="57">
        <v>0.0</v>
      </c>
      <c r="CR317" s="57">
        <v>0.0</v>
      </c>
      <c r="CS317" s="57">
        <v>0.0</v>
      </c>
      <c r="CT317" s="57">
        <v>-54034.0</v>
      </c>
      <c r="CU317" s="59">
        <v>45900.0</v>
      </c>
      <c r="CV317" s="59">
        <v>45900.0</v>
      </c>
      <c r="CW317" s="57">
        <v>71126.0</v>
      </c>
      <c r="CX317" s="57" t="s">
        <v>122</v>
      </c>
      <c r="CY317" s="57" t="s">
        <v>778</v>
      </c>
      <c r="CZ317" s="60">
        <v>0.0</v>
      </c>
      <c r="DA317" s="60">
        <v>0.0</v>
      </c>
      <c r="DB317" s="60">
        <v>-32446.33</v>
      </c>
      <c r="DC317" s="60">
        <v>0.81</v>
      </c>
      <c r="DD317" s="60">
        <v>-906.39</v>
      </c>
      <c r="DE317" s="60">
        <v>-1042.35</v>
      </c>
      <c r="DF317" s="57"/>
    </row>
    <row r="318" ht="13.5" customHeight="1">
      <c r="A318" s="57" t="s">
        <v>175</v>
      </c>
      <c r="B318" s="58">
        <v>44136.0</v>
      </c>
      <c r="C318" s="57" t="s">
        <v>109</v>
      </c>
      <c r="D318" s="57" t="s">
        <v>110</v>
      </c>
      <c r="E318" s="57" t="s">
        <v>111</v>
      </c>
      <c r="F318" s="57" t="s">
        <v>112</v>
      </c>
      <c r="G318" s="57" t="s">
        <v>113</v>
      </c>
      <c r="H318" s="57" t="s">
        <v>114</v>
      </c>
      <c r="I318" s="59">
        <v>44149.0</v>
      </c>
      <c r="J318" s="59">
        <v>44150.0</v>
      </c>
      <c r="K318" s="57">
        <f t="shared" si="1"/>
        <v>1</v>
      </c>
      <c r="L318" s="57">
        <v>1.0</v>
      </c>
      <c r="M318" s="57">
        <f t="shared" si="2"/>
        <v>0</v>
      </c>
      <c r="N318" s="59">
        <v>44163.0</v>
      </c>
      <c r="O318" s="59">
        <v>44204.0</v>
      </c>
      <c r="P318" s="57">
        <f t="shared" si="3"/>
        <v>41</v>
      </c>
      <c r="Q318" s="57">
        <v>90.0</v>
      </c>
      <c r="R318" s="57">
        <f t="shared" si="4"/>
        <v>-49</v>
      </c>
      <c r="S318" s="57" t="s">
        <v>855</v>
      </c>
      <c r="T318" s="57" t="s">
        <v>856</v>
      </c>
      <c r="U318" s="57" t="s">
        <v>117</v>
      </c>
      <c r="V318" s="57" t="s">
        <v>132</v>
      </c>
      <c r="W318" s="57" t="s">
        <v>133</v>
      </c>
      <c r="X318" s="57" t="s">
        <v>164</v>
      </c>
      <c r="Y318" s="57">
        <v>2020.0</v>
      </c>
      <c r="Z318" s="57" t="s">
        <v>135</v>
      </c>
      <c r="AA318" s="57">
        <v>2498.0</v>
      </c>
      <c r="AB318" s="57">
        <v>16.0</v>
      </c>
      <c r="AC318" s="57">
        <v>0.0</v>
      </c>
      <c r="AD318" s="60">
        <v>291043.48</v>
      </c>
      <c r="AE318" s="60">
        <v>52106.57</v>
      </c>
      <c r="AF318" s="61">
        <v>0.18</v>
      </c>
      <c r="AG318" s="60">
        <v>27670.25</v>
      </c>
      <c r="AH318" s="60">
        <v>1217.5</v>
      </c>
      <c r="AI318" s="57">
        <v>7.75</v>
      </c>
      <c r="AJ318" s="60">
        <v>130970.0</v>
      </c>
      <c r="AK318" s="57">
        <v>63.77</v>
      </c>
      <c r="AL318" s="59">
        <v>44204.0</v>
      </c>
      <c r="AM318" s="59">
        <v>46030.0</v>
      </c>
      <c r="AN318" s="57">
        <v>40.0</v>
      </c>
      <c r="AO318" s="57">
        <v>1500.0</v>
      </c>
      <c r="AP318" s="57">
        <v>78233.0</v>
      </c>
      <c r="AQ318" s="59">
        <v>46234.0</v>
      </c>
      <c r="AR318" s="57">
        <v>47928.0</v>
      </c>
      <c r="AS318" s="57">
        <v>48304.0</v>
      </c>
      <c r="AT318" s="57">
        <v>376.0</v>
      </c>
      <c r="AU318" s="57">
        <v>46868.0</v>
      </c>
      <c r="AV318" s="57">
        <v>808.0</v>
      </c>
      <c r="AW318" s="60">
        <v>4313.05</v>
      </c>
      <c r="AX318" s="60">
        <v>1116.38</v>
      </c>
      <c r="AY318" s="60">
        <v>125.0</v>
      </c>
      <c r="AZ318" s="60">
        <v>291.0</v>
      </c>
      <c r="BA318" s="60">
        <v>1185.78</v>
      </c>
      <c r="BB318" s="60">
        <v>7031.21</v>
      </c>
      <c r="BC318" s="60">
        <v>1054.68</v>
      </c>
      <c r="BD318" s="60">
        <v>8085.89</v>
      </c>
      <c r="BE318" s="59">
        <v>45748.0</v>
      </c>
      <c r="BF318" s="59">
        <v>45838.0</v>
      </c>
      <c r="BG318" s="57">
        <v>47369.0</v>
      </c>
      <c r="BH318" s="57">
        <v>48304.0</v>
      </c>
      <c r="BI318" s="57">
        <v>935.0</v>
      </c>
      <c r="BJ318" s="57">
        <v>4500.0</v>
      </c>
      <c r="BK318" s="57">
        <v>-3565.0</v>
      </c>
      <c r="BL318" s="60">
        <v>0.55</v>
      </c>
      <c r="BM318" s="60">
        <v>2.26</v>
      </c>
      <c r="BN318" s="60">
        <v>0.0</v>
      </c>
      <c r="BO318" s="60">
        <v>0.0</v>
      </c>
      <c r="BP318" s="60">
        <v>0.0</v>
      </c>
      <c r="BQ318" s="60">
        <v>-395.72</v>
      </c>
      <c r="BR318" s="60">
        <v>0.0</v>
      </c>
      <c r="BS318" s="60">
        <v>0.0</v>
      </c>
      <c r="BT318" s="60">
        <v>0.0</v>
      </c>
      <c r="BU318" s="60">
        <v>0.0</v>
      </c>
      <c r="BV318" s="60">
        <v>0.0</v>
      </c>
      <c r="BW318" s="60">
        <v>0.0</v>
      </c>
      <c r="BX318" s="60">
        <v>0.0</v>
      </c>
      <c r="BY318" s="60">
        <v>1353.14</v>
      </c>
      <c r="BZ318" s="57">
        <v>0.0</v>
      </c>
      <c r="CA318" s="60">
        <v>0.0</v>
      </c>
      <c r="CB318" s="57">
        <v>0.0</v>
      </c>
      <c r="CC318" s="60">
        <v>0.0</v>
      </c>
      <c r="CD318" s="60">
        <v>0.0</v>
      </c>
      <c r="CE318" s="60">
        <v>0.0</v>
      </c>
      <c r="CF318" s="60">
        <v>0.0</v>
      </c>
      <c r="CG318" s="60">
        <v>0.0</v>
      </c>
      <c r="CH318" s="60">
        <v>5052.07</v>
      </c>
      <c r="CI318" s="60">
        <v>658.96</v>
      </c>
      <c r="CJ318" s="60">
        <v>4393.11</v>
      </c>
      <c r="CK318" s="60">
        <v>11.68</v>
      </c>
      <c r="CL318" s="57">
        <v>0.0</v>
      </c>
      <c r="CM318" s="57">
        <v>0.0</v>
      </c>
      <c r="CN318" s="57">
        <v>0.0</v>
      </c>
      <c r="CO318" s="57">
        <v>100.0</v>
      </c>
      <c r="CP318" s="59"/>
      <c r="CQ318" s="57">
        <v>0.0</v>
      </c>
      <c r="CR318" s="57">
        <v>0.0</v>
      </c>
      <c r="CS318" s="57">
        <v>0.0</v>
      </c>
      <c r="CT318" s="57">
        <v>-60132.0</v>
      </c>
      <c r="CU318" s="59">
        <v>45900.0</v>
      </c>
      <c r="CV318" s="59">
        <v>45900.0</v>
      </c>
      <c r="CW318" s="57">
        <v>79669.0</v>
      </c>
      <c r="CX318" s="57" t="s">
        <v>122</v>
      </c>
      <c r="CY318" s="57" t="s">
        <v>778</v>
      </c>
      <c r="CZ318" s="60">
        <v>0.0</v>
      </c>
      <c r="DA318" s="60">
        <v>0.0</v>
      </c>
      <c r="DB318" s="60">
        <v>-33832.08</v>
      </c>
      <c r="DC318" s="60">
        <v>0.74</v>
      </c>
      <c r="DD318" s="60">
        <v>-2638.1</v>
      </c>
      <c r="DE318" s="60">
        <v>-3033.82</v>
      </c>
      <c r="DF318" s="57"/>
    </row>
    <row r="319" ht="13.5" customHeight="1">
      <c r="A319" s="57" t="s">
        <v>175</v>
      </c>
      <c r="B319" s="58">
        <v>44136.0</v>
      </c>
      <c r="C319" s="57" t="s">
        <v>124</v>
      </c>
      <c r="D319" s="57" t="s">
        <v>125</v>
      </c>
      <c r="E319" s="57" t="s">
        <v>126</v>
      </c>
      <c r="F319" s="57" t="s">
        <v>112</v>
      </c>
      <c r="G319" s="57" t="s">
        <v>113</v>
      </c>
      <c r="H319" s="57" t="s">
        <v>129</v>
      </c>
      <c r="I319" s="59">
        <v>44150.0</v>
      </c>
      <c r="J319" s="59">
        <v>44151.0</v>
      </c>
      <c r="K319" s="57">
        <f t="shared" si="1"/>
        <v>1</v>
      </c>
      <c r="L319" s="57">
        <v>1.0</v>
      </c>
      <c r="M319" s="57">
        <f t="shared" si="2"/>
        <v>0</v>
      </c>
      <c r="N319" s="59">
        <v>44164.0</v>
      </c>
      <c r="O319" s="59">
        <v>44205.0</v>
      </c>
      <c r="P319" s="57">
        <f t="shared" si="3"/>
        <v>41</v>
      </c>
      <c r="Q319" s="57">
        <v>90.0</v>
      </c>
      <c r="R319" s="57">
        <f t="shared" si="4"/>
        <v>-49</v>
      </c>
      <c r="S319" s="57" t="s">
        <v>857</v>
      </c>
      <c r="T319" s="57" t="s">
        <v>858</v>
      </c>
      <c r="U319" s="57" t="s">
        <v>117</v>
      </c>
      <c r="V319" s="57" t="s">
        <v>132</v>
      </c>
      <c r="W319" s="57" t="s">
        <v>133</v>
      </c>
      <c r="X319" s="57" t="s">
        <v>164</v>
      </c>
      <c r="Y319" s="57">
        <v>2020.0</v>
      </c>
      <c r="Z319" s="57" t="s">
        <v>135</v>
      </c>
      <c r="AA319" s="57">
        <v>2498.0</v>
      </c>
      <c r="AB319" s="57">
        <v>16.0</v>
      </c>
      <c r="AC319" s="57">
        <v>2.0</v>
      </c>
      <c r="AD319" s="60">
        <v>291043.48</v>
      </c>
      <c r="AE319" s="60">
        <v>52106.57</v>
      </c>
      <c r="AF319" s="61">
        <v>0.18</v>
      </c>
      <c r="AG319" s="60">
        <v>32195.32</v>
      </c>
      <c r="AH319" s="60">
        <v>1217.5</v>
      </c>
      <c r="AI319" s="57">
        <v>7.75</v>
      </c>
      <c r="AJ319" s="60">
        <v>130970.0</v>
      </c>
      <c r="AK319" s="57">
        <v>63.77</v>
      </c>
      <c r="AL319" s="59">
        <v>44205.0</v>
      </c>
      <c r="AM319" s="59">
        <v>46031.0</v>
      </c>
      <c r="AN319" s="57">
        <v>40.0</v>
      </c>
      <c r="AO319" s="57">
        <v>1500.0</v>
      </c>
      <c r="AP319" s="57">
        <v>86053.0</v>
      </c>
      <c r="AQ319" s="59">
        <v>46234.0</v>
      </c>
      <c r="AR319" s="57">
        <v>62959.0</v>
      </c>
      <c r="AS319" s="57">
        <v>64188.0</v>
      </c>
      <c r="AT319" s="57">
        <v>1229.0</v>
      </c>
      <c r="AU319" s="57">
        <v>62751.0</v>
      </c>
      <c r="AV319" s="57">
        <v>1082.0</v>
      </c>
      <c r="AW319" s="60">
        <v>4415.02</v>
      </c>
      <c r="AX319" s="60">
        <v>1045.33</v>
      </c>
      <c r="AY319" s="60">
        <v>125.0</v>
      </c>
      <c r="AZ319" s="60">
        <v>291.0</v>
      </c>
      <c r="BA319" s="60">
        <v>1185.78</v>
      </c>
      <c r="BB319" s="60">
        <v>7062.13</v>
      </c>
      <c r="BC319" s="60">
        <v>1059.32</v>
      </c>
      <c r="BD319" s="60">
        <v>8121.45</v>
      </c>
      <c r="BE319" s="59">
        <v>45748.0</v>
      </c>
      <c r="BF319" s="59">
        <v>45838.0</v>
      </c>
      <c r="BG319" s="57">
        <v>61152.0</v>
      </c>
      <c r="BH319" s="57">
        <v>64188.0</v>
      </c>
      <c r="BI319" s="57">
        <v>3036.0</v>
      </c>
      <c r="BJ319" s="57">
        <v>4500.0</v>
      </c>
      <c r="BK319" s="57">
        <v>-1464.0</v>
      </c>
      <c r="BL319" s="60">
        <v>0.71</v>
      </c>
      <c r="BM319" s="60">
        <v>2.06</v>
      </c>
      <c r="BN319" s="60">
        <v>0.0</v>
      </c>
      <c r="BO319" s="60">
        <v>0.0</v>
      </c>
      <c r="BP319" s="60">
        <v>0.0</v>
      </c>
      <c r="BQ319" s="60">
        <v>-151.52</v>
      </c>
      <c r="BR319" s="60">
        <v>0.0</v>
      </c>
      <c r="BS319" s="60">
        <v>0.0</v>
      </c>
      <c r="BT319" s="60">
        <v>0.0</v>
      </c>
      <c r="BU319" s="60">
        <v>0.0</v>
      </c>
      <c r="BV319" s="60">
        <v>0.0</v>
      </c>
      <c r="BW319" s="60">
        <v>0.0</v>
      </c>
      <c r="BX319" s="60">
        <v>0.0</v>
      </c>
      <c r="BY319" s="60">
        <v>2413.76</v>
      </c>
      <c r="BZ319" s="57">
        <v>0.0</v>
      </c>
      <c r="CA319" s="60">
        <v>0.0</v>
      </c>
      <c r="CB319" s="57">
        <v>0.0</v>
      </c>
      <c r="CC319" s="60">
        <v>0.0</v>
      </c>
      <c r="CD319" s="60">
        <v>0.0</v>
      </c>
      <c r="CE319" s="60">
        <v>0.0</v>
      </c>
      <c r="CF319" s="60">
        <v>0.0</v>
      </c>
      <c r="CG319" s="60">
        <v>0.0</v>
      </c>
      <c r="CH319" s="60">
        <v>6959.77</v>
      </c>
      <c r="CI319" s="60">
        <v>907.8</v>
      </c>
      <c r="CJ319" s="60">
        <v>6051.97</v>
      </c>
      <c r="CK319" s="60">
        <v>4.92</v>
      </c>
      <c r="CL319" s="57">
        <v>0.0</v>
      </c>
      <c r="CM319" s="57">
        <v>0.0</v>
      </c>
      <c r="CN319" s="57">
        <v>0.0</v>
      </c>
      <c r="CO319" s="57">
        <v>100.0</v>
      </c>
      <c r="CP319" s="59"/>
      <c r="CQ319" s="57">
        <v>0.0</v>
      </c>
      <c r="CR319" s="57">
        <v>0.0</v>
      </c>
      <c r="CS319" s="57">
        <v>0.0</v>
      </c>
      <c r="CT319" s="57">
        <v>-44249.0</v>
      </c>
      <c r="CU319" s="59">
        <v>45900.0</v>
      </c>
      <c r="CV319" s="59">
        <v>45900.0</v>
      </c>
      <c r="CW319" s="57">
        <v>87490.0</v>
      </c>
      <c r="CX319" s="57" t="s">
        <v>122</v>
      </c>
      <c r="CY319" s="57" t="s">
        <v>778</v>
      </c>
      <c r="CZ319" s="60">
        <v>0.0</v>
      </c>
      <c r="DA319" s="60">
        <v>0.0</v>
      </c>
      <c r="DB319" s="60">
        <v>-26661.15</v>
      </c>
      <c r="DC319" s="60">
        <v>0.69</v>
      </c>
      <c r="DD319" s="60">
        <v>-1010.16</v>
      </c>
      <c r="DE319" s="60">
        <v>-1161.68</v>
      </c>
      <c r="DF319" s="57"/>
    </row>
    <row r="320" ht="13.5" customHeight="1">
      <c r="A320" s="57" t="s">
        <v>175</v>
      </c>
      <c r="B320" s="58">
        <v>44136.0</v>
      </c>
      <c r="C320" s="57" t="s">
        <v>136</v>
      </c>
      <c r="D320" s="57" t="s">
        <v>137</v>
      </c>
      <c r="E320" s="57" t="s">
        <v>138</v>
      </c>
      <c r="F320" s="57" t="s">
        <v>112</v>
      </c>
      <c r="G320" s="57" t="s">
        <v>113</v>
      </c>
      <c r="H320" s="57" t="s">
        <v>141</v>
      </c>
      <c r="I320" s="59">
        <v>44151.0</v>
      </c>
      <c r="J320" s="59">
        <v>44152.0</v>
      </c>
      <c r="K320" s="57">
        <f t="shared" si="1"/>
        <v>1</v>
      </c>
      <c r="L320" s="57">
        <v>1.0</v>
      </c>
      <c r="M320" s="57">
        <f t="shared" si="2"/>
        <v>0</v>
      </c>
      <c r="N320" s="59">
        <v>44165.0</v>
      </c>
      <c r="O320" s="59">
        <v>44206.0</v>
      </c>
      <c r="P320" s="57">
        <f t="shared" si="3"/>
        <v>41</v>
      </c>
      <c r="Q320" s="57">
        <v>90.0</v>
      </c>
      <c r="R320" s="57">
        <f t="shared" si="4"/>
        <v>-49</v>
      </c>
      <c r="S320" s="57" t="s">
        <v>859</v>
      </c>
      <c r="T320" s="57" t="s">
        <v>860</v>
      </c>
      <c r="U320" s="57" t="s">
        <v>117</v>
      </c>
      <c r="V320" s="57" t="s">
        <v>132</v>
      </c>
      <c r="W320" s="57" t="s">
        <v>133</v>
      </c>
      <c r="X320" s="57" t="s">
        <v>164</v>
      </c>
      <c r="Y320" s="57">
        <v>2020.0</v>
      </c>
      <c r="Z320" s="57" t="s">
        <v>135</v>
      </c>
      <c r="AA320" s="57">
        <v>2498.0</v>
      </c>
      <c r="AB320" s="57">
        <v>16.0</v>
      </c>
      <c r="AC320" s="57">
        <v>2.0</v>
      </c>
      <c r="AD320" s="60">
        <v>291043.48</v>
      </c>
      <c r="AE320" s="60">
        <v>52106.57</v>
      </c>
      <c r="AF320" s="61">
        <v>0.18</v>
      </c>
      <c r="AG320" s="60">
        <v>32156.43</v>
      </c>
      <c r="AH320" s="60">
        <v>1217.5</v>
      </c>
      <c r="AI320" s="57">
        <v>7.75</v>
      </c>
      <c r="AJ320" s="60">
        <v>130970.0</v>
      </c>
      <c r="AK320" s="57">
        <v>63.77</v>
      </c>
      <c r="AL320" s="59">
        <v>44206.0</v>
      </c>
      <c r="AM320" s="59">
        <v>46032.0</v>
      </c>
      <c r="AN320" s="57">
        <v>40.0</v>
      </c>
      <c r="AO320" s="57">
        <v>1500.0</v>
      </c>
      <c r="AP320" s="57">
        <v>73126.0</v>
      </c>
      <c r="AQ320" s="59">
        <v>46234.0</v>
      </c>
      <c r="AR320" s="57">
        <v>49179.0</v>
      </c>
      <c r="AS320" s="57">
        <v>50801.0</v>
      </c>
      <c r="AT320" s="57">
        <v>1622.0</v>
      </c>
      <c r="AU320" s="57">
        <v>49362.0</v>
      </c>
      <c r="AV320" s="57">
        <v>851.0</v>
      </c>
      <c r="AW320" s="60">
        <v>4414.23</v>
      </c>
      <c r="AX320" s="60">
        <v>1170.51</v>
      </c>
      <c r="AY320" s="60">
        <v>125.0</v>
      </c>
      <c r="AZ320" s="60">
        <v>291.0</v>
      </c>
      <c r="BA320" s="60">
        <v>1185.78</v>
      </c>
      <c r="BB320" s="60">
        <v>7186.52</v>
      </c>
      <c r="BC320" s="60">
        <v>1077.98</v>
      </c>
      <c r="BD320" s="60">
        <v>8264.5</v>
      </c>
      <c r="BE320" s="59">
        <v>45748.0</v>
      </c>
      <c r="BF320" s="59">
        <v>45838.0</v>
      </c>
      <c r="BG320" s="57">
        <v>46667.0</v>
      </c>
      <c r="BH320" s="57">
        <v>50801.0</v>
      </c>
      <c r="BI320" s="57">
        <v>4134.0</v>
      </c>
      <c r="BJ320" s="57">
        <v>4500.0</v>
      </c>
      <c r="BK320" s="57">
        <v>-366.0</v>
      </c>
      <c r="BL320" s="60">
        <v>0.7</v>
      </c>
      <c r="BM320" s="60">
        <v>2.42</v>
      </c>
      <c r="BN320" s="60">
        <v>0.0</v>
      </c>
      <c r="BO320" s="60">
        <v>0.0</v>
      </c>
      <c r="BP320" s="60">
        <v>0.0</v>
      </c>
      <c r="BQ320" s="60">
        <v>-42.82</v>
      </c>
      <c r="BR320" s="60">
        <v>0.0</v>
      </c>
      <c r="BS320" s="60">
        <v>0.0</v>
      </c>
      <c r="BT320" s="60">
        <v>0.0</v>
      </c>
      <c r="BU320" s="60">
        <v>0.0</v>
      </c>
      <c r="BV320" s="60">
        <v>0.0</v>
      </c>
      <c r="BW320" s="60">
        <v>0.0</v>
      </c>
      <c r="BX320" s="60">
        <v>0.0</v>
      </c>
      <c r="BY320" s="60">
        <v>3447.68</v>
      </c>
      <c r="BZ320" s="57">
        <v>0.0</v>
      </c>
      <c r="CA320" s="60">
        <v>0.0</v>
      </c>
      <c r="CB320" s="57">
        <v>0.0</v>
      </c>
      <c r="CC320" s="60">
        <v>0.0</v>
      </c>
      <c r="CD320" s="60">
        <v>0.0</v>
      </c>
      <c r="CE320" s="60">
        <v>0.0</v>
      </c>
      <c r="CF320" s="60">
        <v>0.0</v>
      </c>
      <c r="CG320" s="60">
        <v>0.0</v>
      </c>
      <c r="CH320" s="60">
        <v>7936.2</v>
      </c>
      <c r="CI320" s="60">
        <v>1035.16</v>
      </c>
      <c r="CJ320" s="60">
        <v>6901.04</v>
      </c>
      <c r="CK320" s="60">
        <v>4.25</v>
      </c>
      <c r="CL320" s="57">
        <v>0.0</v>
      </c>
      <c r="CM320" s="57">
        <v>0.0</v>
      </c>
      <c r="CN320" s="57">
        <v>0.0</v>
      </c>
      <c r="CO320" s="57">
        <v>100.0</v>
      </c>
      <c r="CP320" s="59"/>
      <c r="CQ320" s="57">
        <v>0.0</v>
      </c>
      <c r="CR320" s="57">
        <v>0.0</v>
      </c>
      <c r="CS320" s="57">
        <v>0.0</v>
      </c>
      <c r="CT320" s="57">
        <v>-57638.0</v>
      </c>
      <c r="CU320" s="59">
        <v>45900.0</v>
      </c>
      <c r="CV320" s="59">
        <v>45900.0</v>
      </c>
      <c r="CW320" s="57">
        <v>74565.0</v>
      </c>
      <c r="CX320" s="57" t="s">
        <v>122</v>
      </c>
      <c r="CY320" s="57" t="s">
        <v>778</v>
      </c>
      <c r="CZ320" s="60">
        <v>0.0</v>
      </c>
      <c r="DA320" s="60">
        <v>0.0</v>
      </c>
      <c r="DB320" s="60">
        <v>-35016.1</v>
      </c>
      <c r="DC320" s="60">
        <v>0.78</v>
      </c>
      <c r="DD320" s="60">
        <v>-285.48</v>
      </c>
      <c r="DE320" s="60">
        <v>-328.3</v>
      </c>
      <c r="DF320" s="57"/>
    </row>
    <row r="321" ht="13.5" customHeight="1">
      <c r="A321" s="57" t="s">
        <v>175</v>
      </c>
      <c r="B321" s="58">
        <v>44136.0</v>
      </c>
      <c r="C321" s="57" t="s">
        <v>109</v>
      </c>
      <c r="D321" s="57" t="s">
        <v>110</v>
      </c>
      <c r="E321" s="57" t="s">
        <v>111</v>
      </c>
      <c r="F321" s="57" t="s">
        <v>112</v>
      </c>
      <c r="G321" s="57" t="s">
        <v>113</v>
      </c>
      <c r="H321" s="57" t="s">
        <v>114</v>
      </c>
      <c r="I321" s="59">
        <v>44152.0</v>
      </c>
      <c r="J321" s="59">
        <v>44153.0</v>
      </c>
      <c r="K321" s="57">
        <f t="shared" si="1"/>
        <v>1</v>
      </c>
      <c r="L321" s="57">
        <v>1.0</v>
      </c>
      <c r="M321" s="57">
        <f t="shared" si="2"/>
        <v>0</v>
      </c>
      <c r="N321" s="59">
        <v>44136.0</v>
      </c>
      <c r="O321" s="59">
        <v>44199.0</v>
      </c>
      <c r="P321" s="57">
        <f t="shared" si="3"/>
        <v>63</v>
      </c>
      <c r="Q321" s="57">
        <v>90.0</v>
      </c>
      <c r="R321" s="57">
        <f t="shared" si="4"/>
        <v>-27</v>
      </c>
      <c r="S321" s="57" t="s">
        <v>861</v>
      </c>
      <c r="T321" s="57" t="s">
        <v>862</v>
      </c>
      <c r="U321" s="57" t="s">
        <v>117</v>
      </c>
      <c r="V321" s="57" t="s">
        <v>132</v>
      </c>
      <c r="W321" s="57" t="s">
        <v>133</v>
      </c>
      <c r="X321" s="57" t="s">
        <v>164</v>
      </c>
      <c r="Y321" s="57">
        <v>2020.0</v>
      </c>
      <c r="Z321" s="57" t="s">
        <v>135</v>
      </c>
      <c r="AA321" s="57">
        <v>2498.0</v>
      </c>
      <c r="AB321" s="57">
        <v>16.0</v>
      </c>
      <c r="AC321" s="57">
        <v>4.0</v>
      </c>
      <c r="AD321" s="60">
        <v>291043.48</v>
      </c>
      <c r="AE321" s="60">
        <v>52106.57</v>
      </c>
      <c r="AF321" s="61">
        <v>0.18</v>
      </c>
      <c r="AG321" s="60">
        <v>32407.78</v>
      </c>
      <c r="AH321" s="60">
        <v>1217.5</v>
      </c>
      <c r="AI321" s="57">
        <v>7.75</v>
      </c>
      <c r="AJ321" s="60">
        <v>130970.0</v>
      </c>
      <c r="AK321" s="57">
        <v>63.77</v>
      </c>
      <c r="AL321" s="59">
        <v>44199.0</v>
      </c>
      <c r="AM321" s="59">
        <v>46025.0</v>
      </c>
      <c r="AN321" s="57">
        <v>40.0</v>
      </c>
      <c r="AO321" s="57">
        <v>1500.0</v>
      </c>
      <c r="AP321" s="57">
        <v>72819.0</v>
      </c>
      <c r="AQ321" s="59">
        <v>46234.0</v>
      </c>
      <c r="AR321" s="57">
        <v>62269.0</v>
      </c>
      <c r="AS321" s="57">
        <v>62926.0</v>
      </c>
      <c r="AT321" s="57">
        <v>657.0</v>
      </c>
      <c r="AU321" s="57">
        <v>61490.0</v>
      </c>
      <c r="AV321" s="57">
        <v>1060.0</v>
      </c>
      <c r="AW321" s="60">
        <v>4419.28</v>
      </c>
      <c r="AX321" s="60">
        <v>1175.01</v>
      </c>
      <c r="AY321" s="60">
        <v>125.0</v>
      </c>
      <c r="AZ321" s="60">
        <v>291.0</v>
      </c>
      <c r="BA321" s="60">
        <v>1185.78</v>
      </c>
      <c r="BB321" s="60">
        <v>7196.07</v>
      </c>
      <c r="BC321" s="60">
        <v>1079.41</v>
      </c>
      <c r="BD321" s="60">
        <v>8275.48</v>
      </c>
      <c r="BE321" s="59">
        <v>45748.0</v>
      </c>
      <c r="BF321" s="59">
        <v>45838.0</v>
      </c>
      <c r="BG321" s="57">
        <v>59865.0</v>
      </c>
      <c r="BH321" s="57">
        <v>62926.0</v>
      </c>
      <c r="BI321" s="57">
        <v>3061.0</v>
      </c>
      <c r="BJ321" s="57">
        <v>4500.0</v>
      </c>
      <c r="BK321" s="57">
        <v>-1439.0</v>
      </c>
      <c r="BL321" s="60">
        <v>0.7</v>
      </c>
      <c r="BM321" s="60">
        <v>2.43</v>
      </c>
      <c r="BN321" s="60">
        <v>0.0</v>
      </c>
      <c r="BO321" s="60">
        <v>0.0</v>
      </c>
      <c r="BP321" s="60">
        <v>0.0</v>
      </c>
      <c r="BQ321" s="60">
        <v>-168.36</v>
      </c>
      <c r="BR321" s="60">
        <v>0.0</v>
      </c>
      <c r="BS321" s="60">
        <v>0.0</v>
      </c>
      <c r="BT321" s="60">
        <v>0.0</v>
      </c>
      <c r="BU321" s="60">
        <v>0.0</v>
      </c>
      <c r="BV321" s="60">
        <v>0.0</v>
      </c>
      <c r="BW321" s="60">
        <v>0.0</v>
      </c>
      <c r="BX321" s="60">
        <v>0.0</v>
      </c>
      <c r="BY321" s="60">
        <v>3158.78</v>
      </c>
      <c r="BZ321" s="57">
        <v>0.0</v>
      </c>
      <c r="CA321" s="60">
        <v>0.0</v>
      </c>
      <c r="CB321" s="57">
        <v>0.0</v>
      </c>
      <c r="CC321" s="60">
        <v>0.0</v>
      </c>
      <c r="CD321" s="60">
        <v>0.0</v>
      </c>
      <c r="CE321" s="60">
        <v>0.0</v>
      </c>
      <c r="CF321" s="60">
        <v>0.0</v>
      </c>
      <c r="CG321" s="60">
        <v>0.0</v>
      </c>
      <c r="CH321" s="60">
        <v>6984.7</v>
      </c>
      <c r="CI321" s="60">
        <v>911.05</v>
      </c>
      <c r="CJ321" s="60">
        <v>6073.65</v>
      </c>
      <c r="CK321" s="60">
        <v>9.24</v>
      </c>
      <c r="CL321" s="57">
        <v>0.0</v>
      </c>
      <c r="CM321" s="57">
        <v>0.0</v>
      </c>
      <c r="CN321" s="57">
        <v>0.0</v>
      </c>
      <c r="CO321" s="57">
        <v>100.0</v>
      </c>
      <c r="CP321" s="59"/>
      <c r="CQ321" s="57">
        <v>0.0</v>
      </c>
      <c r="CR321" s="57">
        <v>0.0</v>
      </c>
      <c r="CS321" s="57">
        <v>0.0</v>
      </c>
      <c r="CT321" s="57">
        <v>-45510.0</v>
      </c>
      <c r="CU321" s="59">
        <v>45900.0</v>
      </c>
      <c r="CV321" s="59">
        <v>45900.0</v>
      </c>
      <c r="CW321" s="57">
        <v>74255.0</v>
      </c>
      <c r="CX321" s="57" t="s">
        <v>122</v>
      </c>
      <c r="CY321" s="57" t="s">
        <v>778</v>
      </c>
      <c r="CZ321" s="60">
        <v>1783.08</v>
      </c>
      <c r="DA321" s="60">
        <v>6177.36</v>
      </c>
      <c r="DB321" s="60">
        <v>-27701.28</v>
      </c>
      <c r="DC321" s="60">
        <v>0.78</v>
      </c>
      <c r="DD321" s="60">
        <v>-1122.42</v>
      </c>
      <c r="DE321" s="60">
        <v>-1290.78</v>
      </c>
      <c r="DF321" s="57"/>
    </row>
    <row r="322" ht="13.5" customHeight="1">
      <c r="A322" s="57" t="s">
        <v>203</v>
      </c>
      <c r="B322" s="58">
        <v>44136.0</v>
      </c>
      <c r="C322" s="57" t="s">
        <v>124</v>
      </c>
      <c r="D322" s="57" t="s">
        <v>125</v>
      </c>
      <c r="E322" s="57" t="s">
        <v>126</v>
      </c>
      <c r="F322" s="57" t="s">
        <v>112</v>
      </c>
      <c r="G322" s="57" t="s">
        <v>113</v>
      </c>
      <c r="H322" s="57" t="s">
        <v>129</v>
      </c>
      <c r="I322" s="59">
        <v>44153.0</v>
      </c>
      <c r="J322" s="59">
        <v>44154.0</v>
      </c>
      <c r="K322" s="57">
        <f t="shared" si="1"/>
        <v>1</v>
      </c>
      <c r="L322" s="57">
        <v>1.0</v>
      </c>
      <c r="M322" s="57">
        <f t="shared" si="2"/>
        <v>0</v>
      </c>
      <c r="N322" s="59">
        <v>44137.0</v>
      </c>
      <c r="O322" s="59">
        <v>44197.0</v>
      </c>
      <c r="P322" s="57">
        <f t="shared" si="3"/>
        <v>60</v>
      </c>
      <c r="Q322" s="57">
        <v>90.0</v>
      </c>
      <c r="R322" s="57">
        <f t="shared" si="4"/>
        <v>-30</v>
      </c>
      <c r="S322" s="57" t="s">
        <v>863</v>
      </c>
      <c r="T322" s="57" t="s">
        <v>864</v>
      </c>
      <c r="U322" s="57" t="s">
        <v>117</v>
      </c>
      <c r="V322" s="57" t="s">
        <v>132</v>
      </c>
      <c r="W322" s="57" t="s">
        <v>133</v>
      </c>
      <c r="X322" s="57" t="s">
        <v>164</v>
      </c>
      <c r="Y322" s="57">
        <v>2020.0</v>
      </c>
      <c r="Z322" s="57" t="s">
        <v>135</v>
      </c>
      <c r="AA322" s="57">
        <v>2498.0</v>
      </c>
      <c r="AB322" s="57">
        <v>16.0</v>
      </c>
      <c r="AC322" s="57">
        <v>4.0</v>
      </c>
      <c r="AD322" s="60">
        <v>291043.48</v>
      </c>
      <c r="AE322" s="60">
        <v>52106.57</v>
      </c>
      <c r="AF322" s="61">
        <v>0.18</v>
      </c>
      <c r="AG322" s="60">
        <v>32218.5</v>
      </c>
      <c r="AH322" s="60">
        <v>1217.5</v>
      </c>
      <c r="AI322" s="57">
        <v>7.75</v>
      </c>
      <c r="AJ322" s="60">
        <v>130970.0</v>
      </c>
      <c r="AK322" s="57">
        <v>63.77</v>
      </c>
      <c r="AL322" s="59">
        <v>44197.0</v>
      </c>
      <c r="AM322" s="59">
        <v>46023.0</v>
      </c>
      <c r="AN322" s="57">
        <v>40.0</v>
      </c>
      <c r="AO322" s="57">
        <v>1500.0</v>
      </c>
      <c r="AP322" s="57">
        <v>71492.0</v>
      </c>
      <c r="AQ322" s="59">
        <v>46234.0</v>
      </c>
      <c r="AR322" s="57">
        <v>56511.0</v>
      </c>
      <c r="AS322" s="57">
        <v>58586.0</v>
      </c>
      <c r="AT322" s="57">
        <v>2075.0</v>
      </c>
      <c r="AU322" s="57">
        <v>57148.0</v>
      </c>
      <c r="AV322" s="57">
        <v>985.0</v>
      </c>
      <c r="AW322" s="60">
        <v>4415.48</v>
      </c>
      <c r="AX322" s="60">
        <v>1189.67</v>
      </c>
      <c r="AY322" s="60">
        <v>125.0</v>
      </c>
      <c r="AZ322" s="60">
        <v>291.0</v>
      </c>
      <c r="BA322" s="60">
        <v>1185.78</v>
      </c>
      <c r="BB322" s="60">
        <v>7206.93</v>
      </c>
      <c r="BC322" s="60">
        <v>1081.04</v>
      </c>
      <c r="BD322" s="60">
        <v>8287.97</v>
      </c>
      <c r="BE322" s="59">
        <v>45748.0</v>
      </c>
      <c r="BF322" s="59">
        <v>45838.0</v>
      </c>
      <c r="BG322" s="57">
        <v>52418.0</v>
      </c>
      <c r="BH322" s="57">
        <v>58586.0</v>
      </c>
      <c r="BI322" s="57">
        <v>6168.0</v>
      </c>
      <c r="BJ322" s="57">
        <v>4500.0</v>
      </c>
      <c r="BK322" s="57">
        <v>1668.0</v>
      </c>
      <c r="BL322" s="60">
        <v>0.69</v>
      </c>
      <c r="BM322" s="60">
        <v>2.47</v>
      </c>
      <c r="BN322" s="60">
        <v>1150.92</v>
      </c>
      <c r="BO322" s="60">
        <v>4119.96</v>
      </c>
      <c r="BP322" s="60">
        <v>5270.88</v>
      </c>
      <c r="BQ322" s="60">
        <v>790.63</v>
      </c>
      <c r="BR322" s="60">
        <v>6061.51</v>
      </c>
      <c r="BS322" s="60">
        <v>0.0</v>
      </c>
      <c r="BT322" s="60">
        <v>0.0</v>
      </c>
      <c r="BU322" s="60">
        <v>0.0</v>
      </c>
      <c r="BV322" s="60">
        <v>0.0</v>
      </c>
      <c r="BW322" s="60">
        <v>0.0</v>
      </c>
      <c r="BX322" s="60">
        <v>0.0</v>
      </c>
      <c r="BY322" s="60">
        <v>3912.24</v>
      </c>
      <c r="BZ322" s="57">
        <v>0.0</v>
      </c>
      <c r="CA322" s="60">
        <v>0.0</v>
      </c>
      <c r="CB322" s="57">
        <v>0.0</v>
      </c>
      <c r="CC322" s="60">
        <v>0.0</v>
      </c>
      <c r="CD322" s="60">
        <v>0.0</v>
      </c>
      <c r="CE322" s="60">
        <v>0.0</v>
      </c>
      <c r="CF322" s="60">
        <v>0.0</v>
      </c>
      <c r="CG322" s="60">
        <v>0.0</v>
      </c>
      <c r="CH322" s="60">
        <v>14349.48</v>
      </c>
      <c r="CI322" s="60">
        <v>1871.67</v>
      </c>
      <c r="CJ322" s="60">
        <v>12477.81</v>
      </c>
      <c r="CK322" s="60">
        <v>6.01</v>
      </c>
      <c r="CL322" s="57">
        <v>0.0</v>
      </c>
      <c r="CM322" s="57">
        <v>0.0</v>
      </c>
      <c r="CN322" s="57">
        <v>0.0</v>
      </c>
      <c r="CO322" s="57">
        <v>100.0</v>
      </c>
      <c r="CP322" s="59"/>
      <c r="CQ322" s="57">
        <v>0.0</v>
      </c>
      <c r="CR322" s="57">
        <v>0.0</v>
      </c>
      <c r="CS322" s="57">
        <v>0.0</v>
      </c>
      <c r="CT322" s="57">
        <v>-49852.0</v>
      </c>
      <c r="CU322" s="59">
        <v>45900.0</v>
      </c>
      <c r="CV322" s="59">
        <v>45900.0</v>
      </c>
      <c r="CW322" s="57">
        <v>72930.0</v>
      </c>
      <c r="CX322" s="57" t="s">
        <v>122</v>
      </c>
      <c r="CY322" s="57" t="s">
        <v>778</v>
      </c>
      <c r="CZ322" s="60">
        <v>2334.27</v>
      </c>
      <c r="DA322" s="60">
        <v>8356.01</v>
      </c>
      <c r="DB322" s="60">
        <v>-31199.63</v>
      </c>
      <c r="DC322" s="60">
        <v>0.79</v>
      </c>
      <c r="DD322" s="60">
        <v>0.0</v>
      </c>
      <c r="DE322" s="60">
        <v>0.0</v>
      </c>
      <c r="DF322" s="57"/>
    </row>
    <row r="323" ht="13.5" customHeight="1">
      <c r="A323" s="57" t="s">
        <v>203</v>
      </c>
      <c r="B323" s="58">
        <v>44136.0</v>
      </c>
      <c r="C323" s="57" t="s">
        <v>136</v>
      </c>
      <c r="D323" s="57" t="s">
        <v>137</v>
      </c>
      <c r="E323" s="57" t="s">
        <v>138</v>
      </c>
      <c r="F323" s="57" t="s">
        <v>112</v>
      </c>
      <c r="G323" s="57" t="s">
        <v>113</v>
      </c>
      <c r="H323" s="57" t="s">
        <v>141</v>
      </c>
      <c r="I323" s="59">
        <v>44154.0</v>
      </c>
      <c r="J323" s="59">
        <v>44155.0</v>
      </c>
      <c r="K323" s="57">
        <f t="shared" si="1"/>
        <v>1</v>
      </c>
      <c r="L323" s="57">
        <v>1.0</v>
      </c>
      <c r="M323" s="57">
        <f t="shared" si="2"/>
        <v>0</v>
      </c>
      <c r="N323" s="59">
        <v>44138.0</v>
      </c>
      <c r="O323" s="59">
        <v>44209.0</v>
      </c>
      <c r="P323" s="57">
        <f t="shared" si="3"/>
        <v>71</v>
      </c>
      <c r="Q323" s="57">
        <v>90.0</v>
      </c>
      <c r="R323" s="57">
        <f t="shared" si="4"/>
        <v>-19</v>
      </c>
      <c r="S323" s="57" t="s">
        <v>865</v>
      </c>
      <c r="T323" s="57" t="s">
        <v>866</v>
      </c>
      <c r="U323" s="57" t="s">
        <v>117</v>
      </c>
      <c r="V323" s="57" t="s">
        <v>132</v>
      </c>
      <c r="W323" s="57" t="s">
        <v>133</v>
      </c>
      <c r="X323" s="57" t="s">
        <v>164</v>
      </c>
      <c r="Y323" s="57">
        <v>2020.0</v>
      </c>
      <c r="Z323" s="57" t="s">
        <v>135</v>
      </c>
      <c r="AA323" s="57">
        <v>2498.0</v>
      </c>
      <c r="AB323" s="57">
        <v>16.0</v>
      </c>
      <c r="AC323" s="57">
        <v>3.0</v>
      </c>
      <c r="AD323" s="60">
        <v>291043.48</v>
      </c>
      <c r="AE323" s="60">
        <v>52106.57</v>
      </c>
      <c r="AF323" s="61">
        <v>0.18</v>
      </c>
      <c r="AG323" s="60">
        <v>32286.09</v>
      </c>
      <c r="AH323" s="60">
        <v>1217.5</v>
      </c>
      <c r="AI323" s="57">
        <v>7.75</v>
      </c>
      <c r="AJ323" s="60">
        <v>130970.0</v>
      </c>
      <c r="AK323" s="57">
        <v>63.77</v>
      </c>
      <c r="AL323" s="59">
        <v>44209.0</v>
      </c>
      <c r="AM323" s="59">
        <v>46035.0</v>
      </c>
      <c r="AN323" s="57">
        <v>40.0</v>
      </c>
      <c r="AO323" s="57">
        <v>1500.0</v>
      </c>
      <c r="AP323" s="57">
        <v>69754.0</v>
      </c>
      <c r="AQ323" s="59">
        <v>46234.0</v>
      </c>
      <c r="AR323" s="57">
        <v>46435.0</v>
      </c>
      <c r="AS323" s="57">
        <v>49148.0</v>
      </c>
      <c r="AT323" s="57">
        <v>2713.0</v>
      </c>
      <c r="AU323" s="57">
        <v>47709.0</v>
      </c>
      <c r="AV323" s="57">
        <v>823.0</v>
      </c>
      <c r="AW323" s="60">
        <v>4416.83</v>
      </c>
      <c r="AX323" s="60">
        <v>1211.09</v>
      </c>
      <c r="AY323" s="60">
        <v>125.0</v>
      </c>
      <c r="AZ323" s="60">
        <v>291.0</v>
      </c>
      <c r="BA323" s="60">
        <v>1185.78</v>
      </c>
      <c r="BB323" s="60">
        <v>7229.7</v>
      </c>
      <c r="BC323" s="60">
        <v>1084.46</v>
      </c>
      <c r="BD323" s="60">
        <v>8314.16</v>
      </c>
      <c r="BE323" s="59">
        <v>45748.0</v>
      </c>
      <c r="BF323" s="59">
        <v>45838.0</v>
      </c>
      <c r="BG323" s="57">
        <v>43804.0</v>
      </c>
      <c r="BH323" s="57">
        <v>49148.0</v>
      </c>
      <c r="BI323" s="57">
        <v>5344.0</v>
      </c>
      <c r="BJ323" s="57">
        <v>4500.0</v>
      </c>
      <c r="BK323" s="57">
        <v>844.0</v>
      </c>
      <c r="BL323" s="60">
        <v>0.7</v>
      </c>
      <c r="BM323" s="60">
        <v>2.54</v>
      </c>
      <c r="BN323" s="60">
        <v>590.8</v>
      </c>
      <c r="BO323" s="60">
        <v>2143.76</v>
      </c>
      <c r="BP323" s="60">
        <v>2734.56</v>
      </c>
      <c r="BQ323" s="60">
        <v>410.18</v>
      </c>
      <c r="BR323" s="60">
        <v>3144.74</v>
      </c>
      <c r="BS323" s="60">
        <v>0.0</v>
      </c>
      <c r="BT323" s="60">
        <v>0.0</v>
      </c>
      <c r="BU323" s="60">
        <v>0.0</v>
      </c>
      <c r="BV323" s="60">
        <v>0.0</v>
      </c>
      <c r="BW323" s="60">
        <v>0.0</v>
      </c>
      <c r="BX323" s="60">
        <v>0.0</v>
      </c>
      <c r="BY323" s="60">
        <v>5552.46</v>
      </c>
      <c r="BZ323" s="57">
        <v>0.0</v>
      </c>
      <c r="CA323" s="60">
        <v>0.0</v>
      </c>
      <c r="CB323" s="57">
        <v>0.0</v>
      </c>
      <c r="CC323" s="60">
        <v>0.0</v>
      </c>
      <c r="CD323" s="60">
        <v>0.0</v>
      </c>
      <c r="CE323" s="60">
        <v>0.0</v>
      </c>
      <c r="CF323" s="60">
        <v>0.0</v>
      </c>
      <c r="CG323" s="60">
        <v>0.0</v>
      </c>
      <c r="CH323" s="60">
        <v>11458.9</v>
      </c>
      <c r="CI323" s="60">
        <v>1494.64</v>
      </c>
      <c r="CJ323" s="60">
        <v>9964.26</v>
      </c>
      <c r="CK323" s="60">
        <v>3.67</v>
      </c>
      <c r="CL323" s="57">
        <v>0.0</v>
      </c>
      <c r="CM323" s="57">
        <v>0.0</v>
      </c>
      <c r="CN323" s="57">
        <v>0.0</v>
      </c>
      <c r="CO323" s="57">
        <v>100.0</v>
      </c>
      <c r="CP323" s="59"/>
      <c r="CQ323" s="57">
        <v>0.0</v>
      </c>
      <c r="CR323" s="57">
        <v>0.0</v>
      </c>
      <c r="CS323" s="57">
        <v>0.0</v>
      </c>
      <c r="CT323" s="57">
        <v>-59291.0</v>
      </c>
      <c r="CU323" s="59">
        <v>45900.0</v>
      </c>
      <c r="CV323" s="59">
        <v>45900.0</v>
      </c>
      <c r="CW323" s="57">
        <v>71193.0</v>
      </c>
      <c r="CX323" s="57" t="s">
        <v>122</v>
      </c>
      <c r="CY323" s="57" t="s">
        <v>778</v>
      </c>
      <c r="CZ323" s="60">
        <v>590.8</v>
      </c>
      <c r="DA323" s="60">
        <v>2143.76</v>
      </c>
      <c r="DB323" s="60">
        <v>-36428.14</v>
      </c>
      <c r="DC323" s="60">
        <v>0.8</v>
      </c>
      <c r="DD323" s="60">
        <v>0.0</v>
      </c>
      <c r="DE323" s="60">
        <v>0.0</v>
      </c>
      <c r="DF323" s="57"/>
    </row>
    <row r="324" ht="13.5" customHeight="1">
      <c r="A324" s="57" t="s">
        <v>203</v>
      </c>
      <c r="B324" s="58">
        <v>44136.0</v>
      </c>
      <c r="C324" s="57" t="s">
        <v>109</v>
      </c>
      <c r="D324" s="57" t="s">
        <v>110</v>
      </c>
      <c r="E324" s="57" t="s">
        <v>111</v>
      </c>
      <c r="F324" s="57" t="s">
        <v>112</v>
      </c>
      <c r="G324" s="57" t="s">
        <v>113</v>
      </c>
      <c r="H324" s="57" t="s">
        <v>114</v>
      </c>
      <c r="I324" s="59">
        <v>44155.0</v>
      </c>
      <c r="J324" s="59">
        <v>44156.0</v>
      </c>
      <c r="K324" s="57">
        <f t="shared" si="1"/>
        <v>1</v>
      </c>
      <c r="L324" s="57">
        <v>1.0</v>
      </c>
      <c r="M324" s="57">
        <f t="shared" si="2"/>
        <v>0</v>
      </c>
      <c r="N324" s="59">
        <v>44139.0</v>
      </c>
      <c r="O324" s="59">
        <v>44210.0</v>
      </c>
      <c r="P324" s="57">
        <f t="shared" si="3"/>
        <v>71</v>
      </c>
      <c r="Q324" s="57">
        <v>90.0</v>
      </c>
      <c r="R324" s="57">
        <f t="shared" si="4"/>
        <v>-19</v>
      </c>
      <c r="S324" s="57" t="s">
        <v>867</v>
      </c>
      <c r="T324" s="57" t="s">
        <v>868</v>
      </c>
      <c r="U324" s="57" t="s">
        <v>117</v>
      </c>
      <c r="V324" s="57" t="s">
        <v>207</v>
      </c>
      <c r="W324" s="57" t="s">
        <v>199</v>
      </c>
      <c r="X324" s="57" t="s">
        <v>869</v>
      </c>
      <c r="Y324" s="57">
        <v>2024.0</v>
      </c>
      <c r="Z324" s="57" t="s">
        <v>135</v>
      </c>
      <c r="AA324" s="57">
        <v>2498.0</v>
      </c>
      <c r="AB324" s="57">
        <v>16.0</v>
      </c>
      <c r="AC324" s="57">
        <v>2.0</v>
      </c>
      <c r="AD324" s="60">
        <v>502435.0</v>
      </c>
      <c r="AE324" s="60">
        <v>19946.67</v>
      </c>
      <c r="AF324" s="61">
        <v>0.04</v>
      </c>
      <c r="AG324" s="60">
        <v>34123.1</v>
      </c>
      <c r="AH324" s="60">
        <v>3015.0</v>
      </c>
      <c r="AI324" s="57">
        <v>7.75</v>
      </c>
      <c r="AJ324" s="60">
        <v>246193.0</v>
      </c>
      <c r="AK324" s="57">
        <v>49.0</v>
      </c>
      <c r="AL324" s="59">
        <v>44210.0</v>
      </c>
      <c r="AM324" s="59">
        <v>46036.0</v>
      </c>
      <c r="AN324" s="57">
        <v>60.0</v>
      </c>
      <c r="AO324" s="57">
        <v>1500.0</v>
      </c>
      <c r="AP324" s="57">
        <v>90000.0</v>
      </c>
      <c r="AQ324" s="59">
        <v>46081.0</v>
      </c>
      <c r="AR324" s="57">
        <v>24922.0</v>
      </c>
      <c r="AS324" s="57">
        <v>26807.0</v>
      </c>
      <c r="AT324" s="57">
        <v>1885.0</v>
      </c>
      <c r="AU324" s="57">
        <v>25343.0</v>
      </c>
      <c r="AV324" s="57">
        <v>1810.0</v>
      </c>
      <c r="AW324" s="60">
        <v>8020.67</v>
      </c>
      <c r="AX324" s="60">
        <v>1185.0</v>
      </c>
      <c r="AY324" s="60">
        <v>190.0</v>
      </c>
      <c r="AZ324" s="60">
        <v>290.99</v>
      </c>
      <c r="BA324" s="60">
        <v>1522.99</v>
      </c>
      <c r="BB324" s="60">
        <v>11209.65</v>
      </c>
      <c r="BC324" s="60">
        <v>1681.45</v>
      </c>
      <c r="BD324" s="60">
        <v>12891.1</v>
      </c>
      <c r="BE324" s="59">
        <v>45748.0</v>
      </c>
      <c r="BF324" s="59">
        <v>45838.0</v>
      </c>
      <c r="BG324" s="57">
        <v>21150.0</v>
      </c>
      <c r="BH324" s="57">
        <v>26807.0</v>
      </c>
      <c r="BI324" s="57">
        <v>5657.0</v>
      </c>
      <c r="BJ324" s="57">
        <v>4500.0</v>
      </c>
      <c r="BK324" s="57">
        <v>1157.0</v>
      </c>
      <c r="BL324" s="60">
        <v>0.91</v>
      </c>
      <c r="BM324" s="60">
        <v>2.85</v>
      </c>
      <c r="BN324" s="60">
        <v>1052.87</v>
      </c>
      <c r="BO324" s="60">
        <v>3297.45</v>
      </c>
      <c r="BP324" s="60">
        <v>4350.32</v>
      </c>
      <c r="BQ324" s="60">
        <v>652.55</v>
      </c>
      <c r="BR324" s="60">
        <v>5002.87</v>
      </c>
      <c r="BS324" s="60">
        <v>0.0</v>
      </c>
      <c r="BT324" s="60">
        <v>0.0</v>
      </c>
      <c r="BU324" s="60">
        <v>0.0</v>
      </c>
      <c r="BV324" s="60">
        <v>0.0</v>
      </c>
      <c r="BW324" s="60">
        <v>0.0</v>
      </c>
      <c r="BX324" s="60">
        <v>0.0</v>
      </c>
      <c r="BY324" s="60">
        <v>5498.62</v>
      </c>
      <c r="BZ324" s="57">
        <v>0.0</v>
      </c>
      <c r="CA324" s="60">
        <v>0.0</v>
      </c>
      <c r="CB324" s="57">
        <v>0.0</v>
      </c>
      <c r="CC324" s="60">
        <v>0.0</v>
      </c>
      <c r="CD324" s="60">
        <v>0.0</v>
      </c>
      <c r="CE324" s="60">
        <v>0.0</v>
      </c>
      <c r="CF324" s="60">
        <v>0.0</v>
      </c>
      <c r="CG324" s="60">
        <v>0.0</v>
      </c>
      <c r="CH324" s="60">
        <v>17893.97</v>
      </c>
      <c r="CI324" s="60">
        <v>2334.0</v>
      </c>
      <c r="CJ324" s="60">
        <v>15559.97</v>
      </c>
      <c r="CK324" s="60">
        <v>8.25</v>
      </c>
      <c r="CL324" s="57">
        <v>0.0</v>
      </c>
      <c r="CM324" s="57">
        <v>0.0</v>
      </c>
      <c r="CN324" s="57">
        <v>0.0</v>
      </c>
      <c r="CO324" s="57">
        <v>100.0</v>
      </c>
      <c r="CP324" s="59"/>
      <c r="CQ324" s="57">
        <v>0.0</v>
      </c>
      <c r="CR324" s="57">
        <v>0.0</v>
      </c>
      <c r="CS324" s="57">
        <v>0.0</v>
      </c>
      <c r="CT324" s="57">
        <v>2963.0</v>
      </c>
      <c r="CU324" s="59">
        <v>47238.0</v>
      </c>
      <c r="CV324" s="59">
        <v>47238.0</v>
      </c>
      <c r="CW324" s="57">
        <v>91464.0</v>
      </c>
      <c r="CX324" s="57" t="s">
        <v>122</v>
      </c>
      <c r="CY324" s="57" t="s">
        <v>778</v>
      </c>
      <c r="CZ324" s="60">
        <v>4720.17</v>
      </c>
      <c r="DA324" s="60">
        <v>14782.95</v>
      </c>
      <c r="DB324" s="60">
        <v>-1756.96</v>
      </c>
      <c r="DC324" s="60">
        <v>0.79</v>
      </c>
      <c r="DD324" s="60">
        <v>0.0</v>
      </c>
      <c r="DE324" s="60">
        <v>0.0</v>
      </c>
      <c r="DF324" s="57"/>
    </row>
    <row r="325" ht="13.5" customHeight="1">
      <c r="A325" s="57" t="s">
        <v>203</v>
      </c>
      <c r="B325" s="58">
        <v>44136.0</v>
      </c>
      <c r="C325" s="57" t="s">
        <v>124</v>
      </c>
      <c r="D325" s="57" t="s">
        <v>125</v>
      </c>
      <c r="E325" s="57" t="s">
        <v>126</v>
      </c>
      <c r="F325" s="57" t="s">
        <v>112</v>
      </c>
      <c r="G325" s="57" t="s">
        <v>113</v>
      </c>
      <c r="H325" s="57" t="s">
        <v>129</v>
      </c>
      <c r="I325" s="59">
        <v>44156.0</v>
      </c>
      <c r="J325" s="59">
        <v>44162.0</v>
      </c>
      <c r="K325" s="57">
        <f t="shared" si="1"/>
        <v>6</v>
      </c>
      <c r="L325" s="57">
        <v>1.0</v>
      </c>
      <c r="M325" s="57">
        <f t="shared" si="2"/>
        <v>5</v>
      </c>
      <c r="N325" s="59">
        <v>44140.0</v>
      </c>
      <c r="O325" s="59">
        <v>44209.0</v>
      </c>
      <c r="P325" s="57">
        <f t="shared" si="3"/>
        <v>69</v>
      </c>
      <c r="Q325" s="57">
        <v>90.0</v>
      </c>
      <c r="R325" s="57">
        <f t="shared" si="4"/>
        <v>-21</v>
      </c>
      <c r="S325" s="57" t="s">
        <v>870</v>
      </c>
      <c r="T325" s="57" t="s">
        <v>871</v>
      </c>
      <c r="U325" s="57" t="s">
        <v>117</v>
      </c>
      <c r="V325" s="57" t="s">
        <v>132</v>
      </c>
      <c r="W325" s="57" t="s">
        <v>133</v>
      </c>
      <c r="X325" s="57" t="s">
        <v>164</v>
      </c>
      <c r="Y325" s="57">
        <v>2020.0</v>
      </c>
      <c r="Z325" s="57" t="s">
        <v>135</v>
      </c>
      <c r="AA325" s="57">
        <v>2498.0</v>
      </c>
      <c r="AB325" s="57">
        <v>16.0</v>
      </c>
      <c r="AC325" s="57">
        <v>4.0</v>
      </c>
      <c r="AD325" s="60">
        <v>291043.48</v>
      </c>
      <c r="AE325" s="60">
        <v>52106.57</v>
      </c>
      <c r="AF325" s="61">
        <v>0.18</v>
      </c>
      <c r="AG325" s="60">
        <v>28312.31</v>
      </c>
      <c r="AH325" s="60">
        <v>1217.5</v>
      </c>
      <c r="AI325" s="57">
        <v>7.75</v>
      </c>
      <c r="AJ325" s="60">
        <v>130970.0</v>
      </c>
      <c r="AK325" s="57">
        <v>63.77</v>
      </c>
      <c r="AL325" s="59">
        <v>44209.0</v>
      </c>
      <c r="AM325" s="59">
        <v>46035.0</v>
      </c>
      <c r="AN325" s="57">
        <v>40.0</v>
      </c>
      <c r="AO325" s="57">
        <v>1500.0</v>
      </c>
      <c r="AP325" s="57">
        <v>70045.0</v>
      </c>
      <c r="AQ325" s="59">
        <v>46234.0</v>
      </c>
      <c r="AR325" s="57">
        <v>57150.0</v>
      </c>
      <c r="AS325" s="57">
        <v>59435.0</v>
      </c>
      <c r="AT325" s="57">
        <v>2285.0</v>
      </c>
      <c r="AU325" s="57">
        <v>57992.0</v>
      </c>
      <c r="AV325" s="57">
        <v>1000.0</v>
      </c>
      <c r="AW325" s="60">
        <v>4325.96</v>
      </c>
      <c r="AX325" s="60">
        <v>1207.72</v>
      </c>
      <c r="AY325" s="60">
        <v>125.0</v>
      </c>
      <c r="AZ325" s="60">
        <v>291.0</v>
      </c>
      <c r="BA325" s="60">
        <v>1185.78</v>
      </c>
      <c r="BB325" s="60">
        <v>7135.46</v>
      </c>
      <c r="BC325" s="60">
        <v>1070.32</v>
      </c>
      <c r="BD325" s="60">
        <v>8205.78</v>
      </c>
      <c r="BE325" s="59">
        <v>45748.0</v>
      </c>
      <c r="BF325" s="59">
        <v>45838.0</v>
      </c>
      <c r="BG325" s="57">
        <v>53457.0</v>
      </c>
      <c r="BH325" s="57">
        <v>59435.0</v>
      </c>
      <c r="BI325" s="57">
        <v>5978.0</v>
      </c>
      <c r="BJ325" s="57">
        <v>4500.0</v>
      </c>
      <c r="BK325" s="57">
        <v>1478.0</v>
      </c>
      <c r="BL325" s="60">
        <v>0.54</v>
      </c>
      <c r="BM325" s="60">
        <v>2.53</v>
      </c>
      <c r="BN325" s="60">
        <v>798.12</v>
      </c>
      <c r="BO325" s="60">
        <v>3739.34</v>
      </c>
      <c r="BP325" s="60">
        <v>4537.46</v>
      </c>
      <c r="BQ325" s="60">
        <v>680.62</v>
      </c>
      <c r="BR325" s="60">
        <v>5218.08</v>
      </c>
      <c r="BS325" s="60">
        <v>0.0</v>
      </c>
      <c r="BT325" s="60">
        <v>0.0</v>
      </c>
      <c r="BU325" s="60">
        <v>0.0</v>
      </c>
      <c r="BV325" s="60">
        <v>0.0</v>
      </c>
      <c r="BW325" s="60">
        <v>0.0</v>
      </c>
      <c r="BX325" s="60">
        <v>0.0</v>
      </c>
      <c r="BY325" s="60">
        <v>4512.98</v>
      </c>
      <c r="BZ325" s="57">
        <v>0.0</v>
      </c>
      <c r="CA325" s="60">
        <v>0.0</v>
      </c>
      <c r="CB325" s="57">
        <v>0.0</v>
      </c>
      <c r="CC325" s="60">
        <v>0.0</v>
      </c>
      <c r="CD325" s="60">
        <v>0.0</v>
      </c>
      <c r="CE325" s="60">
        <v>0.0</v>
      </c>
      <c r="CF325" s="60">
        <v>0.0</v>
      </c>
      <c r="CG325" s="60">
        <v>0.0</v>
      </c>
      <c r="CH325" s="60">
        <v>13423.86</v>
      </c>
      <c r="CI325" s="60">
        <v>1750.94</v>
      </c>
      <c r="CJ325" s="60">
        <v>11672.92</v>
      </c>
      <c r="CK325" s="60">
        <v>5.11</v>
      </c>
      <c r="CL325" s="57">
        <v>0.0</v>
      </c>
      <c r="CM325" s="57">
        <v>0.0</v>
      </c>
      <c r="CN325" s="57">
        <v>0.0</v>
      </c>
      <c r="CO325" s="57">
        <v>100.0</v>
      </c>
      <c r="CP325" s="59"/>
      <c r="CQ325" s="57">
        <v>0.0</v>
      </c>
      <c r="CR325" s="57">
        <v>0.0</v>
      </c>
      <c r="CS325" s="57">
        <v>0.0</v>
      </c>
      <c r="CT325" s="57">
        <v>-49008.0</v>
      </c>
      <c r="CU325" s="59">
        <v>45900.0</v>
      </c>
      <c r="CV325" s="59">
        <v>45900.0</v>
      </c>
      <c r="CW325" s="57">
        <v>71488.0</v>
      </c>
      <c r="CX325" s="57" t="s">
        <v>122</v>
      </c>
      <c r="CY325" s="57" t="s">
        <v>778</v>
      </c>
      <c r="CZ325" s="60">
        <v>1744.74</v>
      </c>
      <c r="DA325" s="60">
        <v>8174.43</v>
      </c>
      <c r="DB325" s="60">
        <v>-25632.74</v>
      </c>
      <c r="DC325" s="60">
        <v>0.8</v>
      </c>
      <c r="DD325" s="60">
        <v>0.0</v>
      </c>
      <c r="DE325" s="60">
        <v>0.0</v>
      </c>
      <c r="DF325" s="57"/>
    </row>
    <row r="326" ht="13.5" customHeight="1">
      <c r="A326" s="57" t="s">
        <v>203</v>
      </c>
      <c r="B326" s="58">
        <v>44136.0</v>
      </c>
      <c r="C326" s="57" t="s">
        <v>136</v>
      </c>
      <c r="D326" s="57" t="s">
        <v>137</v>
      </c>
      <c r="E326" s="57" t="s">
        <v>138</v>
      </c>
      <c r="F326" s="57" t="s">
        <v>112</v>
      </c>
      <c r="G326" s="57" t="s">
        <v>113</v>
      </c>
      <c r="H326" s="57" t="s">
        <v>141</v>
      </c>
      <c r="I326" s="59">
        <v>44157.0</v>
      </c>
      <c r="J326" s="59">
        <v>44158.0</v>
      </c>
      <c r="K326" s="57">
        <f t="shared" si="1"/>
        <v>1</v>
      </c>
      <c r="L326" s="57">
        <v>1.0</v>
      </c>
      <c r="M326" s="57">
        <f t="shared" si="2"/>
        <v>0</v>
      </c>
      <c r="N326" s="59">
        <v>44141.0</v>
      </c>
      <c r="O326" s="59">
        <v>44212.0</v>
      </c>
      <c r="P326" s="57">
        <f t="shared" si="3"/>
        <v>71</v>
      </c>
      <c r="Q326" s="57">
        <v>90.0</v>
      </c>
      <c r="R326" s="57">
        <f t="shared" si="4"/>
        <v>-19</v>
      </c>
      <c r="S326" s="57" t="s">
        <v>872</v>
      </c>
      <c r="T326" s="57" t="s">
        <v>873</v>
      </c>
      <c r="U326" s="57" t="s">
        <v>117</v>
      </c>
      <c r="V326" s="57" t="s">
        <v>132</v>
      </c>
      <c r="W326" s="57" t="s">
        <v>133</v>
      </c>
      <c r="X326" s="57" t="s">
        <v>164</v>
      </c>
      <c r="Y326" s="57">
        <v>2020.0</v>
      </c>
      <c r="Z326" s="57" t="s">
        <v>135</v>
      </c>
      <c r="AA326" s="57">
        <v>2498.0</v>
      </c>
      <c r="AB326" s="57">
        <v>16.0</v>
      </c>
      <c r="AC326" s="57">
        <v>4.0</v>
      </c>
      <c r="AD326" s="60">
        <v>291043.48</v>
      </c>
      <c r="AE326" s="60">
        <v>52106.57</v>
      </c>
      <c r="AF326" s="61">
        <v>0.18</v>
      </c>
      <c r="AG326" s="60">
        <v>32500.0</v>
      </c>
      <c r="AH326" s="60">
        <v>1217.5</v>
      </c>
      <c r="AI326" s="57">
        <v>7.75</v>
      </c>
      <c r="AJ326" s="60">
        <v>130970.0</v>
      </c>
      <c r="AK326" s="57">
        <v>63.77</v>
      </c>
      <c r="AL326" s="59">
        <v>44212.0</v>
      </c>
      <c r="AM326" s="59">
        <v>46038.0</v>
      </c>
      <c r="AN326" s="57">
        <v>40.0</v>
      </c>
      <c r="AO326" s="57">
        <v>1500.0</v>
      </c>
      <c r="AP326" s="57">
        <v>75343.0</v>
      </c>
      <c r="AQ326" s="59">
        <v>46234.0</v>
      </c>
      <c r="AR326" s="57">
        <v>61049.0</v>
      </c>
      <c r="AS326" s="57">
        <v>62330.0</v>
      </c>
      <c r="AT326" s="57">
        <v>1281.0</v>
      </c>
      <c r="AU326" s="57">
        <v>60888.0</v>
      </c>
      <c r="AV326" s="57">
        <v>1050.0</v>
      </c>
      <c r="AW326" s="60">
        <v>4421.08</v>
      </c>
      <c r="AX326" s="60">
        <v>1146.82</v>
      </c>
      <c r="AY326" s="60">
        <v>125.0</v>
      </c>
      <c r="AZ326" s="60">
        <v>291.0</v>
      </c>
      <c r="BA326" s="60">
        <v>1185.78</v>
      </c>
      <c r="BB326" s="60">
        <v>7169.68</v>
      </c>
      <c r="BC326" s="60">
        <v>1075.45</v>
      </c>
      <c r="BD326" s="60">
        <v>8245.13</v>
      </c>
      <c r="BE326" s="59">
        <v>45748.0</v>
      </c>
      <c r="BF326" s="59">
        <v>45838.0</v>
      </c>
      <c r="BG326" s="57">
        <v>58708.0</v>
      </c>
      <c r="BH326" s="57">
        <v>62330.0</v>
      </c>
      <c r="BI326" s="57">
        <v>3622.0</v>
      </c>
      <c r="BJ326" s="57">
        <v>4500.0</v>
      </c>
      <c r="BK326" s="57">
        <v>-878.0</v>
      </c>
      <c r="BL326" s="60">
        <v>0.53</v>
      </c>
      <c r="BM326" s="60">
        <v>2.35</v>
      </c>
      <c r="BN326" s="60">
        <v>0.0</v>
      </c>
      <c r="BO326" s="60">
        <v>0.0</v>
      </c>
      <c r="BP326" s="60">
        <v>0.0</v>
      </c>
      <c r="BQ326" s="60">
        <v>-100.09</v>
      </c>
      <c r="BR326" s="60">
        <v>0.0</v>
      </c>
      <c r="BS326" s="60">
        <v>0.0</v>
      </c>
      <c r="BT326" s="60">
        <v>0.0</v>
      </c>
      <c r="BU326" s="60">
        <v>0.0</v>
      </c>
      <c r="BV326" s="60">
        <v>0.0</v>
      </c>
      <c r="BW326" s="60">
        <v>0.0</v>
      </c>
      <c r="BX326" s="60">
        <v>0.0</v>
      </c>
      <c r="BY326" s="60">
        <v>4197.64</v>
      </c>
      <c r="BZ326" s="57">
        <v>0.0</v>
      </c>
      <c r="CA326" s="60">
        <v>0.0</v>
      </c>
      <c r="CB326" s="57">
        <v>0.0</v>
      </c>
      <c r="CC326" s="60">
        <v>0.0</v>
      </c>
      <c r="CD326" s="60">
        <v>0.0</v>
      </c>
      <c r="CE326" s="60">
        <v>0.0</v>
      </c>
      <c r="CF326" s="60">
        <v>0.0</v>
      </c>
      <c r="CG326" s="60">
        <v>0.0</v>
      </c>
      <c r="CH326" s="60">
        <v>7477.76</v>
      </c>
      <c r="CI326" s="60">
        <v>975.36</v>
      </c>
      <c r="CJ326" s="60">
        <v>6502.4</v>
      </c>
      <c r="CK326" s="60">
        <v>5.08</v>
      </c>
      <c r="CL326" s="57">
        <v>0.0</v>
      </c>
      <c r="CM326" s="57">
        <v>0.0</v>
      </c>
      <c r="CN326" s="57">
        <v>0.0</v>
      </c>
      <c r="CO326" s="57">
        <v>100.0</v>
      </c>
      <c r="CP326" s="59"/>
      <c r="CQ326" s="57">
        <v>0.0</v>
      </c>
      <c r="CR326" s="57">
        <v>0.0</v>
      </c>
      <c r="CS326" s="57">
        <v>0.0</v>
      </c>
      <c r="CT326" s="57">
        <v>-46112.0</v>
      </c>
      <c r="CU326" s="59">
        <v>45900.0</v>
      </c>
      <c r="CV326" s="59">
        <v>45900.0</v>
      </c>
      <c r="CW326" s="57">
        <v>76785.0</v>
      </c>
      <c r="CX326" s="57" t="s">
        <v>122</v>
      </c>
      <c r="CY326" s="57" t="s">
        <v>778</v>
      </c>
      <c r="CZ326" s="60">
        <v>0.0</v>
      </c>
      <c r="DA326" s="60">
        <v>0.0</v>
      </c>
      <c r="DB326" s="60">
        <v>-22379.76</v>
      </c>
      <c r="DC326" s="60">
        <v>0.76</v>
      </c>
      <c r="DD326" s="60">
        <v>-667.28</v>
      </c>
      <c r="DE326" s="60">
        <v>-767.37</v>
      </c>
      <c r="DF326" s="57"/>
    </row>
    <row r="327" ht="13.5" customHeight="1">
      <c r="A327" s="57" t="s">
        <v>203</v>
      </c>
      <c r="B327" s="58">
        <v>44136.0</v>
      </c>
      <c r="C327" s="57" t="s">
        <v>109</v>
      </c>
      <c r="D327" s="57" t="s">
        <v>110</v>
      </c>
      <c r="E327" s="57" t="s">
        <v>111</v>
      </c>
      <c r="F327" s="57" t="s">
        <v>112</v>
      </c>
      <c r="G327" s="57" t="s">
        <v>113</v>
      </c>
      <c r="H327" s="57" t="s">
        <v>114</v>
      </c>
      <c r="I327" s="59">
        <v>44158.0</v>
      </c>
      <c r="J327" s="59">
        <v>44159.0</v>
      </c>
      <c r="K327" s="57">
        <f t="shared" si="1"/>
        <v>1</v>
      </c>
      <c r="L327" s="57">
        <v>1.0</v>
      </c>
      <c r="M327" s="57">
        <f t="shared" si="2"/>
        <v>0</v>
      </c>
      <c r="N327" s="59">
        <v>44142.0</v>
      </c>
      <c r="O327" s="59">
        <v>44213.0</v>
      </c>
      <c r="P327" s="57">
        <f t="shared" si="3"/>
        <v>71</v>
      </c>
      <c r="Q327" s="57">
        <v>90.0</v>
      </c>
      <c r="R327" s="57">
        <f t="shared" si="4"/>
        <v>-19</v>
      </c>
      <c r="S327" s="57" t="s">
        <v>874</v>
      </c>
      <c r="T327" s="57" t="s">
        <v>875</v>
      </c>
      <c r="U327" s="57" t="s">
        <v>117</v>
      </c>
      <c r="V327" s="57" t="s">
        <v>132</v>
      </c>
      <c r="W327" s="57" t="s">
        <v>133</v>
      </c>
      <c r="X327" s="57" t="s">
        <v>164</v>
      </c>
      <c r="Y327" s="57">
        <v>2020.0</v>
      </c>
      <c r="Z327" s="57" t="s">
        <v>135</v>
      </c>
      <c r="AA327" s="57">
        <v>2498.0</v>
      </c>
      <c r="AB327" s="57">
        <v>16.0</v>
      </c>
      <c r="AC327" s="57">
        <v>3.0</v>
      </c>
      <c r="AD327" s="60">
        <v>291043.48</v>
      </c>
      <c r="AE327" s="60">
        <v>52106.57</v>
      </c>
      <c r="AF327" s="61">
        <v>0.18</v>
      </c>
      <c r="AG327" s="60">
        <v>32944.67</v>
      </c>
      <c r="AH327" s="60">
        <v>1217.5</v>
      </c>
      <c r="AI327" s="57">
        <v>7.75</v>
      </c>
      <c r="AJ327" s="60">
        <v>130970.0</v>
      </c>
      <c r="AK327" s="57">
        <v>63.77</v>
      </c>
      <c r="AL327" s="59">
        <v>44213.0</v>
      </c>
      <c r="AM327" s="59">
        <v>46039.0</v>
      </c>
      <c r="AN327" s="57">
        <v>40.0</v>
      </c>
      <c r="AO327" s="57">
        <v>1500.0</v>
      </c>
      <c r="AP327" s="57">
        <v>67175.0</v>
      </c>
      <c r="AQ327" s="59">
        <v>46234.0</v>
      </c>
      <c r="AR327" s="57">
        <v>58518.0</v>
      </c>
      <c r="AS327" s="57">
        <v>58656.0</v>
      </c>
      <c r="AT327" s="57">
        <v>138.0</v>
      </c>
      <c r="AU327" s="57">
        <v>57181.0</v>
      </c>
      <c r="AV327" s="57">
        <v>986.0</v>
      </c>
      <c r="AW327" s="60">
        <v>4430.11</v>
      </c>
      <c r="AX327" s="60">
        <v>1243.8</v>
      </c>
      <c r="AY327" s="60">
        <v>125.0</v>
      </c>
      <c r="AZ327" s="60">
        <v>291.0</v>
      </c>
      <c r="BA327" s="60">
        <v>1185.78</v>
      </c>
      <c r="BB327" s="60">
        <v>7275.69</v>
      </c>
      <c r="BC327" s="60">
        <v>1091.35</v>
      </c>
      <c r="BD327" s="60">
        <v>8367.04</v>
      </c>
      <c r="BE327" s="59">
        <v>45748.0</v>
      </c>
      <c r="BF327" s="59">
        <v>45838.0</v>
      </c>
      <c r="BG327" s="57">
        <v>57407.0</v>
      </c>
      <c r="BH327" s="57">
        <v>58656.0</v>
      </c>
      <c r="BI327" s="57">
        <v>1249.0</v>
      </c>
      <c r="BJ327" s="57">
        <v>4500.0</v>
      </c>
      <c r="BK327" s="57">
        <v>-3251.0</v>
      </c>
      <c r="BL327" s="60">
        <v>0.53</v>
      </c>
      <c r="BM327" s="60">
        <v>2.63</v>
      </c>
      <c r="BN327" s="60">
        <v>0.0</v>
      </c>
      <c r="BO327" s="60">
        <v>0.0</v>
      </c>
      <c r="BP327" s="60">
        <v>0.0</v>
      </c>
      <c r="BQ327" s="60">
        <v>-404.75</v>
      </c>
      <c r="BR327" s="60">
        <v>0.0</v>
      </c>
      <c r="BS327" s="60">
        <v>0.0</v>
      </c>
      <c r="BT327" s="60">
        <v>0.0</v>
      </c>
      <c r="BU327" s="60">
        <v>0.0</v>
      </c>
      <c r="BV327" s="60">
        <v>0.0</v>
      </c>
      <c r="BW327" s="60">
        <v>0.0</v>
      </c>
      <c r="BX327" s="60">
        <v>0.0</v>
      </c>
      <c r="BY327" s="60">
        <v>0.0</v>
      </c>
      <c r="BZ327" s="57">
        <v>0.0</v>
      </c>
      <c r="CA327" s="60">
        <v>0.0</v>
      </c>
      <c r="CB327" s="57">
        <v>0.0</v>
      </c>
      <c r="CC327" s="60">
        <v>0.0</v>
      </c>
      <c r="CD327" s="60">
        <v>0.0</v>
      </c>
      <c r="CE327" s="60">
        <v>0.0</v>
      </c>
      <c r="CF327" s="60">
        <v>0.0</v>
      </c>
      <c r="CG327" s="60">
        <v>0.0</v>
      </c>
      <c r="CH327" s="60">
        <v>5263.96</v>
      </c>
      <c r="CI327" s="60">
        <v>686.6</v>
      </c>
      <c r="CJ327" s="60">
        <v>4577.36</v>
      </c>
      <c r="CK327" s="60">
        <v>33.17</v>
      </c>
      <c r="CL327" s="57">
        <v>0.0</v>
      </c>
      <c r="CM327" s="57">
        <v>0.0</v>
      </c>
      <c r="CN327" s="57">
        <v>0.0</v>
      </c>
      <c r="CO327" s="57">
        <v>100.0</v>
      </c>
      <c r="CP327" s="59"/>
      <c r="CQ327" s="57">
        <v>0.0</v>
      </c>
      <c r="CR327" s="57">
        <v>0.0</v>
      </c>
      <c r="CS327" s="57">
        <v>0.0</v>
      </c>
      <c r="CT327" s="57">
        <v>-49819.0</v>
      </c>
      <c r="CU327" s="59">
        <v>45900.0</v>
      </c>
      <c r="CV327" s="59">
        <v>45900.0</v>
      </c>
      <c r="CW327" s="57">
        <v>68650.0</v>
      </c>
      <c r="CX327" s="57" t="s">
        <v>122</v>
      </c>
      <c r="CY327" s="57" t="s">
        <v>778</v>
      </c>
      <c r="CZ327" s="60">
        <v>7020.0</v>
      </c>
      <c r="DA327" s="60">
        <v>34812.7</v>
      </c>
      <c r="DB327" s="60">
        <v>-31710.22</v>
      </c>
      <c r="DC327" s="60">
        <v>0.83</v>
      </c>
      <c r="DD327" s="60">
        <v>-2698.33</v>
      </c>
      <c r="DE327" s="60">
        <v>-3103.08</v>
      </c>
      <c r="DF327" s="57"/>
    </row>
    <row r="328" ht="13.5" customHeight="1">
      <c r="A328" s="57" t="s">
        <v>203</v>
      </c>
      <c r="B328" s="58">
        <v>44136.0</v>
      </c>
      <c r="C328" s="57" t="s">
        <v>124</v>
      </c>
      <c r="D328" s="57" t="s">
        <v>125</v>
      </c>
      <c r="E328" s="57" t="s">
        <v>126</v>
      </c>
      <c r="F328" s="57" t="s">
        <v>112</v>
      </c>
      <c r="G328" s="57" t="s">
        <v>113</v>
      </c>
      <c r="H328" s="57" t="s">
        <v>129</v>
      </c>
      <c r="I328" s="59">
        <v>44159.0</v>
      </c>
      <c r="J328" s="59">
        <v>44163.0</v>
      </c>
      <c r="K328" s="57">
        <f t="shared" si="1"/>
        <v>4</v>
      </c>
      <c r="L328" s="57">
        <v>1.0</v>
      </c>
      <c r="M328" s="57">
        <f t="shared" si="2"/>
        <v>3</v>
      </c>
      <c r="N328" s="59">
        <v>44143.0</v>
      </c>
      <c r="O328" s="59">
        <v>44214.0</v>
      </c>
      <c r="P328" s="57">
        <f t="shared" si="3"/>
        <v>71</v>
      </c>
      <c r="Q328" s="57">
        <v>90.0</v>
      </c>
      <c r="R328" s="57">
        <f t="shared" si="4"/>
        <v>-19</v>
      </c>
      <c r="S328" s="57" t="s">
        <v>876</v>
      </c>
      <c r="T328" s="57" t="s">
        <v>877</v>
      </c>
      <c r="U328" s="57" t="s">
        <v>117</v>
      </c>
      <c r="V328" s="57" t="s">
        <v>132</v>
      </c>
      <c r="W328" s="57" t="s">
        <v>133</v>
      </c>
      <c r="X328" s="57" t="s">
        <v>164</v>
      </c>
      <c r="Y328" s="57">
        <v>2020.0</v>
      </c>
      <c r="Z328" s="57" t="s">
        <v>135</v>
      </c>
      <c r="AA328" s="57">
        <v>2498.0</v>
      </c>
      <c r="AB328" s="57">
        <v>16.0</v>
      </c>
      <c r="AC328" s="57">
        <v>0.0</v>
      </c>
      <c r="AD328" s="60">
        <v>291043.48</v>
      </c>
      <c r="AE328" s="60">
        <v>52106.57</v>
      </c>
      <c r="AF328" s="61">
        <v>0.18</v>
      </c>
      <c r="AG328" s="60">
        <v>32877.69</v>
      </c>
      <c r="AH328" s="60">
        <v>1217.5</v>
      </c>
      <c r="AI328" s="57">
        <v>7.75</v>
      </c>
      <c r="AJ328" s="60">
        <v>130970.0</v>
      </c>
      <c r="AK328" s="57">
        <v>63.77</v>
      </c>
      <c r="AL328" s="59">
        <v>44214.0</v>
      </c>
      <c r="AM328" s="59">
        <v>46040.0</v>
      </c>
      <c r="AN328" s="57">
        <v>40.0</v>
      </c>
      <c r="AO328" s="57">
        <v>1500.0</v>
      </c>
      <c r="AP328" s="57">
        <v>70928.0</v>
      </c>
      <c r="AQ328" s="59">
        <v>46234.0</v>
      </c>
      <c r="AR328" s="57">
        <v>32234.0</v>
      </c>
      <c r="AS328" s="57">
        <v>32516.0</v>
      </c>
      <c r="AT328" s="57">
        <v>282.0</v>
      </c>
      <c r="AU328" s="57">
        <v>31012.0</v>
      </c>
      <c r="AV328" s="57">
        <v>535.0</v>
      </c>
      <c r="AW328" s="60">
        <v>4428.75</v>
      </c>
      <c r="AX328" s="60">
        <v>1196.44</v>
      </c>
      <c r="AY328" s="60">
        <v>125.0</v>
      </c>
      <c r="AZ328" s="60">
        <v>291.0</v>
      </c>
      <c r="BA328" s="60">
        <v>1185.78</v>
      </c>
      <c r="BB328" s="60">
        <v>7226.97</v>
      </c>
      <c r="BC328" s="60">
        <v>1084.05</v>
      </c>
      <c r="BD328" s="60">
        <v>8311.02</v>
      </c>
      <c r="BE328" s="59">
        <v>45748.0</v>
      </c>
      <c r="BF328" s="59">
        <v>45838.0</v>
      </c>
      <c r="BG328" s="57">
        <v>31949.0</v>
      </c>
      <c r="BH328" s="57">
        <v>32516.0</v>
      </c>
      <c r="BI328" s="57">
        <v>567.0</v>
      </c>
      <c r="BJ328" s="57">
        <v>4500.0</v>
      </c>
      <c r="BK328" s="57">
        <v>-3933.0</v>
      </c>
      <c r="BL328" s="60">
        <v>0.54</v>
      </c>
      <c r="BM328" s="60">
        <v>2.49</v>
      </c>
      <c r="BN328" s="60">
        <v>0.0</v>
      </c>
      <c r="BO328" s="60">
        <v>0.0</v>
      </c>
      <c r="BP328" s="60">
        <v>0.0</v>
      </c>
      <c r="BQ328" s="60">
        <v>-466.06</v>
      </c>
      <c r="BR328" s="60">
        <v>0.0</v>
      </c>
      <c r="BS328" s="60">
        <v>0.0</v>
      </c>
      <c r="BT328" s="60">
        <v>0.0</v>
      </c>
      <c r="BU328" s="60">
        <v>0.0</v>
      </c>
      <c r="BV328" s="60">
        <v>0.0</v>
      </c>
      <c r="BW328" s="60">
        <v>0.0</v>
      </c>
      <c r="BX328" s="60">
        <v>0.0</v>
      </c>
      <c r="BY328" s="60">
        <v>0.0</v>
      </c>
      <c r="BZ328" s="57">
        <v>0.0</v>
      </c>
      <c r="CA328" s="60">
        <v>0.0</v>
      </c>
      <c r="CB328" s="57">
        <v>0.0</v>
      </c>
      <c r="CC328" s="60">
        <v>0.0</v>
      </c>
      <c r="CD328" s="60">
        <v>0.0</v>
      </c>
      <c r="CE328" s="60">
        <v>0.0</v>
      </c>
      <c r="CF328" s="60">
        <v>0.0</v>
      </c>
      <c r="CG328" s="60">
        <v>0.0</v>
      </c>
      <c r="CH328" s="60">
        <v>4737.89</v>
      </c>
      <c r="CI328" s="60">
        <v>617.99</v>
      </c>
      <c r="CJ328" s="60">
        <v>4119.9</v>
      </c>
      <c r="CK328" s="60">
        <v>14.61</v>
      </c>
      <c r="CL328" s="57">
        <v>0.0</v>
      </c>
      <c r="CM328" s="57">
        <v>0.0</v>
      </c>
      <c r="CN328" s="57">
        <v>0.0</v>
      </c>
      <c r="CO328" s="57">
        <v>100.0</v>
      </c>
      <c r="CP328" s="59"/>
      <c r="CQ328" s="57">
        <v>0.0</v>
      </c>
      <c r="CR328" s="57">
        <v>0.0</v>
      </c>
      <c r="CS328" s="57">
        <v>0.0</v>
      </c>
      <c r="CT328" s="57">
        <v>-75988.0</v>
      </c>
      <c r="CU328" s="59">
        <v>45900.0</v>
      </c>
      <c r="CV328" s="59">
        <v>45900.0</v>
      </c>
      <c r="CW328" s="57">
        <v>72432.0</v>
      </c>
      <c r="CX328" s="57" t="s">
        <v>122</v>
      </c>
      <c r="CY328" s="57" t="s">
        <v>778</v>
      </c>
      <c r="CZ328" s="60">
        <v>3289.68</v>
      </c>
      <c r="DA328" s="60">
        <v>15169.08</v>
      </c>
      <c r="DB328" s="60">
        <v>-48145.63</v>
      </c>
      <c r="DC328" s="60">
        <v>0.79</v>
      </c>
      <c r="DD328" s="60">
        <v>-3107.07</v>
      </c>
      <c r="DE328" s="60">
        <v>-3573.13</v>
      </c>
      <c r="DF328" s="57"/>
    </row>
    <row r="329" ht="13.5" customHeight="1">
      <c r="A329" s="57" t="s">
        <v>228</v>
      </c>
      <c r="B329" s="58">
        <v>44136.0</v>
      </c>
      <c r="C329" s="57" t="s">
        <v>136</v>
      </c>
      <c r="D329" s="57" t="s">
        <v>137</v>
      </c>
      <c r="E329" s="57" t="s">
        <v>138</v>
      </c>
      <c r="F329" s="57" t="s">
        <v>112</v>
      </c>
      <c r="G329" s="57" t="s">
        <v>113</v>
      </c>
      <c r="H329" s="57" t="s">
        <v>141</v>
      </c>
      <c r="I329" s="59">
        <v>44160.0</v>
      </c>
      <c r="J329" s="59">
        <v>44161.0</v>
      </c>
      <c r="K329" s="57">
        <f t="shared" si="1"/>
        <v>1</v>
      </c>
      <c r="L329" s="57">
        <v>1.0</v>
      </c>
      <c r="M329" s="57">
        <f t="shared" si="2"/>
        <v>0</v>
      </c>
      <c r="N329" s="59">
        <v>44144.0</v>
      </c>
      <c r="O329" s="59">
        <v>44215.0</v>
      </c>
      <c r="P329" s="57">
        <f t="shared" si="3"/>
        <v>71</v>
      </c>
      <c r="Q329" s="57">
        <v>90.0</v>
      </c>
      <c r="R329" s="57">
        <f t="shared" si="4"/>
        <v>-19</v>
      </c>
      <c r="S329" s="57" t="s">
        <v>878</v>
      </c>
      <c r="T329" s="57" t="s">
        <v>879</v>
      </c>
      <c r="U329" s="57" t="s">
        <v>117</v>
      </c>
      <c r="V329" s="57" t="s">
        <v>132</v>
      </c>
      <c r="W329" s="57" t="s">
        <v>133</v>
      </c>
      <c r="X329" s="57" t="s">
        <v>164</v>
      </c>
      <c r="Y329" s="57">
        <v>2020.0</v>
      </c>
      <c r="Z329" s="57" t="s">
        <v>135</v>
      </c>
      <c r="AA329" s="57">
        <v>2498.0</v>
      </c>
      <c r="AB329" s="57">
        <v>16.0</v>
      </c>
      <c r="AC329" s="57">
        <v>0.0</v>
      </c>
      <c r="AD329" s="60">
        <v>291043.48</v>
      </c>
      <c r="AE329" s="60">
        <v>52106.57</v>
      </c>
      <c r="AF329" s="61">
        <v>0.18</v>
      </c>
      <c r="AG329" s="60">
        <v>28334.65</v>
      </c>
      <c r="AH329" s="60">
        <v>1217.5</v>
      </c>
      <c r="AI329" s="57">
        <v>7.75</v>
      </c>
      <c r="AJ329" s="60">
        <v>126815.3</v>
      </c>
      <c r="AK329" s="57">
        <v>63.02</v>
      </c>
      <c r="AL329" s="59">
        <v>44215.0</v>
      </c>
      <c r="AM329" s="59">
        <v>46041.0</v>
      </c>
      <c r="AN329" s="57">
        <v>40.0</v>
      </c>
      <c r="AO329" s="57">
        <v>2000.0</v>
      </c>
      <c r="AP329" s="57">
        <v>122332.0</v>
      </c>
      <c r="AQ329" s="59">
        <v>46234.0</v>
      </c>
      <c r="AR329" s="57">
        <v>91807.0</v>
      </c>
      <c r="AS329" s="57">
        <v>93080.0</v>
      </c>
      <c r="AT329" s="57">
        <v>1273.0</v>
      </c>
      <c r="AU329" s="57">
        <v>91639.0</v>
      </c>
      <c r="AV329" s="57">
        <v>1580.0</v>
      </c>
      <c r="AW329" s="60">
        <v>4299.55</v>
      </c>
      <c r="AX329" s="60">
        <v>1110.73</v>
      </c>
      <c r="AY329" s="60">
        <v>125.0</v>
      </c>
      <c r="AZ329" s="60">
        <v>291.0</v>
      </c>
      <c r="BA329" s="60">
        <v>1185.78</v>
      </c>
      <c r="BB329" s="60">
        <v>7012.06</v>
      </c>
      <c r="BC329" s="60">
        <v>1051.81</v>
      </c>
      <c r="BD329" s="60">
        <v>8063.87</v>
      </c>
      <c r="BE329" s="59">
        <v>45748.0</v>
      </c>
      <c r="BF329" s="59">
        <v>45838.0</v>
      </c>
      <c r="BG329" s="57">
        <v>89582.0</v>
      </c>
      <c r="BH329" s="57">
        <v>93080.0</v>
      </c>
      <c r="BI329" s="57">
        <v>3498.0</v>
      </c>
      <c r="BJ329" s="57">
        <v>6000.0</v>
      </c>
      <c r="BK329" s="57">
        <v>-2502.0</v>
      </c>
      <c r="BL329" s="60">
        <v>0.53</v>
      </c>
      <c r="BM329" s="60">
        <v>1.46</v>
      </c>
      <c r="BN329" s="60">
        <v>0.0</v>
      </c>
      <c r="BO329" s="60">
        <v>0.0</v>
      </c>
      <c r="BP329" s="60">
        <v>0.0</v>
      </c>
      <c r="BQ329" s="60">
        <v>-206.42</v>
      </c>
      <c r="BR329" s="60">
        <v>0.0</v>
      </c>
      <c r="BS329" s="60">
        <v>0.0</v>
      </c>
      <c r="BT329" s="60">
        <v>0.0</v>
      </c>
      <c r="BU329" s="60">
        <v>0.0</v>
      </c>
      <c r="BV329" s="60">
        <v>0.0</v>
      </c>
      <c r="BW329" s="60">
        <v>0.0</v>
      </c>
      <c r="BX329" s="60">
        <v>0.0</v>
      </c>
      <c r="BY329" s="60">
        <v>2046.6</v>
      </c>
      <c r="BZ329" s="57">
        <v>0.0</v>
      </c>
      <c r="CA329" s="60">
        <v>0.0</v>
      </c>
      <c r="CB329" s="57">
        <v>0.0</v>
      </c>
      <c r="CC329" s="60">
        <v>0.0</v>
      </c>
      <c r="CD329" s="60">
        <v>0.0</v>
      </c>
      <c r="CE329" s="60">
        <v>0.0</v>
      </c>
      <c r="CF329" s="60">
        <v>0.0</v>
      </c>
      <c r="CG329" s="60">
        <v>0.0</v>
      </c>
      <c r="CH329" s="60">
        <v>6481.35</v>
      </c>
      <c r="CI329" s="60">
        <v>845.39</v>
      </c>
      <c r="CJ329" s="60">
        <v>5635.96</v>
      </c>
      <c r="CK329" s="60">
        <v>4.43</v>
      </c>
      <c r="CL329" s="57">
        <v>0.0</v>
      </c>
      <c r="CM329" s="57">
        <v>0.0</v>
      </c>
      <c r="CN329" s="57">
        <v>0.0</v>
      </c>
      <c r="CO329" s="57">
        <v>100.0</v>
      </c>
      <c r="CP329" s="59"/>
      <c r="CQ329" s="57">
        <v>0.0</v>
      </c>
      <c r="CR329" s="57">
        <v>0.0</v>
      </c>
      <c r="CS329" s="57">
        <v>0.0</v>
      </c>
      <c r="CT329" s="57">
        <v>-34361.0</v>
      </c>
      <c r="CU329" s="59">
        <v>45900.0</v>
      </c>
      <c r="CV329" s="59">
        <v>45900.0</v>
      </c>
      <c r="CW329" s="57">
        <v>123773.0</v>
      </c>
      <c r="CX329" s="57" t="s">
        <v>122</v>
      </c>
      <c r="CY329" s="57" t="s">
        <v>778</v>
      </c>
      <c r="CZ329" s="60">
        <v>3354.51</v>
      </c>
      <c r="DA329" s="60">
        <v>8421.94</v>
      </c>
      <c r="DB329" s="60">
        <v>-20823.85</v>
      </c>
      <c r="DC329" s="60">
        <v>0.55</v>
      </c>
      <c r="DD329" s="60">
        <v>-1376.1</v>
      </c>
      <c r="DE329" s="60">
        <v>-1582.52</v>
      </c>
      <c r="DF329" s="57"/>
    </row>
    <row r="330" ht="13.5" customHeight="1">
      <c r="A330" s="57" t="s">
        <v>228</v>
      </c>
      <c r="B330" s="58">
        <v>44136.0</v>
      </c>
      <c r="C330" s="57" t="s">
        <v>109</v>
      </c>
      <c r="D330" s="57" t="s">
        <v>110</v>
      </c>
      <c r="E330" s="57" t="s">
        <v>111</v>
      </c>
      <c r="F330" s="57" t="s">
        <v>231</v>
      </c>
      <c r="G330" s="57" t="s">
        <v>113</v>
      </c>
      <c r="H330" s="57" t="s">
        <v>114</v>
      </c>
      <c r="I330" s="59">
        <v>44161.0</v>
      </c>
      <c r="J330" s="59">
        <v>44162.0</v>
      </c>
      <c r="K330" s="57">
        <f t="shared" si="1"/>
        <v>1</v>
      </c>
      <c r="L330" s="57">
        <v>1.0</v>
      </c>
      <c r="M330" s="57">
        <f t="shared" si="2"/>
        <v>0</v>
      </c>
      <c r="N330" s="59">
        <v>44145.0</v>
      </c>
      <c r="O330" s="59">
        <v>44216.0</v>
      </c>
      <c r="P330" s="57">
        <f t="shared" si="3"/>
        <v>71</v>
      </c>
      <c r="Q330" s="57">
        <v>90.0</v>
      </c>
      <c r="R330" s="57">
        <f t="shared" si="4"/>
        <v>-19</v>
      </c>
      <c r="S330" s="57" t="s">
        <v>880</v>
      </c>
      <c r="T330" s="57" t="s">
        <v>881</v>
      </c>
      <c r="U330" s="57" t="s">
        <v>117</v>
      </c>
      <c r="V330" s="57" t="s">
        <v>190</v>
      </c>
      <c r="W330" s="57" t="s">
        <v>119</v>
      </c>
      <c r="X330" s="57" t="s">
        <v>191</v>
      </c>
      <c r="Y330" s="57">
        <v>2020.0</v>
      </c>
      <c r="Z330" s="57" t="s">
        <v>121</v>
      </c>
      <c r="AA330" s="57">
        <v>1498.0</v>
      </c>
      <c r="AB330" s="57">
        <v>16.0</v>
      </c>
      <c r="AC330" s="57">
        <v>0.0</v>
      </c>
      <c r="AD330" s="60">
        <v>190240.52</v>
      </c>
      <c r="AE330" s="60">
        <v>38683.01</v>
      </c>
      <c r="AF330" s="61">
        <v>0.2</v>
      </c>
      <c r="AG330" s="60">
        <v>7961.23</v>
      </c>
      <c r="AH330" s="60">
        <v>1207.5</v>
      </c>
      <c r="AI330" s="57">
        <v>7.75</v>
      </c>
      <c r="AJ330" s="60">
        <v>66584.0</v>
      </c>
      <c r="AK330" s="57">
        <v>54.97</v>
      </c>
      <c r="AL330" s="59">
        <v>44216.0</v>
      </c>
      <c r="AM330" s="59">
        <v>46042.0</v>
      </c>
      <c r="AN330" s="57">
        <v>37.0</v>
      </c>
      <c r="AO330" s="57">
        <v>1500.0</v>
      </c>
      <c r="AP330" s="57">
        <v>75836.0</v>
      </c>
      <c r="AQ330" s="59">
        <v>46234.0</v>
      </c>
      <c r="AR330" s="57">
        <v>46730.0</v>
      </c>
      <c r="AS330" s="57">
        <v>47063.0</v>
      </c>
      <c r="AT330" s="57">
        <v>333.0</v>
      </c>
      <c r="AU330" s="57">
        <v>45663.0</v>
      </c>
      <c r="AV330" s="57">
        <v>787.0</v>
      </c>
      <c r="AW330" s="60">
        <v>2966.58</v>
      </c>
      <c r="AX330" s="60">
        <v>474.74</v>
      </c>
      <c r="AY330" s="60">
        <v>115.0</v>
      </c>
      <c r="AZ330" s="60">
        <v>291.0</v>
      </c>
      <c r="BA330" s="60">
        <v>1382.17</v>
      </c>
      <c r="BB330" s="60">
        <v>5229.49</v>
      </c>
      <c r="BC330" s="60">
        <v>784.42</v>
      </c>
      <c r="BD330" s="60">
        <v>6013.91</v>
      </c>
      <c r="BE330" s="59">
        <v>45748.0</v>
      </c>
      <c r="BF330" s="59">
        <v>45838.0</v>
      </c>
      <c r="BG330" s="57">
        <v>46589.0</v>
      </c>
      <c r="BH330" s="57">
        <v>47063.0</v>
      </c>
      <c r="BI330" s="57">
        <v>474.0</v>
      </c>
      <c r="BJ330" s="57">
        <v>4500.0</v>
      </c>
      <c r="BK330" s="57">
        <v>-4026.0</v>
      </c>
      <c r="BL330" s="60">
        <v>0.37</v>
      </c>
      <c r="BM330" s="60">
        <v>1.8</v>
      </c>
      <c r="BN330" s="60">
        <v>0.0</v>
      </c>
      <c r="BO330" s="60">
        <v>0.0</v>
      </c>
      <c r="BP330" s="60">
        <v>0.0</v>
      </c>
      <c r="BQ330" s="60">
        <v>-193.25</v>
      </c>
      <c r="BR330" s="60">
        <v>0.0</v>
      </c>
      <c r="BS330" s="60">
        <v>0.0</v>
      </c>
      <c r="BT330" s="60">
        <v>0.0</v>
      </c>
      <c r="BU330" s="60">
        <v>0.0</v>
      </c>
      <c r="BV330" s="60">
        <v>0.0</v>
      </c>
      <c r="BW330" s="60">
        <v>0.0</v>
      </c>
      <c r="BX330" s="60">
        <v>0.0</v>
      </c>
      <c r="BY330" s="60">
        <v>659.72</v>
      </c>
      <c r="BZ330" s="57">
        <v>0.0</v>
      </c>
      <c r="CA330" s="60">
        <v>0.0</v>
      </c>
      <c r="CB330" s="57">
        <v>0.0</v>
      </c>
      <c r="CC330" s="60">
        <v>0.0</v>
      </c>
      <c r="CD330" s="60">
        <v>0.0</v>
      </c>
      <c r="CE330" s="60">
        <v>0.0</v>
      </c>
      <c r="CF330" s="60">
        <v>0.0</v>
      </c>
      <c r="CG330" s="60">
        <v>0.0</v>
      </c>
      <c r="CH330" s="60">
        <v>4532.34</v>
      </c>
      <c r="CI330" s="60">
        <v>591.17</v>
      </c>
      <c r="CJ330" s="60">
        <v>3941.17</v>
      </c>
      <c r="CK330" s="60">
        <v>11.84</v>
      </c>
      <c r="CL330" s="57">
        <v>0.0</v>
      </c>
      <c r="CM330" s="57">
        <v>0.0</v>
      </c>
      <c r="CN330" s="57">
        <v>0.0</v>
      </c>
      <c r="CO330" s="57">
        <v>100.0</v>
      </c>
      <c r="CP330" s="59"/>
      <c r="CQ330" s="57">
        <v>0.0</v>
      </c>
      <c r="CR330" s="57">
        <v>0.0</v>
      </c>
      <c r="CS330" s="57">
        <v>0.0</v>
      </c>
      <c r="CT330" s="57">
        <v>-64337.0</v>
      </c>
      <c r="CU330" s="59">
        <v>45900.0</v>
      </c>
      <c r="CV330" s="59">
        <v>45900.0</v>
      </c>
      <c r="CW330" s="57">
        <v>77236.0</v>
      </c>
      <c r="CX330" s="57" t="s">
        <v>122</v>
      </c>
      <c r="CY330" s="57" t="s">
        <v>778</v>
      </c>
      <c r="CZ330" s="60">
        <v>0.0</v>
      </c>
      <c r="DA330" s="60">
        <v>0.0</v>
      </c>
      <c r="DB330" s="60">
        <v>-18699.28</v>
      </c>
      <c r="DC330" s="60">
        <v>0.32</v>
      </c>
      <c r="DD330" s="60">
        <v>-1288.32</v>
      </c>
      <c r="DE330" s="60">
        <v>-1481.57</v>
      </c>
      <c r="DF330" s="57"/>
    </row>
    <row r="331" ht="13.5" customHeight="1">
      <c r="A331" s="32" t="s">
        <v>108</v>
      </c>
      <c r="B331" s="33">
        <v>44166.0</v>
      </c>
      <c r="C331" s="32" t="s">
        <v>124</v>
      </c>
      <c r="D331" s="32" t="s">
        <v>125</v>
      </c>
      <c r="E331" s="32" t="s">
        <v>126</v>
      </c>
      <c r="F331" s="32" t="s">
        <v>112</v>
      </c>
      <c r="G331" s="32" t="s">
        <v>113</v>
      </c>
      <c r="H331" s="32" t="s">
        <v>129</v>
      </c>
      <c r="I331" s="34">
        <v>44192.0</v>
      </c>
      <c r="J331" s="34">
        <v>44193.0</v>
      </c>
      <c r="K331" s="32">
        <f t="shared" si="1"/>
        <v>1</v>
      </c>
      <c r="L331" s="32">
        <v>1.0</v>
      </c>
      <c r="M331" s="32">
        <f t="shared" si="2"/>
        <v>0</v>
      </c>
      <c r="N331" s="34">
        <v>44177.0</v>
      </c>
      <c r="O331" s="34">
        <v>44339.0</v>
      </c>
      <c r="P331" s="32">
        <f t="shared" si="3"/>
        <v>162</v>
      </c>
      <c r="Q331" s="32">
        <v>90.0</v>
      </c>
      <c r="R331" s="32">
        <f t="shared" si="4"/>
        <v>72</v>
      </c>
      <c r="S331" s="32" t="s">
        <v>882</v>
      </c>
      <c r="T331" s="32" t="s">
        <v>883</v>
      </c>
      <c r="U331" s="32" t="s">
        <v>117</v>
      </c>
      <c r="V331" s="32" t="s">
        <v>147</v>
      </c>
      <c r="W331" s="32" t="s">
        <v>133</v>
      </c>
      <c r="X331" s="32" t="s">
        <v>168</v>
      </c>
      <c r="Y331" s="32">
        <v>2020.0</v>
      </c>
      <c r="Z331" s="32" t="s">
        <v>135</v>
      </c>
      <c r="AA331" s="32">
        <v>2498.0</v>
      </c>
      <c r="AB331" s="32">
        <v>16.0</v>
      </c>
      <c r="AC331" s="32">
        <v>5.0</v>
      </c>
      <c r="AD331" s="35">
        <v>363391.3</v>
      </c>
      <c r="AE331" s="35">
        <v>66699.78</v>
      </c>
      <c r="AF331" s="36">
        <v>0.18</v>
      </c>
      <c r="AG331" s="35">
        <v>49157.73</v>
      </c>
      <c r="AH331" s="35">
        <v>1591.5</v>
      </c>
      <c r="AI331" s="32">
        <v>7.75</v>
      </c>
      <c r="AJ331" s="35">
        <v>152624.0</v>
      </c>
      <c r="AK331" s="32">
        <v>42.0</v>
      </c>
      <c r="AL331" s="34">
        <v>44339.0</v>
      </c>
      <c r="AM331" s="34">
        <v>46165.0</v>
      </c>
      <c r="AN331" s="32">
        <v>60.0</v>
      </c>
      <c r="AO331" s="32">
        <v>2500.0</v>
      </c>
      <c r="AP331" s="32">
        <v>150000.0</v>
      </c>
      <c r="AQ331" s="34">
        <v>46234.0</v>
      </c>
      <c r="AR331" s="32">
        <v>122921.0</v>
      </c>
      <c r="AS331" s="32">
        <v>124632.0</v>
      </c>
      <c r="AT331" s="32">
        <v>1711.0</v>
      </c>
      <c r="AU331" s="32">
        <v>123190.0</v>
      </c>
      <c r="AV331" s="32">
        <v>2124.0</v>
      </c>
      <c r="AW331" s="35">
        <v>5657.93</v>
      </c>
      <c r="AX331" s="35">
        <v>1553.44</v>
      </c>
      <c r="AY331" s="35">
        <v>125.0</v>
      </c>
      <c r="AZ331" s="35">
        <v>291.0</v>
      </c>
      <c r="BA331" s="35">
        <v>1219.65</v>
      </c>
      <c r="BB331" s="35">
        <v>8847.02</v>
      </c>
      <c r="BC331" s="35">
        <v>1327.05</v>
      </c>
      <c r="BD331" s="35">
        <v>10174.07</v>
      </c>
      <c r="BE331" s="34">
        <v>45748.0</v>
      </c>
      <c r="BF331" s="34">
        <v>45838.0</v>
      </c>
      <c r="BG331" s="32">
        <v>118929.0</v>
      </c>
      <c r="BH331" s="32">
        <v>124632.0</v>
      </c>
      <c r="BI331" s="32">
        <v>5703.0</v>
      </c>
      <c r="BJ331" s="32">
        <v>7500.0</v>
      </c>
      <c r="BK331" s="32">
        <v>-1797.0</v>
      </c>
      <c r="BL331" s="35">
        <v>0.71</v>
      </c>
      <c r="BM331" s="35">
        <v>1.72</v>
      </c>
      <c r="BN331" s="35">
        <v>0.0</v>
      </c>
      <c r="BO331" s="35">
        <v>0.0</v>
      </c>
      <c r="BP331" s="35">
        <v>0.0</v>
      </c>
      <c r="BQ331" s="35">
        <v>-167.12</v>
      </c>
      <c r="BR331" s="35">
        <v>0.0</v>
      </c>
      <c r="BS331" s="35">
        <v>0.0</v>
      </c>
      <c r="BT331" s="35">
        <v>0.0</v>
      </c>
      <c r="BU331" s="35">
        <v>0.0</v>
      </c>
      <c r="BV331" s="35">
        <v>0.0</v>
      </c>
      <c r="BW331" s="35">
        <v>0.0</v>
      </c>
      <c r="BX331" s="35">
        <v>0.0</v>
      </c>
      <c r="BY331" s="35">
        <v>3726.1</v>
      </c>
      <c r="BZ331" s="32">
        <v>0.0</v>
      </c>
      <c r="CA331" s="35">
        <v>0.0</v>
      </c>
      <c r="CB331" s="32">
        <v>0.0</v>
      </c>
      <c r="CC331" s="35">
        <v>0.0</v>
      </c>
      <c r="CD331" s="35">
        <v>0.0</v>
      </c>
      <c r="CE331" s="35">
        <v>0.0</v>
      </c>
      <c r="CF331" s="35">
        <v>0.0</v>
      </c>
      <c r="CG331" s="35">
        <v>0.0</v>
      </c>
      <c r="CH331" s="35">
        <v>8892.81</v>
      </c>
      <c r="CI331" s="35">
        <v>1159.93</v>
      </c>
      <c r="CJ331" s="35">
        <v>7732.88</v>
      </c>
      <c r="CK331" s="35">
        <v>4.52</v>
      </c>
      <c r="CL331" s="32">
        <v>0.0</v>
      </c>
      <c r="CM331" s="32">
        <v>0.0</v>
      </c>
      <c r="CN331" s="32">
        <v>0.0</v>
      </c>
      <c r="CO331" s="32">
        <v>100.0</v>
      </c>
      <c r="CP331" s="34"/>
      <c r="CQ331" s="32">
        <v>0.0</v>
      </c>
      <c r="CR331" s="32">
        <v>0.0</v>
      </c>
      <c r="CS331" s="32">
        <v>0.0</v>
      </c>
      <c r="CT331" s="32">
        <v>-21810.0</v>
      </c>
      <c r="CU331" s="34">
        <v>45900.0</v>
      </c>
      <c r="CV331" s="34">
        <v>45900.0</v>
      </c>
      <c r="CW331" s="32">
        <v>151442.0</v>
      </c>
      <c r="CX331" s="32" t="s">
        <v>122</v>
      </c>
      <c r="CY331" s="32" t="s">
        <v>778</v>
      </c>
      <c r="CZ331" s="35">
        <v>1508.53</v>
      </c>
      <c r="DA331" s="35">
        <v>3585.85</v>
      </c>
      <c r="DB331" s="35">
        <v>-14480.69</v>
      </c>
      <c r="DC331" s="35">
        <v>0.62</v>
      </c>
      <c r="DD331" s="35">
        <v>-1114.14</v>
      </c>
      <c r="DE331" s="35">
        <v>-1281.26</v>
      </c>
      <c r="DF331" s="32"/>
    </row>
    <row r="332" ht="13.5" customHeight="1">
      <c r="A332" s="32" t="s">
        <v>108</v>
      </c>
      <c r="B332" s="33">
        <v>44166.0</v>
      </c>
      <c r="C332" s="32" t="s">
        <v>109</v>
      </c>
      <c r="D332" s="32" t="s">
        <v>137</v>
      </c>
      <c r="E332" s="32" t="s">
        <v>138</v>
      </c>
      <c r="F332" s="32" t="s">
        <v>112</v>
      </c>
      <c r="G332" s="32" t="s">
        <v>113</v>
      </c>
      <c r="H332" s="32" t="s">
        <v>141</v>
      </c>
      <c r="I332" s="34">
        <v>44193.0</v>
      </c>
      <c r="J332" s="34">
        <v>44194.0</v>
      </c>
      <c r="K332" s="32">
        <f t="shared" si="1"/>
        <v>1</v>
      </c>
      <c r="L332" s="32">
        <v>1.0</v>
      </c>
      <c r="M332" s="32">
        <f t="shared" si="2"/>
        <v>0</v>
      </c>
      <c r="N332" s="34">
        <v>44177.0</v>
      </c>
      <c r="O332" s="34">
        <v>44338.0</v>
      </c>
      <c r="P332" s="32">
        <f t="shared" si="3"/>
        <v>161</v>
      </c>
      <c r="Q332" s="32">
        <v>90.0</v>
      </c>
      <c r="R332" s="32">
        <f t="shared" si="4"/>
        <v>71</v>
      </c>
      <c r="S332" s="32" t="s">
        <v>884</v>
      </c>
      <c r="T332" s="32" t="s">
        <v>885</v>
      </c>
      <c r="U332" s="32" t="s">
        <v>117</v>
      </c>
      <c r="V332" s="32" t="s">
        <v>207</v>
      </c>
      <c r="W332" s="32" t="s">
        <v>199</v>
      </c>
      <c r="X332" s="32" t="s">
        <v>869</v>
      </c>
      <c r="Y332" s="32">
        <v>2024.0</v>
      </c>
      <c r="Z332" s="32" t="s">
        <v>135</v>
      </c>
      <c r="AA332" s="32">
        <v>2498.0</v>
      </c>
      <c r="AB332" s="32">
        <v>16.0</v>
      </c>
      <c r="AC332" s="32">
        <v>0.0</v>
      </c>
      <c r="AD332" s="35">
        <v>502435.0</v>
      </c>
      <c r="AE332" s="35">
        <v>19946.67</v>
      </c>
      <c r="AF332" s="36">
        <v>0.04</v>
      </c>
      <c r="AG332" s="35">
        <v>34271.0</v>
      </c>
      <c r="AH332" s="35">
        <v>3015.0</v>
      </c>
      <c r="AI332" s="32">
        <v>7.75</v>
      </c>
      <c r="AJ332" s="35">
        <v>246193.0</v>
      </c>
      <c r="AK332" s="32">
        <v>49.0</v>
      </c>
      <c r="AL332" s="34">
        <v>44338.0</v>
      </c>
      <c r="AM332" s="34">
        <v>46164.0</v>
      </c>
      <c r="AN332" s="32">
        <v>60.0</v>
      </c>
      <c r="AO332" s="32">
        <v>1500.0</v>
      </c>
      <c r="AP332" s="32">
        <v>90000.0</v>
      </c>
      <c r="AQ332" s="34">
        <v>46081.0</v>
      </c>
      <c r="AR332" s="32">
        <v>19538.0</v>
      </c>
      <c r="AS332" s="32">
        <v>21004.0</v>
      </c>
      <c r="AT332" s="32">
        <v>1466.0</v>
      </c>
      <c r="AU332" s="32">
        <v>19547.0</v>
      </c>
      <c r="AV332" s="32">
        <v>1396.0</v>
      </c>
      <c r="AW332" s="35">
        <v>8023.74</v>
      </c>
      <c r="AX332" s="35">
        <v>1185.0</v>
      </c>
      <c r="AY332" s="35">
        <v>190.0</v>
      </c>
      <c r="AZ332" s="35">
        <v>290.99</v>
      </c>
      <c r="BA332" s="35">
        <v>1522.99</v>
      </c>
      <c r="BB332" s="35">
        <v>11212.72</v>
      </c>
      <c r="BC332" s="35">
        <v>1681.91</v>
      </c>
      <c r="BD332" s="35">
        <v>12894.63</v>
      </c>
      <c r="BE332" s="34">
        <v>45748.0</v>
      </c>
      <c r="BF332" s="34">
        <v>45838.0</v>
      </c>
      <c r="BG332" s="32">
        <v>15484.0</v>
      </c>
      <c r="BH332" s="32">
        <v>21004.0</v>
      </c>
      <c r="BI332" s="32">
        <v>5520.0</v>
      </c>
      <c r="BJ332" s="32">
        <v>4500.0</v>
      </c>
      <c r="BK332" s="32">
        <v>1020.0</v>
      </c>
      <c r="BL332" s="35">
        <v>0.91</v>
      </c>
      <c r="BM332" s="35">
        <v>2.85</v>
      </c>
      <c r="BN332" s="35">
        <v>928.2</v>
      </c>
      <c r="BO332" s="35">
        <v>2907.0</v>
      </c>
      <c r="BP332" s="35">
        <v>3835.2</v>
      </c>
      <c r="BQ332" s="35">
        <v>575.28</v>
      </c>
      <c r="BR332" s="35">
        <v>4410.48</v>
      </c>
      <c r="BS332" s="35">
        <v>0.0</v>
      </c>
      <c r="BT332" s="35">
        <v>0.0</v>
      </c>
      <c r="BU332" s="35">
        <v>0.0</v>
      </c>
      <c r="BV332" s="35">
        <v>0.0</v>
      </c>
      <c r="BW332" s="35">
        <v>0.0</v>
      </c>
      <c r="BX332" s="35">
        <v>0.0</v>
      </c>
      <c r="BY332" s="35">
        <v>4716.61</v>
      </c>
      <c r="BZ332" s="32">
        <v>0.0</v>
      </c>
      <c r="CA332" s="35">
        <v>0.0</v>
      </c>
      <c r="CB332" s="32">
        <v>0.0</v>
      </c>
      <c r="CC332" s="35">
        <v>0.0</v>
      </c>
      <c r="CD332" s="35">
        <v>0.0</v>
      </c>
      <c r="CE332" s="35">
        <v>0.0</v>
      </c>
      <c r="CF332" s="35">
        <v>0.0</v>
      </c>
      <c r="CG332" s="35">
        <v>0.0</v>
      </c>
      <c r="CH332" s="35">
        <v>17305.11</v>
      </c>
      <c r="CI332" s="35">
        <v>2257.19</v>
      </c>
      <c r="CJ332" s="35">
        <v>15047.92</v>
      </c>
      <c r="CK332" s="35">
        <v>10.26</v>
      </c>
      <c r="CL332" s="32">
        <v>0.0</v>
      </c>
      <c r="CM332" s="32">
        <v>0.0</v>
      </c>
      <c r="CN332" s="32">
        <v>0.0</v>
      </c>
      <c r="CO332" s="32">
        <v>100.0</v>
      </c>
      <c r="CP332" s="34"/>
      <c r="CQ332" s="32">
        <v>0.0</v>
      </c>
      <c r="CR332" s="32">
        <v>0.0</v>
      </c>
      <c r="CS332" s="32">
        <v>0.0</v>
      </c>
      <c r="CT332" s="32">
        <v>-2735.0</v>
      </c>
      <c r="CU332" s="34">
        <v>47238.0</v>
      </c>
      <c r="CV332" s="34">
        <v>47238.0</v>
      </c>
      <c r="CW332" s="32">
        <v>91457.0</v>
      </c>
      <c r="CX332" s="32" t="s">
        <v>122</v>
      </c>
      <c r="CY332" s="32" t="s">
        <v>778</v>
      </c>
      <c r="CZ332" s="35">
        <v>928.2</v>
      </c>
      <c r="DA332" s="35">
        <v>2907.0</v>
      </c>
      <c r="DB332" s="35">
        <v>-2966.45</v>
      </c>
      <c r="DC332" s="35">
        <v>0.79</v>
      </c>
      <c r="DD332" s="35">
        <v>0.0</v>
      </c>
      <c r="DE332" s="35">
        <v>0.0</v>
      </c>
      <c r="DF332" s="32"/>
    </row>
    <row r="333" ht="13.5" customHeight="1">
      <c r="A333" s="32" t="s">
        <v>108</v>
      </c>
      <c r="B333" s="33">
        <v>44166.0</v>
      </c>
      <c r="C333" s="32" t="s">
        <v>124</v>
      </c>
      <c r="D333" s="32" t="s">
        <v>110</v>
      </c>
      <c r="E333" s="32" t="s">
        <v>111</v>
      </c>
      <c r="F333" s="32" t="s">
        <v>112</v>
      </c>
      <c r="G333" s="32" t="s">
        <v>113</v>
      </c>
      <c r="H333" s="32" t="s">
        <v>114</v>
      </c>
      <c r="I333" s="34">
        <v>44194.0</v>
      </c>
      <c r="J333" s="34">
        <v>44195.0</v>
      </c>
      <c r="K333" s="32">
        <f t="shared" si="1"/>
        <v>1</v>
      </c>
      <c r="L333" s="32">
        <v>1.0</v>
      </c>
      <c r="M333" s="32">
        <f t="shared" si="2"/>
        <v>0</v>
      </c>
      <c r="N333" s="34">
        <v>44178.0</v>
      </c>
      <c r="O333" s="34">
        <v>44339.0</v>
      </c>
      <c r="P333" s="32">
        <f t="shared" si="3"/>
        <v>161</v>
      </c>
      <c r="Q333" s="32">
        <v>90.0</v>
      </c>
      <c r="R333" s="32">
        <f t="shared" si="4"/>
        <v>71</v>
      </c>
      <c r="S333" s="32" t="s">
        <v>886</v>
      </c>
      <c r="T333" s="32" t="s">
        <v>887</v>
      </c>
      <c r="U333" s="32" t="s">
        <v>117</v>
      </c>
      <c r="V333" s="32" t="s">
        <v>207</v>
      </c>
      <c r="W333" s="32" t="s">
        <v>182</v>
      </c>
      <c r="X333" s="32" t="s">
        <v>284</v>
      </c>
      <c r="Y333" s="32">
        <v>2020.0</v>
      </c>
      <c r="Z333" s="32" t="s">
        <v>135</v>
      </c>
      <c r="AA333" s="32">
        <v>2198.0</v>
      </c>
      <c r="AB333" s="32">
        <v>16.0</v>
      </c>
      <c r="AC333" s="32">
        <v>2.0</v>
      </c>
      <c r="AD333" s="35">
        <v>502435.0</v>
      </c>
      <c r="AE333" s="35">
        <v>19946.67</v>
      </c>
      <c r="AF333" s="36">
        <v>0.04</v>
      </c>
      <c r="AG333" s="35">
        <v>20654.87</v>
      </c>
      <c r="AH333" s="35">
        <v>1217.5</v>
      </c>
      <c r="AI333" s="32">
        <v>7.75</v>
      </c>
      <c r="AJ333" s="35">
        <v>196542.0</v>
      </c>
      <c r="AK333" s="32">
        <v>45.89</v>
      </c>
      <c r="AL333" s="34">
        <v>44339.0</v>
      </c>
      <c r="AM333" s="34">
        <v>46165.0</v>
      </c>
      <c r="AN333" s="32">
        <v>42.0</v>
      </c>
      <c r="AO333" s="32">
        <v>1500.0</v>
      </c>
      <c r="AP333" s="32">
        <v>71416.0</v>
      </c>
      <c r="AQ333" s="34">
        <v>45930.0</v>
      </c>
      <c r="AR333" s="32">
        <v>43436.0</v>
      </c>
      <c r="AS333" s="32">
        <v>43835.0</v>
      </c>
      <c r="AT333" s="32">
        <v>399.0</v>
      </c>
      <c r="AU333" s="32">
        <v>42322.0</v>
      </c>
      <c r="AV333" s="32">
        <v>756.0</v>
      </c>
      <c r="AW333" s="35">
        <v>8967.52</v>
      </c>
      <c r="AX333" s="35">
        <v>997.97</v>
      </c>
      <c r="AY333" s="35">
        <v>190.0</v>
      </c>
      <c r="AZ333" s="35">
        <v>291.0</v>
      </c>
      <c r="BA333" s="35">
        <v>1327.82</v>
      </c>
      <c r="BB333" s="35">
        <v>11774.31</v>
      </c>
      <c r="BC333" s="35">
        <v>1766.15</v>
      </c>
      <c r="BD333" s="35">
        <v>13540.46</v>
      </c>
      <c r="BE333" s="34">
        <v>45748.0</v>
      </c>
      <c r="BF333" s="34">
        <v>45838.0</v>
      </c>
      <c r="BG333" s="32">
        <v>41782.0</v>
      </c>
      <c r="BH333" s="32">
        <v>43835.0</v>
      </c>
      <c r="BI333" s="32">
        <v>2053.0</v>
      </c>
      <c r="BJ333" s="32">
        <v>4500.0</v>
      </c>
      <c r="BK333" s="32">
        <v>-2447.0</v>
      </c>
      <c r="BL333" s="35">
        <v>0.52</v>
      </c>
      <c r="BM333" s="35">
        <v>5.18</v>
      </c>
      <c r="BN333" s="35">
        <v>0.0</v>
      </c>
      <c r="BO333" s="35">
        <v>0.0</v>
      </c>
      <c r="BP333" s="35">
        <v>0.0</v>
      </c>
      <c r="BQ333" s="35">
        <v>-245.92</v>
      </c>
      <c r="BR333" s="35">
        <v>0.0</v>
      </c>
      <c r="BS333" s="35">
        <v>0.0</v>
      </c>
      <c r="BT333" s="35">
        <v>0.0</v>
      </c>
      <c r="BU333" s="35">
        <v>0.0</v>
      </c>
      <c r="BV333" s="35">
        <v>0.0</v>
      </c>
      <c r="BW333" s="35">
        <v>0.0</v>
      </c>
      <c r="BX333" s="35">
        <v>0.0</v>
      </c>
      <c r="BY333" s="35">
        <v>1669.13</v>
      </c>
      <c r="BZ333" s="32">
        <v>0.0</v>
      </c>
      <c r="CA333" s="35">
        <v>0.0</v>
      </c>
      <c r="CB333" s="32">
        <v>0.0</v>
      </c>
      <c r="CC333" s="35">
        <v>0.0</v>
      </c>
      <c r="CD333" s="35">
        <v>0.0</v>
      </c>
      <c r="CE333" s="35">
        <v>0.0</v>
      </c>
      <c r="CF333" s="35">
        <v>0.0</v>
      </c>
      <c r="CG333" s="35">
        <v>0.0</v>
      </c>
      <c r="CH333" s="35">
        <v>11655.05</v>
      </c>
      <c r="CI333" s="35">
        <v>1520.23</v>
      </c>
      <c r="CJ333" s="35">
        <v>10134.82</v>
      </c>
      <c r="CK333" s="35">
        <v>25.4</v>
      </c>
      <c r="CL333" s="32">
        <v>0.0</v>
      </c>
      <c r="CM333" s="32">
        <v>0.0</v>
      </c>
      <c r="CN333" s="32">
        <v>0.0</v>
      </c>
      <c r="CO333" s="32">
        <v>100.0</v>
      </c>
      <c r="CP333" s="34"/>
      <c r="CQ333" s="32">
        <v>0.0</v>
      </c>
      <c r="CR333" s="32">
        <v>0.0</v>
      </c>
      <c r="CS333" s="32">
        <v>0.0</v>
      </c>
      <c r="CT333" s="32">
        <v>-68678.0</v>
      </c>
      <c r="CU333" s="34">
        <v>45961.0</v>
      </c>
      <c r="CV333" s="34">
        <v>45961.0</v>
      </c>
      <c r="CW333" s="32">
        <v>72929.0</v>
      </c>
      <c r="CX333" s="32" t="s">
        <v>122</v>
      </c>
      <c r="CY333" s="32" t="s">
        <v>778</v>
      </c>
      <c r="CZ333" s="35">
        <v>3121.04</v>
      </c>
      <c r="DA333" s="35">
        <v>31090.36</v>
      </c>
      <c r="DB333" s="35">
        <v>-36570.8</v>
      </c>
      <c r="DC333" s="35">
        <v>0.67</v>
      </c>
      <c r="DD333" s="35">
        <v>-1639.49</v>
      </c>
      <c r="DE333" s="35">
        <v>-1885.41</v>
      </c>
      <c r="DF333" s="32"/>
    </row>
    <row r="334" ht="13.5" customHeight="1">
      <c r="A334" s="32" t="s">
        <v>144</v>
      </c>
      <c r="B334" s="33">
        <v>44166.0</v>
      </c>
      <c r="C334" s="32" t="s">
        <v>136</v>
      </c>
      <c r="D334" s="32" t="s">
        <v>125</v>
      </c>
      <c r="E334" s="32" t="s">
        <v>126</v>
      </c>
      <c r="F334" s="32" t="s">
        <v>112</v>
      </c>
      <c r="G334" s="32" t="s">
        <v>113</v>
      </c>
      <c r="H334" s="32" t="s">
        <v>129</v>
      </c>
      <c r="I334" s="34">
        <v>44195.0</v>
      </c>
      <c r="J334" s="34">
        <v>44196.0</v>
      </c>
      <c r="K334" s="32">
        <f t="shared" si="1"/>
        <v>1</v>
      </c>
      <c r="L334" s="32">
        <v>1.0</v>
      </c>
      <c r="M334" s="32">
        <f t="shared" si="2"/>
        <v>0</v>
      </c>
      <c r="N334" s="34">
        <v>44179.0</v>
      </c>
      <c r="O334" s="34">
        <v>44340.0</v>
      </c>
      <c r="P334" s="32">
        <f t="shared" si="3"/>
        <v>161</v>
      </c>
      <c r="Q334" s="32">
        <v>90.0</v>
      </c>
      <c r="R334" s="32">
        <f t="shared" si="4"/>
        <v>71</v>
      </c>
      <c r="S334" s="32" t="s">
        <v>888</v>
      </c>
      <c r="T334" s="32" t="s">
        <v>889</v>
      </c>
      <c r="U334" s="32" t="s">
        <v>117</v>
      </c>
      <c r="V334" s="32" t="s">
        <v>207</v>
      </c>
      <c r="W334" s="32" t="s">
        <v>199</v>
      </c>
      <c r="X334" s="32" t="s">
        <v>869</v>
      </c>
      <c r="Y334" s="32">
        <v>2024.0</v>
      </c>
      <c r="Z334" s="32" t="s">
        <v>135</v>
      </c>
      <c r="AA334" s="32">
        <v>2498.0</v>
      </c>
      <c r="AB334" s="32">
        <v>16.0</v>
      </c>
      <c r="AC334" s="32">
        <v>0.0</v>
      </c>
      <c r="AD334" s="35">
        <v>502435.0</v>
      </c>
      <c r="AE334" s="35">
        <v>19946.67</v>
      </c>
      <c r="AF334" s="36">
        <v>0.04</v>
      </c>
      <c r="AG334" s="35">
        <v>33991.07</v>
      </c>
      <c r="AH334" s="35">
        <v>3015.0</v>
      </c>
      <c r="AI334" s="32">
        <v>7.75</v>
      </c>
      <c r="AJ334" s="35">
        <v>246193.0</v>
      </c>
      <c r="AK334" s="32">
        <v>49.0</v>
      </c>
      <c r="AL334" s="34">
        <v>44340.0</v>
      </c>
      <c r="AM334" s="34">
        <v>46166.0</v>
      </c>
      <c r="AN334" s="32">
        <v>60.0</v>
      </c>
      <c r="AO334" s="32">
        <v>1500.0</v>
      </c>
      <c r="AP334" s="32">
        <v>90000.0</v>
      </c>
      <c r="AQ334" s="34">
        <v>46081.0</v>
      </c>
      <c r="AR334" s="32">
        <v>15265.0</v>
      </c>
      <c r="AS334" s="32">
        <v>16838.0</v>
      </c>
      <c r="AT334" s="32">
        <v>1573.0</v>
      </c>
      <c r="AU334" s="32">
        <v>15376.0</v>
      </c>
      <c r="AV334" s="32">
        <v>1098.0</v>
      </c>
      <c r="AW334" s="35">
        <v>8017.93</v>
      </c>
      <c r="AX334" s="35">
        <v>1185.0</v>
      </c>
      <c r="AY334" s="35">
        <v>190.0</v>
      </c>
      <c r="AZ334" s="35">
        <v>290.99</v>
      </c>
      <c r="BA334" s="35">
        <v>1522.99</v>
      </c>
      <c r="BB334" s="35">
        <v>11206.91</v>
      </c>
      <c r="BC334" s="35">
        <v>1681.04</v>
      </c>
      <c r="BD334" s="35">
        <v>12887.95</v>
      </c>
      <c r="BE334" s="34">
        <v>45748.0</v>
      </c>
      <c r="BF334" s="34">
        <v>45838.0</v>
      </c>
      <c r="BG334" s="32">
        <v>12232.0</v>
      </c>
      <c r="BH334" s="32">
        <v>16838.0</v>
      </c>
      <c r="BI334" s="32">
        <v>4606.0</v>
      </c>
      <c r="BJ334" s="32">
        <v>4500.0</v>
      </c>
      <c r="BK334" s="32">
        <v>106.0</v>
      </c>
      <c r="BL334" s="35">
        <v>0.91</v>
      </c>
      <c r="BM334" s="35">
        <v>2.85</v>
      </c>
      <c r="BN334" s="35">
        <v>0.0</v>
      </c>
      <c r="BO334" s="35">
        <v>0.0</v>
      </c>
      <c r="BP334" s="35">
        <v>0.0</v>
      </c>
      <c r="BQ334" s="35">
        <v>0.0</v>
      </c>
      <c r="BR334" s="35">
        <v>0.0</v>
      </c>
      <c r="BS334" s="35">
        <v>0.0</v>
      </c>
      <c r="BT334" s="35">
        <v>0.0</v>
      </c>
      <c r="BU334" s="35">
        <v>0.0</v>
      </c>
      <c r="BV334" s="35">
        <v>0.0</v>
      </c>
      <c r="BW334" s="35">
        <v>0.0</v>
      </c>
      <c r="BX334" s="35">
        <v>0.0</v>
      </c>
      <c r="BY334" s="35">
        <v>4531.69</v>
      </c>
      <c r="BZ334" s="32">
        <v>0.0</v>
      </c>
      <c r="CA334" s="35">
        <v>0.0</v>
      </c>
      <c r="CB334" s="32">
        <v>0.0</v>
      </c>
      <c r="CC334" s="35">
        <v>0.0</v>
      </c>
      <c r="CD334" s="35">
        <v>0.0</v>
      </c>
      <c r="CE334" s="35">
        <v>0.0</v>
      </c>
      <c r="CF334" s="35">
        <v>0.0</v>
      </c>
      <c r="CG334" s="35">
        <v>0.0</v>
      </c>
      <c r="CH334" s="35">
        <v>12887.95</v>
      </c>
      <c r="CI334" s="35">
        <v>1681.04</v>
      </c>
      <c r="CJ334" s="35">
        <v>11206.91</v>
      </c>
      <c r="CK334" s="35">
        <v>7.12</v>
      </c>
      <c r="CL334" s="32">
        <v>0.0</v>
      </c>
      <c r="CM334" s="32">
        <v>0.0</v>
      </c>
      <c r="CN334" s="32">
        <v>0.0</v>
      </c>
      <c r="CO334" s="32">
        <v>100.0</v>
      </c>
      <c r="CP334" s="34"/>
      <c r="CQ334" s="32">
        <v>0.0</v>
      </c>
      <c r="CR334" s="32">
        <v>0.0</v>
      </c>
      <c r="CS334" s="32">
        <v>0.0</v>
      </c>
      <c r="CT334" s="32">
        <v>-7004.0</v>
      </c>
      <c r="CU334" s="34">
        <v>47238.0</v>
      </c>
      <c r="CV334" s="34">
        <v>47238.0</v>
      </c>
      <c r="CW334" s="32">
        <v>91462.0</v>
      </c>
      <c r="CX334" s="32" t="s">
        <v>122</v>
      </c>
      <c r="CY334" s="32" t="s">
        <v>778</v>
      </c>
      <c r="CZ334" s="35">
        <v>0.0</v>
      </c>
      <c r="DA334" s="35">
        <v>0.0</v>
      </c>
      <c r="DB334" s="35">
        <v>-5616.9</v>
      </c>
      <c r="DC334" s="35">
        <v>0.79</v>
      </c>
      <c r="DD334" s="35">
        <v>0.0</v>
      </c>
      <c r="DE334" s="35">
        <v>0.0</v>
      </c>
      <c r="DF334" s="32"/>
    </row>
    <row r="335" ht="13.5" customHeight="1">
      <c r="A335" s="32" t="s">
        <v>144</v>
      </c>
      <c r="B335" s="33">
        <v>44166.0</v>
      </c>
      <c r="C335" s="32" t="s">
        <v>109</v>
      </c>
      <c r="D335" s="32" t="s">
        <v>137</v>
      </c>
      <c r="E335" s="32" t="s">
        <v>138</v>
      </c>
      <c r="F335" s="32" t="s">
        <v>112</v>
      </c>
      <c r="G335" s="32" t="s">
        <v>113</v>
      </c>
      <c r="H335" s="32" t="s">
        <v>141</v>
      </c>
      <c r="I335" s="34">
        <v>44166.0</v>
      </c>
      <c r="J335" s="34">
        <v>44167.0</v>
      </c>
      <c r="K335" s="32">
        <f t="shared" si="1"/>
        <v>1</v>
      </c>
      <c r="L335" s="32">
        <v>1.0</v>
      </c>
      <c r="M335" s="32">
        <f t="shared" si="2"/>
        <v>0</v>
      </c>
      <c r="N335" s="34">
        <v>44180.0</v>
      </c>
      <c r="O335" s="34">
        <v>44341.0</v>
      </c>
      <c r="P335" s="32">
        <f t="shared" si="3"/>
        <v>161</v>
      </c>
      <c r="Q335" s="32">
        <v>90.0</v>
      </c>
      <c r="R335" s="32">
        <f t="shared" si="4"/>
        <v>71</v>
      </c>
      <c r="S335" s="32" t="s">
        <v>890</v>
      </c>
      <c r="T335" s="32" t="s">
        <v>891</v>
      </c>
      <c r="U335" s="32" t="s">
        <v>117</v>
      </c>
      <c r="V335" s="32" t="s">
        <v>207</v>
      </c>
      <c r="W335" s="32" t="s">
        <v>199</v>
      </c>
      <c r="X335" s="32" t="s">
        <v>869</v>
      </c>
      <c r="Y335" s="32">
        <v>2024.0</v>
      </c>
      <c r="Z335" s="32" t="s">
        <v>135</v>
      </c>
      <c r="AA335" s="32">
        <v>2498.0</v>
      </c>
      <c r="AB335" s="32">
        <v>16.0</v>
      </c>
      <c r="AC335" s="32">
        <v>0.0</v>
      </c>
      <c r="AD335" s="35">
        <v>502435.0</v>
      </c>
      <c r="AE335" s="35">
        <v>19946.67</v>
      </c>
      <c r="AF335" s="36">
        <v>0.04</v>
      </c>
      <c r="AG335" s="35">
        <v>34286.62</v>
      </c>
      <c r="AH335" s="35">
        <v>3015.0</v>
      </c>
      <c r="AI335" s="32">
        <v>7.75</v>
      </c>
      <c r="AJ335" s="35">
        <v>246193.0</v>
      </c>
      <c r="AK335" s="32">
        <v>49.0</v>
      </c>
      <c r="AL335" s="34">
        <v>44341.0</v>
      </c>
      <c r="AM335" s="34">
        <v>46167.0</v>
      </c>
      <c r="AN335" s="32">
        <v>60.0</v>
      </c>
      <c r="AO335" s="32">
        <v>1500.0</v>
      </c>
      <c r="AP335" s="32">
        <v>90000.0</v>
      </c>
      <c r="AQ335" s="34">
        <v>46081.0</v>
      </c>
      <c r="AR335" s="32">
        <v>20085.0</v>
      </c>
      <c r="AS335" s="32">
        <v>21808.0</v>
      </c>
      <c r="AT335" s="32">
        <v>1723.0</v>
      </c>
      <c r="AU335" s="32">
        <v>20344.0</v>
      </c>
      <c r="AV335" s="32">
        <v>1453.0</v>
      </c>
      <c r="AW335" s="35">
        <v>8024.06</v>
      </c>
      <c r="AX335" s="35">
        <v>1185.0</v>
      </c>
      <c r="AY335" s="35">
        <v>190.0</v>
      </c>
      <c r="AZ335" s="35">
        <v>290.99</v>
      </c>
      <c r="BA335" s="35">
        <v>1522.99</v>
      </c>
      <c r="BB335" s="35">
        <v>11213.04</v>
      </c>
      <c r="BC335" s="35">
        <v>1681.96</v>
      </c>
      <c r="BD335" s="35">
        <v>12895.0</v>
      </c>
      <c r="BE335" s="34">
        <v>45748.0</v>
      </c>
      <c r="BF335" s="34">
        <v>45838.0</v>
      </c>
      <c r="BG335" s="32">
        <v>16866.0</v>
      </c>
      <c r="BH335" s="32">
        <v>21808.0</v>
      </c>
      <c r="BI335" s="32">
        <v>4942.0</v>
      </c>
      <c r="BJ335" s="32">
        <v>4500.0</v>
      </c>
      <c r="BK335" s="32">
        <v>442.0</v>
      </c>
      <c r="BL335" s="35">
        <v>0.91</v>
      </c>
      <c r="BM335" s="35">
        <v>2.85</v>
      </c>
      <c r="BN335" s="35">
        <v>402.22</v>
      </c>
      <c r="BO335" s="35">
        <v>1259.7</v>
      </c>
      <c r="BP335" s="35">
        <v>1661.92</v>
      </c>
      <c r="BQ335" s="35">
        <v>249.29</v>
      </c>
      <c r="BR335" s="35">
        <v>1911.21</v>
      </c>
      <c r="BS335" s="35">
        <v>0.0</v>
      </c>
      <c r="BT335" s="35">
        <v>0.0</v>
      </c>
      <c r="BU335" s="35">
        <v>0.0</v>
      </c>
      <c r="BV335" s="35">
        <v>0.0</v>
      </c>
      <c r="BW335" s="35">
        <v>0.0</v>
      </c>
      <c r="BX335" s="35">
        <v>0.0</v>
      </c>
      <c r="BY335" s="35">
        <v>5069.97</v>
      </c>
      <c r="BZ335" s="32">
        <v>0.0</v>
      </c>
      <c r="CA335" s="35">
        <v>79.0</v>
      </c>
      <c r="CB335" s="32">
        <v>0.0</v>
      </c>
      <c r="CC335" s="35">
        <v>0.0</v>
      </c>
      <c r="CD335" s="35">
        <v>0.0</v>
      </c>
      <c r="CE335" s="35">
        <v>0.0</v>
      </c>
      <c r="CF335" s="35">
        <v>0.0</v>
      </c>
      <c r="CG335" s="35">
        <v>0.0</v>
      </c>
      <c r="CH335" s="35">
        <v>14806.21</v>
      </c>
      <c r="CI335" s="35">
        <v>1931.25</v>
      </c>
      <c r="CJ335" s="35">
        <v>12874.96</v>
      </c>
      <c r="CK335" s="35">
        <v>7.47</v>
      </c>
      <c r="CL335" s="32">
        <v>0.0</v>
      </c>
      <c r="CM335" s="32">
        <v>0.0</v>
      </c>
      <c r="CN335" s="32">
        <v>0.0</v>
      </c>
      <c r="CO335" s="32">
        <v>100.0</v>
      </c>
      <c r="CP335" s="34"/>
      <c r="CQ335" s="32">
        <v>0.0</v>
      </c>
      <c r="CR335" s="32">
        <v>0.0</v>
      </c>
      <c r="CS335" s="32">
        <v>0.0</v>
      </c>
      <c r="CT335" s="32">
        <v>-1938.0</v>
      </c>
      <c r="CU335" s="34">
        <v>47238.0</v>
      </c>
      <c r="CV335" s="34">
        <v>47238.0</v>
      </c>
      <c r="CW335" s="32">
        <v>91464.0</v>
      </c>
      <c r="CX335" s="32" t="s">
        <v>122</v>
      </c>
      <c r="CY335" s="32" t="s">
        <v>778</v>
      </c>
      <c r="CZ335" s="35">
        <v>402.22</v>
      </c>
      <c r="DA335" s="35">
        <v>1259.7</v>
      </c>
      <c r="DB335" s="35">
        <v>-1882.57</v>
      </c>
      <c r="DC335" s="35">
        <v>0.79</v>
      </c>
      <c r="DD335" s="35">
        <v>0.0</v>
      </c>
      <c r="DE335" s="35">
        <v>0.0</v>
      </c>
      <c r="DF335" s="32"/>
    </row>
    <row r="336" ht="13.5" customHeight="1">
      <c r="A336" s="32" t="s">
        <v>144</v>
      </c>
      <c r="B336" s="33">
        <v>44166.0</v>
      </c>
      <c r="C336" s="32" t="s">
        <v>124</v>
      </c>
      <c r="D336" s="32" t="s">
        <v>110</v>
      </c>
      <c r="E336" s="32" t="s">
        <v>111</v>
      </c>
      <c r="F336" s="32" t="s">
        <v>112</v>
      </c>
      <c r="G336" s="32" t="s">
        <v>113</v>
      </c>
      <c r="H336" s="32" t="s">
        <v>114</v>
      </c>
      <c r="I336" s="34">
        <v>44167.0</v>
      </c>
      <c r="J336" s="34">
        <v>44168.0</v>
      </c>
      <c r="K336" s="32">
        <f t="shared" si="1"/>
        <v>1</v>
      </c>
      <c r="L336" s="32">
        <v>1.0</v>
      </c>
      <c r="M336" s="32">
        <f t="shared" si="2"/>
        <v>0</v>
      </c>
      <c r="N336" s="34">
        <v>44181.0</v>
      </c>
      <c r="O336" s="34">
        <v>44342.0</v>
      </c>
      <c r="P336" s="32">
        <f t="shared" si="3"/>
        <v>161</v>
      </c>
      <c r="Q336" s="32">
        <v>90.0</v>
      </c>
      <c r="R336" s="32">
        <f t="shared" si="4"/>
        <v>71</v>
      </c>
      <c r="S336" s="32" t="s">
        <v>892</v>
      </c>
      <c r="T336" s="32" t="s">
        <v>893</v>
      </c>
      <c r="U336" s="32" t="s">
        <v>117</v>
      </c>
      <c r="V336" s="32" t="s">
        <v>207</v>
      </c>
      <c r="W336" s="32" t="s">
        <v>199</v>
      </c>
      <c r="X336" s="32" t="s">
        <v>869</v>
      </c>
      <c r="Y336" s="32">
        <v>2024.0</v>
      </c>
      <c r="Z336" s="32" t="s">
        <v>135</v>
      </c>
      <c r="AA336" s="32">
        <v>2498.0</v>
      </c>
      <c r="AB336" s="32">
        <v>16.0</v>
      </c>
      <c r="AC336" s="32">
        <v>1.0</v>
      </c>
      <c r="AD336" s="35">
        <v>502435.0</v>
      </c>
      <c r="AE336" s="35">
        <v>19946.67</v>
      </c>
      <c r="AF336" s="36">
        <v>0.04</v>
      </c>
      <c r="AG336" s="35">
        <v>33849.66</v>
      </c>
      <c r="AH336" s="35">
        <v>3015.0</v>
      </c>
      <c r="AI336" s="32">
        <v>7.75</v>
      </c>
      <c r="AJ336" s="35">
        <v>246193.0</v>
      </c>
      <c r="AK336" s="32">
        <v>49.0</v>
      </c>
      <c r="AL336" s="34">
        <v>44342.0</v>
      </c>
      <c r="AM336" s="34">
        <v>46168.0</v>
      </c>
      <c r="AN336" s="32">
        <v>60.0</v>
      </c>
      <c r="AO336" s="32">
        <v>1500.0</v>
      </c>
      <c r="AP336" s="32">
        <v>90000.0</v>
      </c>
      <c r="AQ336" s="34">
        <v>46081.0</v>
      </c>
      <c r="AR336" s="32">
        <v>20242.0</v>
      </c>
      <c r="AS336" s="32">
        <v>20754.0</v>
      </c>
      <c r="AT336" s="32">
        <v>512.0</v>
      </c>
      <c r="AU336" s="32">
        <v>19280.0</v>
      </c>
      <c r="AV336" s="32">
        <v>1377.0</v>
      </c>
      <c r="AW336" s="35">
        <v>8015.0</v>
      </c>
      <c r="AX336" s="35">
        <v>1185.0</v>
      </c>
      <c r="AY336" s="35">
        <v>190.0</v>
      </c>
      <c r="AZ336" s="35">
        <v>290.99</v>
      </c>
      <c r="BA336" s="35">
        <v>1522.99</v>
      </c>
      <c r="BB336" s="35">
        <v>11203.98</v>
      </c>
      <c r="BC336" s="35">
        <v>1680.6</v>
      </c>
      <c r="BD336" s="35">
        <v>12884.58</v>
      </c>
      <c r="BE336" s="34">
        <v>45748.0</v>
      </c>
      <c r="BF336" s="34">
        <v>45838.0</v>
      </c>
      <c r="BG336" s="32">
        <v>16990.0</v>
      </c>
      <c r="BH336" s="32">
        <v>20754.0</v>
      </c>
      <c r="BI336" s="32">
        <v>3764.0</v>
      </c>
      <c r="BJ336" s="32">
        <v>4500.0</v>
      </c>
      <c r="BK336" s="32">
        <v>-736.0</v>
      </c>
      <c r="BL336" s="35">
        <v>0.91</v>
      </c>
      <c r="BM336" s="35">
        <v>2.85</v>
      </c>
      <c r="BN336" s="35">
        <v>0.0</v>
      </c>
      <c r="BO336" s="35">
        <v>0.0</v>
      </c>
      <c r="BP336" s="35">
        <v>0.0</v>
      </c>
      <c r="BQ336" s="35">
        <v>-87.22</v>
      </c>
      <c r="BR336" s="35">
        <v>0.0</v>
      </c>
      <c r="BS336" s="35">
        <v>0.0</v>
      </c>
      <c r="BT336" s="35">
        <v>0.0</v>
      </c>
      <c r="BU336" s="35">
        <v>0.0</v>
      </c>
      <c r="BV336" s="35">
        <v>0.0</v>
      </c>
      <c r="BW336" s="35">
        <v>0.0</v>
      </c>
      <c r="BX336" s="35">
        <v>0.0</v>
      </c>
      <c r="BY336" s="35">
        <v>4960.68</v>
      </c>
      <c r="BZ336" s="32">
        <v>0.0</v>
      </c>
      <c r="CA336" s="35">
        <v>0.0</v>
      </c>
      <c r="CB336" s="32">
        <v>0.0</v>
      </c>
      <c r="CC336" s="35">
        <v>0.0</v>
      </c>
      <c r="CD336" s="35">
        <v>0.0</v>
      </c>
      <c r="CE336" s="35">
        <v>0.0</v>
      </c>
      <c r="CF336" s="35">
        <v>0.0</v>
      </c>
      <c r="CG336" s="35">
        <v>0.0</v>
      </c>
      <c r="CH336" s="35">
        <v>12215.92</v>
      </c>
      <c r="CI336" s="35">
        <v>1593.38</v>
      </c>
      <c r="CJ336" s="35">
        <v>10622.54</v>
      </c>
      <c r="CK336" s="35">
        <v>20.75</v>
      </c>
      <c r="CL336" s="32">
        <v>0.0</v>
      </c>
      <c r="CM336" s="32">
        <v>0.0</v>
      </c>
      <c r="CN336" s="32">
        <v>0.0</v>
      </c>
      <c r="CO336" s="32">
        <v>100.0</v>
      </c>
      <c r="CP336" s="34"/>
      <c r="CQ336" s="32">
        <v>0.0</v>
      </c>
      <c r="CR336" s="32">
        <v>0.0</v>
      </c>
      <c r="CS336" s="32">
        <v>0.0</v>
      </c>
      <c r="CT336" s="32">
        <v>-3100.0</v>
      </c>
      <c r="CU336" s="34">
        <v>47238.0</v>
      </c>
      <c r="CV336" s="34">
        <v>47238.0</v>
      </c>
      <c r="CW336" s="32">
        <v>91474.0</v>
      </c>
      <c r="CX336" s="32" t="s">
        <v>122</v>
      </c>
      <c r="CY336" s="32" t="s">
        <v>778</v>
      </c>
      <c r="CZ336" s="35">
        <v>374.92</v>
      </c>
      <c r="DA336" s="35">
        <v>1174.2</v>
      </c>
      <c r="DB336" s="35">
        <v>-2774.48</v>
      </c>
      <c r="DC336" s="35">
        <v>0.79</v>
      </c>
      <c r="DD336" s="35">
        <v>-581.44</v>
      </c>
      <c r="DE336" s="35">
        <v>-668.66</v>
      </c>
      <c r="DF336" s="32"/>
    </row>
    <row r="337" ht="13.5" customHeight="1">
      <c r="A337" s="32" t="s">
        <v>144</v>
      </c>
      <c r="B337" s="33">
        <v>44166.0</v>
      </c>
      <c r="C337" s="32" t="s">
        <v>136</v>
      </c>
      <c r="D337" s="32" t="s">
        <v>125</v>
      </c>
      <c r="E337" s="32" t="s">
        <v>126</v>
      </c>
      <c r="F337" s="32" t="s">
        <v>112</v>
      </c>
      <c r="G337" s="32" t="s">
        <v>113</v>
      </c>
      <c r="H337" s="32" t="s">
        <v>129</v>
      </c>
      <c r="I337" s="34">
        <v>44168.0</v>
      </c>
      <c r="J337" s="34">
        <v>44172.0</v>
      </c>
      <c r="K337" s="32">
        <f t="shared" si="1"/>
        <v>4</v>
      </c>
      <c r="L337" s="32">
        <v>1.0</v>
      </c>
      <c r="M337" s="32">
        <f t="shared" si="2"/>
        <v>3</v>
      </c>
      <c r="N337" s="34">
        <v>44182.0</v>
      </c>
      <c r="O337" s="34">
        <v>44343.0</v>
      </c>
      <c r="P337" s="32">
        <f t="shared" si="3"/>
        <v>161</v>
      </c>
      <c r="Q337" s="32">
        <v>90.0</v>
      </c>
      <c r="R337" s="32">
        <f t="shared" si="4"/>
        <v>71</v>
      </c>
      <c r="S337" s="32" t="s">
        <v>894</v>
      </c>
      <c r="T337" s="32" t="s">
        <v>895</v>
      </c>
      <c r="U337" s="32" t="s">
        <v>117</v>
      </c>
      <c r="V337" s="32" t="s">
        <v>207</v>
      </c>
      <c r="W337" s="32" t="s">
        <v>182</v>
      </c>
      <c r="X337" s="32" t="s">
        <v>284</v>
      </c>
      <c r="Y337" s="32">
        <v>2020.0</v>
      </c>
      <c r="Z337" s="32" t="s">
        <v>135</v>
      </c>
      <c r="AA337" s="32">
        <v>2198.0</v>
      </c>
      <c r="AB337" s="32">
        <v>16.0</v>
      </c>
      <c r="AC337" s="32">
        <v>16.0</v>
      </c>
      <c r="AD337" s="35">
        <v>502435.0</v>
      </c>
      <c r="AE337" s="35">
        <v>19946.67</v>
      </c>
      <c r="AF337" s="36">
        <v>0.04</v>
      </c>
      <c r="AG337" s="35">
        <v>27263.37</v>
      </c>
      <c r="AH337" s="35">
        <v>2510.5</v>
      </c>
      <c r="AI337" s="32">
        <v>7.75</v>
      </c>
      <c r="AJ337" s="35">
        <v>196542.0</v>
      </c>
      <c r="AK337" s="32">
        <v>37.0</v>
      </c>
      <c r="AL337" s="34">
        <v>44343.0</v>
      </c>
      <c r="AM337" s="34">
        <v>46169.0</v>
      </c>
      <c r="AN337" s="32">
        <v>60.0</v>
      </c>
      <c r="AO337" s="32">
        <v>2500.0</v>
      </c>
      <c r="AP337" s="32">
        <v>150000.0</v>
      </c>
      <c r="AQ337" s="34">
        <v>45930.0</v>
      </c>
      <c r="AR337" s="32">
        <v>66334.0</v>
      </c>
      <c r="AS337" s="32">
        <v>67920.0</v>
      </c>
      <c r="AT337" s="32">
        <v>1586.0</v>
      </c>
      <c r="AU337" s="32">
        <v>66442.0</v>
      </c>
      <c r="AV337" s="32">
        <v>1208.0</v>
      </c>
      <c r="AW337" s="35">
        <v>9305.15</v>
      </c>
      <c r="AX337" s="35">
        <v>1212.47</v>
      </c>
      <c r="AY337" s="35">
        <v>183.13</v>
      </c>
      <c r="AZ337" s="35">
        <v>291.0</v>
      </c>
      <c r="BA337" s="35">
        <v>1327.82</v>
      </c>
      <c r="BB337" s="35">
        <v>12319.57</v>
      </c>
      <c r="BC337" s="35">
        <v>1847.94</v>
      </c>
      <c r="BD337" s="35">
        <v>14167.51</v>
      </c>
      <c r="BE337" s="34">
        <v>45748.0</v>
      </c>
      <c r="BF337" s="34">
        <v>45838.0</v>
      </c>
      <c r="BG337" s="32">
        <v>63595.0</v>
      </c>
      <c r="BH337" s="32">
        <v>67920.0</v>
      </c>
      <c r="BI337" s="32">
        <v>4325.0</v>
      </c>
      <c r="BJ337" s="32">
        <v>7500.0</v>
      </c>
      <c r="BK337" s="32">
        <v>-3175.0</v>
      </c>
      <c r="BL337" s="35">
        <v>0.56</v>
      </c>
      <c r="BM337" s="35">
        <v>2.64</v>
      </c>
      <c r="BN337" s="35">
        <v>0.0</v>
      </c>
      <c r="BO337" s="35">
        <v>0.0</v>
      </c>
      <c r="BP337" s="35">
        <v>0.0</v>
      </c>
      <c r="BQ337" s="35">
        <v>-233.36</v>
      </c>
      <c r="BR337" s="35">
        <v>0.0</v>
      </c>
      <c r="BS337" s="35">
        <v>0.0</v>
      </c>
      <c r="BT337" s="35">
        <v>0.0</v>
      </c>
      <c r="BU337" s="35">
        <v>0.0</v>
      </c>
      <c r="BV337" s="35">
        <v>0.0</v>
      </c>
      <c r="BW337" s="35">
        <v>0.0</v>
      </c>
      <c r="BX337" s="35">
        <v>0.0</v>
      </c>
      <c r="BY337" s="35">
        <v>3272.65</v>
      </c>
      <c r="BZ337" s="32">
        <v>0.0</v>
      </c>
      <c r="CA337" s="35">
        <v>0.0</v>
      </c>
      <c r="CB337" s="32">
        <v>0.0</v>
      </c>
      <c r="CC337" s="35">
        <v>0.0</v>
      </c>
      <c r="CD337" s="35">
        <v>0.0</v>
      </c>
      <c r="CE337" s="35">
        <v>0.0</v>
      </c>
      <c r="CF337" s="35">
        <v>0.0</v>
      </c>
      <c r="CG337" s="35">
        <v>0.0</v>
      </c>
      <c r="CH337" s="35">
        <v>12378.4</v>
      </c>
      <c r="CI337" s="35">
        <v>1614.58</v>
      </c>
      <c r="CJ337" s="35">
        <v>10763.82</v>
      </c>
      <c r="CK337" s="35">
        <v>6.79</v>
      </c>
      <c r="CL337" s="32">
        <v>0.0</v>
      </c>
      <c r="CM337" s="32">
        <v>0.0</v>
      </c>
      <c r="CN337" s="32">
        <v>0.0</v>
      </c>
      <c r="CO337" s="32">
        <v>100.0</v>
      </c>
      <c r="CP337" s="34"/>
      <c r="CQ337" s="32">
        <v>0.0</v>
      </c>
      <c r="CR337" s="32">
        <v>0.0</v>
      </c>
      <c r="CS337" s="32">
        <v>0.0</v>
      </c>
      <c r="CT337" s="32">
        <v>-71058.0</v>
      </c>
      <c r="CU337" s="34">
        <v>45991.0</v>
      </c>
      <c r="CV337" s="34">
        <v>45991.0</v>
      </c>
      <c r="CW337" s="32">
        <v>151478.0</v>
      </c>
      <c r="CX337" s="32" t="s">
        <v>122</v>
      </c>
      <c r="CY337" s="32" t="s">
        <v>778</v>
      </c>
      <c r="CZ337" s="35">
        <v>0.0</v>
      </c>
      <c r="DA337" s="35">
        <v>0.0</v>
      </c>
      <c r="DB337" s="35">
        <v>-32008.7</v>
      </c>
      <c r="DC337" s="35">
        <v>0.49</v>
      </c>
      <c r="DD337" s="35">
        <v>-1555.75</v>
      </c>
      <c r="DE337" s="35">
        <v>-1789.11</v>
      </c>
      <c r="DF337" s="32"/>
    </row>
    <row r="338" ht="13.5" customHeight="1">
      <c r="A338" s="32" t="s">
        <v>157</v>
      </c>
      <c r="B338" s="33">
        <v>44166.0</v>
      </c>
      <c r="C338" s="32" t="s">
        <v>109</v>
      </c>
      <c r="D338" s="32" t="s">
        <v>137</v>
      </c>
      <c r="E338" s="32" t="s">
        <v>138</v>
      </c>
      <c r="F338" s="32" t="s">
        <v>112</v>
      </c>
      <c r="G338" s="32" t="s">
        <v>113</v>
      </c>
      <c r="H338" s="32" t="s">
        <v>141</v>
      </c>
      <c r="I338" s="34">
        <v>44169.0</v>
      </c>
      <c r="J338" s="34">
        <v>44170.0</v>
      </c>
      <c r="K338" s="32">
        <f t="shared" si="1"/>
        <v>1</v>
      </c>
      <c r="L338" s="32">
        <v>1.0</v>
      </c>
      <c r="M338" s="32">
        <f t="shared" si="2"/>
        <v>0</v>
      </c>
      <c r="N338" s="34">
        <v>44183.0</v>
      </c>
      <c r="O338" s="34">
        <v>44344.0</v>
      </c>
      <c r="P338" s="32">
        <f t="shared" si="3"/>
        <v>161</v>
      </c>
      <c r="Q338" s="32">
        <v>90.0</v>
      </c>
      <c r="R338" s="32">
        <f t="shared" si="4"/>
        <v>71</v>
      </c>
      <c r="S338" s="32" t="s">
        <v>896</v>
      </c>
      <c r="T338" s="32" t="s">
        <v>897</v>
      </c>
      <c r="U338" s="32" t="s">
        <v>117</v>
      </c>
      <c r="V338" s="32" t="s">
        <v>190</v>
      </c>
      <c r="W338" s="32" t="s">
        <v>119</v>
      </c>
      <c r="X338" s="32" t="s">
        <v>191</v>
      </c>
      <c r="Y338" s="32">
        <v>2020.0</v>
      </c>
      <c r="Z338" s="32" t="s">
        <v>121</v>
      </c>
      <c r="AA338" s="32">
        <v>1498.0</v>
      </c>
      <c r="AB338" s="32">
        <v>16.0</v>
      </c>
      <c r="AC338" s="32">
        <v>2.0</v>
      </c>
      <c r="AD338" s="35">
        <v>190240.52</v>
      </c>
      <c r="AE338" s="35">
        <v>38611.01</v>
      </c>
      <c r="AF338" s="36">
        <v>0.2</v>
      </c>
      <c r="AG338" s="35">
        <v>14015.54</v>
      </c>
      <c r="AH338" s="35">
        <v>1362.0</v>
      </c>
      <c r="AI338" s="32">
        <v>7.75</v>
      </c>
      <c r="AJ338" s="35">
        <v>81803.0</v>
      </c>
      <c r="AK338" s="32">
        <v>61.9</v>
      </c>
      <c r="AL338" s="34">
        <v>44344.0</v>
      </c>
      <c r="AM338" s="34">
        <v>46170.0</v>
      </c>
      <c r="AN338" s="32">
        <v>42.0</v>
      </c>
      <c r="AO338" s="32">
        <v>1500.0</v>
      </c>
      <c r="AP338" s="32">
        <v>72430.0</v>
      </c>
      <c r="AQ338" s="34">
        <v>45930.0</v>
      </c>
      <c r="AR338" s="32">
        <v>34665.0</v>
      </c>
      <c r="AS338" s="32">
        <v>35347.0</v>
      </c>
      <c r="AT338" s="32">
        <v>682.0</v>
      </c>
      <c r="AU338" s="32">
        <v>33921.0</v>
      </c>
      <c r="AV338" s="32">
        <v>606.0</v>
      </c>
      <c r="AW338" s="35">
        <v>2896.16</v>
      </c>
      <c r="AX338" s="35">
        <v>879.56</v>
      </c>
      <c r="AY338" s="35">
        <v>115.0</v>
      </c>
      <c r="AZ338" s="35">
        <v>291.0</v>
      </c>
      <c r="BA338" s="35">
        <v>1105.84</v>
      </c>
      <c r="BB338" s="35">
        <v>5287.56</v>
      </c>
      <c r="BC338" s="35">
        <v>793.13</v>
      </c>
      <c r="BD338" s="35">
        <v>6080.69</v>
      </c>
      <c r="BE338" s="34">
        <v>45748.0</v>
      </c>
      <c r="BF338" s="34">
        <v>45838.0</v>
      </c>
      <c r="BG338" s="32">
        <v>33714.0</v>
      </c>
      <c r="BH338" s="32">
        <v>35347.0</v>
      </c>
      <c r="BI338" s="32">
        <v>1633.0</v>
      </c>
      <c r="BJ338" s="32">
        <v>4500.0</v>
      </c>
      <c r="BK338" s="32">
        <v>-2867.0</v>
      </c>
      <c r="BL338" s="35">
        <v>0.53</v>
      </c>
      <c r="BM338" s="35">
        <v>1.66</v>
      </c>
      <c r="BN338" s="35">
        <v>0.0</v>
      </c>
      <c r="BO338" s="35">
        <v>0.0</v>
      </c>
      <c r="BP338" s="35">
        <v>0.0</v>
      </c>
      <c r="BQ338" s="35">
        <v>-253.73</v>
      </c>
      <c r="BR338" s="35">
        <v>0.0</v>
      </c>
      <c r="BS338" s="35">
        <v>0.0</v>
      </c>
      <c r="BT338" s="35">
        <v>0.0</v>
      </c>
      <c r="BU338" s="35">
        <v>0.0</v>
      </c>
      <c r="BV338" s="35">
        <v>0.0</v>
      </c>
      <c r="BW338" s="35">
        <v>0.0</v>
      </c>
      <c r="BX338" s="35">
        <v>0.0</v>
      </c>
      <c r="BY338" s="35">
        <v>1525.37</v>
      </c>
      <c r="BZ338" s="32">
        <v>0.0</v>
      </c>
      <c r="CA338" s="35">
        <v>0.0</v>
      </c>
      <c r="CB338" s="32">
        <v>0.0</v>
      </c>
      <c r="CC338" s="35">
        <v>0.0</v>
      </c>
      <c r="CD338" s="35">
        <v>0.0</v>
      </c>
      <c r="CE338" s="35">
        <v>0.0</v>
      </c>
      <c r="CF338" s="35">
        <v>0.0</v>
      </c>
      <c r="CG338" s="35">
        <v>0.0</v>
      </c>
      <c r="CH338" s="35">
        <v>4135.43</v>
      </c>
      <c r="CI338" s="35">
        <v>539.4</v>
      </c>
      <c r="CJ338" s="35">
        <v>3596.03</v>
      </c>
      <c r="CK338" s="35">
        <v>5.27</v>
      </c>
      <c r="CL338" s="32">
        <v>0.0</v>
      </c>
      <c r="CM338" s="32">
        <v>0.0</v>
      </c>
      <c r="CN338" s="32">
        <v>0.0</v>
      </c>
      <c r="CO338" s="32">
        <v>100.0</v>
      </c>
      <c r="CP338" s="34"/>
      <c r="CQ338" s="32">
        <v>0.0</v>
      </c>
      <c r="CR338" s="32">
        <v>0.0</v>
      </c>
      <c r="CS338" s="32">
        <v>0.0</v>
      </c>
      <c r="CT338" s="32">
        <v>-68079.0</v>
      </c>
      <c r="CU338" s="34">
        <v>45961.0</v>
      </c>
      <c r="CV338" s="34">
        <v>45961.0</v>
      </c>
      <c r="CW338" s="32">
        <v>73856.0</v>
      </c>
      <c r="CX338" s="32" t="s">
        <v>122</v>
      </c>
      <c r="CY338" s="32" t="s">
        <v>778</v>
      </c>
      <c r="CZ338" s="35">
        <v>0.0</v>
      </c>
      <c r="DA338" s="35">
        <v>0.0</v>
      </c>
      <c r="DB338" s="35">
        <v>-32955.22</v>
      </c>
      <c r="DC338" s="35">
        <v>0.59</v>
      </c>
      <c r="DD338" s="35">
        <v>-1691.53</v>
      </c>
      <c r="DE338" s="35">
        <v>-1945.26</v>
      </c>
      <c r="DF338" s="32"/>
    </row>
    <row r="339" ht="13.5" customHeight="1">
      <c r="A339" s="32" t="s">
        <v>157</v>
      </c>
      <c r="B339" s="33">
        <v>44166.0</v>
      </c>
      <c r="C339" s="32" t="s">
        <v>124</v>
      </c>
      <c r="D339" s="32" t="s">
        <v>110</v>
      </c>
      <c r="E339" s="32" t="s">
        <v>111</v>
      </c>
      <c r="F339" s="32" t="s">
        <v>231</v>
      </c>
      <c r="G339" s="32" t="s">
        <v>113</v>
      </c>
      <c r="H339" s="32" t="s">
        <v>114</v>
      </c>
      <c r="I339" s="34">
        <v>44170.0</v>
      </c>
      <c r="J339" s="34">
        <v>44171.0</v>
      </c>
      <c r="K339" s="32">
        <f t="shared" si="1"/>
        <v>1</v>
      </c>
      <c r="L339" s="32">
        <v>1.0</v>
      </c>
      <c r="M339" s="32">
        <f t="shared" si="2"/>
        <v>0</v>
      </c>
      <c r="N339" s="34">
        <v>44184.0</v>
      </c>
      <c r="O339" s="34">
        <v>44345.0</v>
      </c>
      <c r="P339" s="32">
        <f t="shared" si="3"/>
        <v>161</v>
      </c>
      <c r="Q339" s="32">
        <v>90.0</v>
      </c>
      <c r="R339" s="32">
        <f t="shared" si="4"/>
        <v>71</v>
      </c>
      <c r="S339" s="32" t="s">
        <v>898</v>
      </c>
      <c r="T339" s="32" t="s">
        <v>899</v>
      </c>
      <c r="U339" s="32" t="s">
        <v>117</v>
      </c>
      <c r="V339" s="32" t="s">
        <v>147</v>
      </c>
      <c r="W339" s="32" t="s">
        <v>119</v>
      </c>
      <c r="X339" s="32" t="s">
        <v>900</v>
      </c>
      <c r="Y339" s="32">
        <v>2024.0</v>
      </c>
      <c r="Z339" s="32" t="s">
        <v>135</v>
      </c>
      <c r="AA339" s="32">
        <v>2498.0</v>
      </c>
      <c r="AB339" s="32">
        <v>16.0</v>
      </c>
      <c r="AC339" s="32">
        <v>0.0</v>
      </c>
      <c r="AD339" s="35">
        <v>537826.09</v>
      </c>
      <c r="AE339" s="35">
        <v>65339.99</v>
      </c>
      <c r="AF339" s="36">
        <v>0.12</v>
      </c>
      <c r="AG339" s="35">
        <v>36004.49</v>
      </c>
      <c r="AH339" s="35">
        <v>2183.0</v>
      </c>
      <c r="AI339" s="32">
        <v>7.75</v>
      </c>
      <c r="AJ339" s="35">
        <v>193617.0</v>
      </c>
      <c r="AK339" s="32">
        <v>36.0</v>
      </c>
      <c r="AL339" s="34">
        <v>44345.0</v>
      </c>
      <c r="AM339" s="34">
        <v>46171.0</v>
      </c>
      <c r="AN339" s="32">
        <v>31.0</v>
      </c>
      <c r="AO339" s="32">
        <v>7000.0</v>
      </c>
      <c r="AP339" s="32">
        <v>217000.0</v>
      </c>
      <c r="AQ339" s="34">
        <v>46081.0</v>
      </c>
      <c r="AR339" s="32">
        <v>51623.0</v>
      </c>
      <c r="AS339" s="32">
        <v>54740.0</v>
      </c>
      <c r="AT339" s="32">
        <v>3117.0</v>
      </c>
      <c r="AU339" s="32">
        <v>53288.0</v>
      </c>
      <c r="AV339" s="32">
        <v>3553.0</v>
      </c>
      <c r="AW339" s="35">
        <v>13474.39</v>
      </c>
      <c r="AX339" s="35">
        <v>3710.0</v>
      </c>
      <c r="AY339" s="35">
        <v>125.0</v>
      </c>
      <c r="AZ339" s="35">
        <v>291.0</v>
      </c>
      <c r="BA339" s="35">
        <v>1482.45</v>
      </c>
      <c r="BB339" s="35">
        <v>19082.84</v>
      </c>
      <c r="BC339" s="35">
        <v>2862.43</v>
      </c>
      <c r="BD339" s="35">
        <v>21945.27</v>
      </c>
      <c r="BE339" s="34">
        <v>45748.0</v>
      </c>
      <c r="BF339" s="34">
        <v>45838.0</v>
      </c>
      <c r="BG339" s="32">
        <v>46370.0</v>
      </c>
      <c r="BH339" s="32">
        <v>54740.0</v>
      </c>
      <c r="BI339" s="32">
        <v>8370.0</v>
      </c>
      <c r="BJ339" s="32">
        <v>21000.0</v>
      </c>
      <c r="BK339" s="32">
        <v>-12630.0</v>
      </c>
      <c r="BL339" s="35">
        <v>0.61</v>
      </c>
      <c r="BM339" s="35">
        <v>1.59</v>
      </c>
      <c r="BN339" s="35">
        <v>0.0</v>
      </c>
      <c r="BO339" s="35">
        <v>0.0</v>
      </c>
      <c r="BP339" s="35">
        <v>0.0</v>
      </c>
      <c r="BQ339" s="35">
        <v>-1004.09</v>
      </c>
      <c r="BR339" s="35">
        <v>0.0</v>
      </c>
      <c r="BS339" s="35">
        <v>0.0</v>
      </c>
      <c r="BT339" s="35">
        <v>0.0</v>
      </c>
      <c r="BU339" s="35">
        <v>150.0</v>
      </c>
      <c r="BV339" s="35">
        <v>0.0</v>
      </c>
      <c r="BW339" s="35">
        <v>0.0</v>
      </c>
      <c r="BX339" s="35">
        <v>0.0</v>
      </c>
      <c r="BY339" s="35">
        <v>6079.7</v>
      </c>
      <c r="BZ339" s="32">
        <v>0.0</v>
      </c>
      <c r="CA339" s="35">
        <v>0.0</v>
      </c>
      <c r="CB339" s="32">
        <v>0.0</v>
      </c>
      <c r="CC339" s="35">
        <v>0.0</v>
      </c>
      <c r="CD339" s="35">
        <v>0.0</v>
      </c>
      <c r="CE339" s="35">
        <v>150.0</v>
      </c>
      <c r="CF339" s="35">
        <v>22.5</v>
      </c>
      <c r="CG339" s="35">
        <v>172.5</v>
      </c>
      <c r="CH339" s="35">
        <v>14419.78</v>
      </c>
      <c r="CI339" s="35">
        <v>1880.84</v>
      </c>
      <c r="CJ339" s="35">
        <v>12538.94</v>
      </c>
      <c r="CK339" s="35">
        <v>4.02</v>
      </c>
      <c r="CL339" s="32">
        <v>0.0</v>
      </c>
      <c r="CM339" s="32">
        <v>0.0</v>
      </c>
      <c r="CN339" s="32">
        <v>0.0</v>
      </c>
      <c r="CO339" s="32">
        <v>100.0</v>
      </c>
      <c r="CP339" s="34"/>
      <c r="CQ339" s="32">
        <v>0.0</v>
      </c>
      <c r="CR339" s="32">
        <v>0.0</v>
      </c>
      <c r="CS339" s="32">
        <v>0.0</v>
      </c>
      <c r="CT339" s="32">
        <v>-54933.0</v>
      </c>
      <c r="CU339" s="34">
        <v>46326.0</v>
      </c>
      <c r="CV339" s="34">
        <v>46326.0</v>
      </c>
      <c r="CW339" s="32">
        <v>218452.0</v>
      </c>
      <c r="CX339" s="32" t="s">
        <v>122</v>
      </c>
      <c r="CY339" s="32" t="s">
        <v>778</v>
      </c>
      <c r="CZ339" s="35">
        <v>0.0</v>
      </c>
      <c r="DA339" s="35">
        <v>0.0</v>
      </c>
      <c r="DB339" s="35">
        <v>-29114.49</v>
      </c>
      <c r="DC339" s="35">
        <v>0.53</v>
      </c>
      <c r="DD339" s="35">
        <v>-6693.9</v>
      </c>
      <c r="DE339" s="35">
        <v>-7697.99</v>
      </c>
      <c r="DF339" s="32"/>
    </row>
    <row r="340" ht="13.5" customHeight="1">
      <c r="A340" s="32" t="s">
        <v>157</v>
      </c>
      <c r="B340" s="33">
        <v>44166.0</v>
      </c>
      <c r="C340" s="32" t="s">
        <v>136</v>
      </c>
      <c r="D340" s="32" t="s">
        <v>125</v>
      </c>
      <c r="E340" s="32" t="s">
        <v>126</v>
      </c>
      <c r="F340" s="32" t="s">
        <v>112</v>
      </c>
      <c r="G340" s="32" t="s">
        <v>113</v>
      </c>
      <c r="H340" s="32" t="s">
        <v>129</v>
      </c>
      <c r="I340" s="34">
        <v>44171.0</v>
      </c>
      <c r="J340" s="34">
        <v>44172.0</v>
      </c>
      <c r="K340" s="32">
        <f t="shared" si="1"/>
        <v>1</v>
      </c>
      <c r="L340" s="32">
        <v>1.0</v>
      </c>
      <c r="M340" s="32">
        <f t="shared" si="2"/>
        <v>0</v>
      </c>
      <c r="N340" s="34">
        <v>44185.0</v>
      </c>
      <c r="O340" s="34">
        <v>44346.0</v>
      </c>
      <c r="P340" s="32">
        <f t="shared" si="3"/>
        <v>161</v>
      </c>
      <c r="Q340" s="32">
        <v>90.0</v>
      </c>
      <c r="R340" s="32">
        <f t="shared" si="4"/>
        <v>71</v>
      </c>
      <c r="S340" s="32" t="s">
        <v>901</v>
      </c>
      <c r="T340" s="32" t="s">
        <v>902</v>
      </c>
      <c r="U340" s="32" t="s">
        <v>117</v>
      </c>
      <c r="V340" s="32" t="s">
        <v>207</v>
      </c>
      <c r="W340" s="32" t="s">
        <v>182</v>
      </c>
      <c r="X340" s="32" t="s">
        <v>284</v>
      </c>
      <c r="Y340" s="32">
        <v>2020.0</v>
      </c>
      <c r="Z340" s="32" t="s">
        <v>135</v>
      </c>
      <c r="AA340" s="32">
        <v>2198.0</v>
      </c>
      <c r="AB340" s="32">
        <v>16.0</v>
      </c>
      <c r="AC340" s="32">
        <v>16.0</v>
      </c>
      <c r="AD340" s="35">
        <v>537826.09</v>
      </c>
      <c r="AE340" s="35">
        <v>65339.99</v>
      </c>
      <c r="AF340" s="36">
        <v>0.12</v>
      </c>
      <c r="AG340" s="35">
        <v>16017.31</v>
      </c>
      <c r="AH340" s="35">
        <v>1795.0</v>
      </c>
      <c r="AI340" s="32">
        <v>7.75</v>
      </c>
      <c r="AJ340" s="35">
        <v>196542.0</v>
      </c>
      <c r="AK340" s="32">
        <v>37.0</v>
      </c>
      <c r="AL340" s="34">
        <v>44346.0</v>
      </c>
      <c r="AM340" s="34">
        <v>46172.0</v>
      </c>
      <c r="AN340" s="32">
        <v>60.0</v>
      </c>
      <c r="AO340" s="32">
        <v>2500.0</v>
      </c>
      <c r="AP340" s="32">
        <v>150000.0</v>
      </c>
      <c r="AQ340" s="34">
        <v>45961.0</v>
      </c>
      <c r="AR340" s="32">
        <v>110981.0</v>
      </c>
      <c r="AS340" s="32">
        <v>114047.0</v>
      </c>
      <c r="AT340" s="32">
        <v>3066.0</v>
      </c>
      <c r="AU340" s="32">
        <v>112552.0</v>
      </c>
      <c r="AV340" s="32">
        <v>2046.0</v>
      </c>
      <c r="AW340" s="35">
        <v>8480.49</v>
      </c>
      <c r="AX340" s="35">
        <v>1242.05</v>
      </c>
      <c r="AY340" s="35">
        <v>190.0</v>
      </c>
      <c r="AZ340" s="35">
        <v>291.0</v>
      </c>
      <c r="BA340" s="35">
        <v>1327.82</v>
      </c>
      <c r="BB340" s="35">
        <v>11531.36</v>
      </c>
      <c r="BC340" s="35">
        <v>1729.7</v>
      </c>
      <c r="BD340" s="35">
        <v>13261.06</v>
      </c>
      <c r="BE340" s="34">
        <v>45748.0</v>
      </c>
      <c r="BF340" s="34">
        <v>45838.0</v>
      </c>
      <c r="BG340" s="32">
        <v>106207.0</v>
      </c>
      <c r="BH340" s="32">
        <v>114047.0</v>
      </c>
      <c r="BI340" s="32">
        <v>7840.0</v>
      </c>
      <c r="BJ340" s="32">
        <v>7500.0</v>
      </c>
      <c r="BK340" s="32">
        <v>340.0</v>
      </c>
      <c r="BL340" s="35">
        <v>0.57</v>
      </c>
      <c r="BM340" s="35">
        <v>2.64</v>
      </c>
      <c r="BN340" s="35">
        <v>0.0</v>
      </c>
      <c r="BO340" s="35">
        <v>0.0</v>
      </c>
      <c r="BP340" s="35">
        <v>0.0</v>
      </c>
      <c r="BQ340" s="35">
        <v>0.0</v>
      </c>
      <c r="BR340" s="35">
        <v>0.0</v>
      </c>
      <c r="BS340" s="35">
        <v>0.0</v>
      </c>
      <c r="BT340" s="35">
        <v>0.0</v>
      </c>
      <c r="BU340" s="35">
        <v>0.0</v>
      </c>
      <c r="BV340" s="35">
        <v>0.0</v>
      </c>
      <c r="BW340" s="35">
        <v>0.0</v>
      </c>
      <c r="BX340" s="35">
        <v>0.0</v>
      </c>
      <c r="BY340" s="35">
        <v>10615.95</v>
      </c>
      <c r="BZ340" s="32">
        <v>0.0</v>
      </c>
      <c r="CA340" s="35">
        <v>0.0</v>
      </c>
      <c r="CB340" s="32">
        <v>0.0</v>
      </c>
      <c r="CC340" s="35">
        <v>0.0</v>
      </c>
      <c r="CD340" s="35">
        <v>0.0</v>
      </c>
      <c r="CE340" s="35">
        <v>0.0</v>
      </c>
      <c r="CF340" s="35">
        <v>0.0</v>
      </c>
      <c r="CG340" s="35">
        <v>0.0</v>
      </c>
      <c r="CH340" s="35">
        <v>13261.06</v>
      </c>
      <c r="CI340" s="35">
        <v>1729.7</v>
      </c>
      <c r="CJ340" s="35">
        <v>11531.36</v>
      </c>
      <c r="CK340" s="35">
        <v>3.76</v>
      </c>
      <c r="CL340" s="32">
        <v>0.0</v>
      </c>
      <c r="CM340" s="32">
        <v>0.0</v>
      </c>
      <c r="CN340" s="32">
        <v>0.0</v>
      </c>
      <c r="CO340" s="32">
        <v>100.0</v>
      </c>
      <c r="CP340" s="34"/>
      <c r="CQ340" s="32">
        <v>0.0</v>
      </c>
      <c r="CR340" s="32">
        <v>0.0</v>
      </c>
      <c r="CS340" s="32">
        <v>0.0</v>
      </c>
      <c r="CT340" s="32">
        <v>-24948.0</v>
      </c>
      <c r="CU340" s="34">
        <v>45991.0</v>
      </c>
      <c r="CV340" s="34">
        <v>45991.0</v>
      </c>
      <c r="CW340" s="32">
        <v>151495.0</v>
      </c>
      <c r="CX340" s="32" t="s">
        <v>122</v>
      </c>
      <c r="CY340" s="32" t="s">
        <v>778</v>
      </c>
      <c r="CZ340" s="35">
        <v>2795.85</v>
      </c>
      <c r="DA340" s="35">
        <v>12949.2</v>
      </c>
      <c r="DB340" s="35">
        <v>-13653.44</v>
      </c>
      <c r="DC340" s="35">
        <v>0.5</v>
      </c>
      <c r="DD340" s="35">
        <v>0.0</v>
      </c>
      <c r="DE340" s="35">
        <v>0.0</v>
      </c>
      <c r="DF340" s="32"/>
    </row>
    <row r="341" ht="13.5" customHeight="1">
      <c r="A341" s="32" t="s">
        <v>157</v>
      </c>
      <c r="B341" s="33">
        <v>44166.0</v>
      </c>
      <c r="C341" s="32" t="s">
        <v>109</v>
      </c>
      <c r="D341" s="32" t="s">
        <v>137</v>
      </c>
      <c r="E341" s="32" t="s">
        <v>138</v>
      </c>
      <c r="F341" s="32" t="s">
        <v>112</v>
      </c>
      <c r="G341" s="32" t="s">
        <v>113</v>
      </c>
      <c r="H341" s="32" t="s">
        <v>141</v>
      </c>
      <c r="I341" s="34">
        <v>44172.0</v>
      </c>
      <c r="J341" s="34">
        <v>44173.0</v>
      </c>
      <c r="K341" s="32">
        <f t="shared" si="1"/>
        <v>1</v>
      </c>
      <c r="L341" s="32">
        <v>1.0</v>
      </c>
      <c r="M341" s="32">
        <f t="shared" si="2"/>
        <v>0</v>
      </c>
      <c r="N341" s="34">
        <v>44177.0</v>
      </c>
      <c r="O341" s="34">
        <v>44347.0</v>
      </c>
      <c r="P341" s="32">
        <f t="shared" si="3"/>
        <v>170</v>
      </c>
      <c r="Q341" s="32">
        <v>90.0</v>
      </c>
      <c r="R341" s="32">
        <f t="shared" si="4"/>
        <v>80</v>
      </c>
      <c r="S341" s="32" t="s">
        <v>903</v>
      </c>
      <c r="T341" s="32" t="s">
        <v>904</v>
      </c>
      <c r="U341" s="32" t="s">
        <v>117</v>
      </c>
      <c r="V341" s="32" t="s">
        <v>147</v>
      </c>
      <c r="W341" s="32" t="s">
        <v>133</v>
      </c>
      <c r="X341" s="32" t="s">
        <v>168</v>
      </c>
      <c r="Y341" s="32">
        <v>2020.0</v>
      </c>
      <c r="Z341" s="32" t="s">
        <v>135</v>
      </c>
      <c r="AA341" s="32">
        <v>2498.0</v>
      </c>
      <c r="AB341" s="32">
        <v>16.0</v>
      </c>
      <c r="AC341" s="32">
        <v>3.0</v>
      </c>
      <c r="AD341" s="35">
        <v>381826.09</v>
      </c>
      <c r="AE341" s="35">
        <v>76230.22</v>
      </c>
      <c r="AF341" s="36">
        <v>0.2</v>
      </c>
      <c r="AG341" s="35">
        <v>27413.95</v>
      </c>
      <c r="AH341" s="35">
        <v>1514.9</v>
      </c>
      <c r="AI341" s="32">
        <v>7.75</v>
      </c>
      <c r="AJ341" s="35">
        <v>160367.0</v>
      </c>
      <c r="AK341" s="32">
        <v>59.96</v>
      </c>
      <c r="AL341" s="34">
        <v>44347.0</v>
      </c>
      <c r="AM341" s="34">
        <v>46173.0</v>
      </c>
      <c r="AN341" s="32">
        <v>43.0</v>
      </c>
      <c r="AO341" s="32">
        <v>1500.0</v>
      </c>
      <c r="AP341" s="32">
        <v>80723.0</v>
      </c>
      <c r="AQ341" s="34">
        <v>45961.0</v>
      </c>
      <c r="AR341" s="32">
        <v>60995.0</v>
      </c>
      <c r="AS341" s="32">
        <v>62415.0</v>
      </c>
      <c r="AT341" s="32">
        <v>1420.0</v>
      </c>
      <c r="AU341" s="32">
        <v>60972.0</v>
      </c>
      <c r="AV341" s="32">
        <v>1109.0</v>
      </c>
      <c r="AW341" s="35">
        <v>5289.5</v>
      </c>
      <c r="AX341" s="35">
        <v>1092.69</v>
      </c>
      <c r="AY341" s="35">
        <v>125.0</v>
      </c>
      <c r="AZ341" s="35">
        <v>291.0</v>
      </c>
      <c r="BA341" s="35">
        <v>1219.61</v>
      </c>
      <c r="BB341" s="35">
        <v>8017.8</v>
      </c>
      <c r="BC341" s="35">
        <v>1202.67</v>
      </c>
      <c r="BD341" s="35">
        <v>9220.47</v>
      </c>
      <c r="BE341" s="34">
        <v>45748.0</v>
      </c>
      <c r="BF341" s="34">
        <v>45838.0</v>
      </c>
      <c r="BG341" s="32">
        <v>58508.0</v>
      </c>
      <c r="BH341" s="32">
        <v>62415.0</v>
      </c>
      <c r="BI341" s="32">
        <v>3907.0</v>
      </c>
      <c r="BJ341" s="32">
        <v>4500.0</v>
      </c>
      <c r="BK341" s="32">
        <v>-593.0</v>
      </c>
      <c r="BL341" s="35">
        <v>0.56</v>
      </c>
      <c r="BM341" s="35">
        <v>3.05</v>
      </c>
      <c r="BN341" s="35">
        <v>0.0</v>
      </c>
      <c r="BO341" s="35">
        <v>0.0</v>
      </c>
      <c r="BP341" s="35">
        <v>0.0</v>
      </c>
      <c r="BQ341" s="35">
        <v>-64.04</v>
      </c>
      <c r="BR341" s="35">
        <v>0.0</v>
      </c>
      <c r="BS341" s="35">
        <v>0.0</v>
      </c>
      <c r="BT341" s="35">
        <v>0.0</v>
      </c>
      <c r="BU341" s="35">
        <v>0.0</v>
      </c>
      <c r="BV341" s="35">
        <v>0.0</v>
      </c>
      <c r="BW341" s="35">
        <v>0.0</v>
      </c>
      <c r="BX341" s="35">
        <v>0.0</v>
      </c>
      <c r="BY341" s="35">
        <v>5542.74</v>
      </c>
      <c r="BZ341" s="32">
        <v>0.0</v>
      </c>
      <c r="CA341" s="35">
        <v>0.0</v>
      </c>
      <c r="CB341" s="32">
        <v>0.0</v>
      </c>
      <c r="CC341" s="35">
        <v>0.0</v>
      </c>
      <c r="CD341" s="35">
        <v>0.0</v>
      </c>
      <c r="CE341" s="35">
        <v>0.0</v>
      </c>
      <c r="CF341" s="35">
        <v>0.0</v>
      </c>
      <c r="CG341" s="35">
        <v>0.0</v>
      </c>
      <c r="CH341" s="35">
        <v>8729.47</v>
      </c>
      <c r="CI341" s="35">
        <v>1138.63</v>
      </c>
      <c r="CJ341" s="35">
        <v>7590.84</v>
      </c>
      <c r="CK341" s="35">
        <v>5.35</v>
      </c>
      <c r="CL341" s="32">
        <v>0.0</v>
      </c>
      <c r="CM341" s="32">
        <v>0.0</v>
      </c>
      <c r="CN341" s="32">
        <v>0.0</v>
      </c>
      <c r="CO341" s="32">
        <v>100.0</v>
      </c>
      <c r="CP341" s="34"/>
      <c r="CQ341" s="32">
        <v>0.0</v>
      </c>
      <c r="CR341" s="32">
        <v>0.0</v>
      </c>
      <c r="CS341" s="32">
        <v>0.0</v>
      </c>
      <c r="CT341" s="32">
        <v>-38528.0</v>
      </c>
      <c r="CU341" s="34">
        <v>45991.0</v>
      </c>
      <c r="CV341" s="34">
        <v>45991.0</v>
      </c>
      <c r="CW341" s="32">
        <v>82166.0</v>
      </c>
      <c r="CX341" s="32" t="s">
        <v>122</v>
      </c>
      <c r="CY341" s="32" t="s">
        <v>778</v>
      </c>
      <c r="CZ341" s="35">
        <v>263.2</v>
      </c>
      <c r="DA341" s="35">
        <v>1433.5</v>
      </c>
      <c r="DB341" s="35">
        <v>-20153.16</v>
      </c>
      <c r="DC341" s="35">
        <v>0.72</v>
      </c>
      <c r="DD341" s="35">
        <v>-426.96</v>
      </c>
      <c r="DE341" s="35">
        <v>-491.0</v>
      </c>
      <c r="DF341" s="32"/>
    </row>
    <row r="342" ht="13.5" customHeight="1">
      <c r="A342" s="32" t="s">
        <v>157</v>
      </c>
      <c r="B342" s="33">
        <v>44166.0</v>
      </c>
      <c r="C342" s="32" t="s">
        <v>124</v>
      </c>
      <c r="D342" s="32" t="s">
        <v>110</v>
      </c>
      <c r="E342" s="32" t="s">
        <v>111</v>
      </c>
      <c r="F342" s="32" t="s">
        <v>112</v>
      </c>
      <c r="G342" s="32" t="s">
        <v>113</v>
      </c>
      <c r="H342" s="32" t="s">
        <v>114</v>
      </c>
      <c r="I342" s="34">
        <v>44173.0</v>
      </c>
      <c r="J342" s="34">
        <v>44175.0</v>
      </c>
      <c r="K342" s="32">
        <f t="shared" si="1"/>
        <v>2</v>
      </c>
      <c r="L342" s="32">
        <v>1.0</v>
      </c>
      <c r="M342" s="32">
        <f t="shared" si="2"/>
        <v>1</v>
      </c>
      <c r="N342" s="34">
        <v>44187.0</v>
      </c>
      <c r="O342" s="34">
        <v>44258.0</v>
      </c>
      <c r="P342" s="32">
        <f t="shared" si="3"/>
        <v>71</v>
      </c>
      <c r="Q342" s="32">
        <v>90.0</v>
      </c>
      <c r="R342" s="32">
        <f t="shared" si="4"/>
        <v>-19</v>
      </c>
      <c r="S342" s="32" t="s">
        <v>905</v>
      </c>
      <c r="T342" s="32" t="s">
        <v>906</v>
      </c>
      <c r="U342" s="32" t="s">
        <v>117</v>
      </c>
      <c r="V342" s="32" t="s">
        <v>147</v>
      </c>
      <c r="W342" s="32" t="s">
        <v>133</v>
      </c>
      <c r="X342" s="32" t="s">
        <v>168</v>
      </c>
      <c r="Y342" s="32">
        <v>2020.0</v>
      </c>
      <c r="Z342" s="32" t="s">
        <v>135</v>
      </c>
      <c r="AA342" s="32">
        <v>2498.0</v>
      </c>
      <c r="AB342" s="32">
        <v>16.0</v>
      </c>
      <c r="AC342" s="32">
        <v>1.0</v>
      </c>
      <c r="AD342" s="35">
        <v>381826.09</v>
      </c>
      <c r="AE342" s="35">
        <v>76230.22</v>
      </c>
      <c r="AF342" s="36">
        <v>0.2</v>
      </c>
      <c r="AG342" s="35">
        <v>27346.82</v>
      </c>
      <c r="AH342" s="35">
        <v>1514.9</v>
      </c>
      <c r="AI342" s="32">
        <v>7.75</v>
      </c>
      <c r="AJ342" s="35">
        <v>160367.0</v>
      </c>
      <c r="AK342" s="32">
        <v>59.96</v>
      </c>
      <c r="AL342" s="34">
        <v>44258.0</v>
      </c>
      <c r="AM342" s="34">
        <v>46084.0</v>
      </c>
      <c r="AN342" s="32">
        <v>43.0</v>
      </c>
      <c r="AO342" s="32">
        <v>1500.0</v>
      </c>
      <c r="AP342" s="32">
        <v>79374.0</v>
      </c>
      <c r="AQ342" s="34">
        <v>45961.0</v>
      </c>
      <c r="AR342" s="32">
        <v>52951.0</v>
      </c>
      <c r="AS342" s="32">
        <v>54842.0</v>
      </c>
      <c r="AT342" s="32">
        <v>1891.0</v>
      </c>
      <c r="AU342" s="32">
        <v>53405.0</v>
      </c>
      <c r="AV342" s="32">
        <v>971.0</v>
      </c>
      <c r="AW342" s="35">
        <v>5291.29</v>
      </c>
      <c r="AX342" s="35">
        <v>1105.1</v>
      </c>
      <c r="AY342" s="35">
        <v>125.0</v>
      </c>
      <c r="AZ342" s="35">
        <v>291.0</v>
      </c>
      <c r="BA342" s="35">
        <v>1219.65</v>
      </c>
      <c r="BB342" s="35">
        <v>8032.04</v>
      </c>
      <c r="BC342" s="35">
        <v>1204.81</v>
      </c>
      <c r="BD342" s="35">
        <v>9236.85</v>
      </c>
      <c r="BE342" s="34">
        <v>45748.0</v>
      </c>
      <c r="BF342" s="34">
        <v>45838.0</v>
      </c>
      <c r="BG342" s="32">
        <v>50732.0</v>
      </c>
      <c r="BH342" s="32">
        <v>54842.0</v>
      </c>
      <c r="BI342" s="32">
        <v>4110.0</v>
      </c>
      <c r="BJ342" s="32">
        <v>4500.0</v>
      </c>
      <c r="BK342" s="32">
        <v>-390.0</v>
      </c>
      <c r="BL342" s="35">
        <v>0.71</v>
      </c>
      <c r="BM342" s="35">
        <v>3.09</v>
      </c>
      <c r="BN342" s="35">
        <v>0.0</v>
      </c>
      <c r="BO342" s="35">
        <v>0.0</v>
      </c>
      <c r="BP342" s="35">
        <v>0.0</v>
      </c>
      <c r="BQ342" s="35">
        <v>-42.71</v>
      </c>
      <c r="BR342" s="35">
        <v>0.0</v>
      </c>
      <c r="BS342" s="35">
        <v>0.0</v>
      </c>
      <c r="BT342" s="35">
        <v>0.0</v>
      </c>
      <c r="BU342" s="35">
        <v>0.0</v>
      </c>
      <c r="BV342" s="35">
        <v>0.0</v>
      </c>
      <c r="BW342" s="35">
        <v>0.0</v>
      </c>
      <c r="BX342" s="35">
        <v>0.0</v>
      </c>
      <c r="BY342" s="35">
        <v>4573.34</v>
      </c>
      <c r="BZ342" s="32">
        <v>0.0</v>
      </c>
      <c r="CA342" s="35">
        <v>0.0</v>
      </c>
      <c r="CB342" s="32">
        <v>0.0</v>
      </c>
      <c r="CC342" s="35">
        <v>0.0</v>
      </c>
      <c r="CD342" s="35">
        <v>0.0</v>
      </c>
      <c r="CE342" s="35">
        <v>0.0</v>
      </c>
      <c r="CF342" s="35">
        <v>0.0</v>
      </c>
      <c r="CG342" s="35">
        <v>0.0</v>
      </c>
      <c r="CH342" s="35">
        <v>8909.44</v>
      </c>
      <c r="CI342" s="35">
        <v>1162.1</v>
      </c>
      <c r="CJ342" s="35">
        <v>7747.34</v>
      </c>
      <c r="CK342" s="35">
        <v>4.1</v>
      </c>
      <c r="CL342" s="32">
        <v>0.0</v>
      </c>
      <c r="CM342" s="32">
        <v>0.0</v>
      </c>
      <c r="CN342" s="32">
        <v>0.0</v>
      </c>
      <c r="CO342" s="32">
        <v>100.0</v>
      </c>
      <c r="CP342" s="34"/>
      <c r="CQ342" s="32">
        <v>0.0</v>
      </c>
      <c r="CR342" s="32">
        <v>0.0</v>
      </c>
      <c r="CS342" s="32">
        <v>0.0</v>
      </c>
      <c r="CT342" s="32">
        <v>-46095.0</v>
      </c>
      <c r="CU342" s="34">
        <v>45991.0</v>
      </c>
      <c r="CV342" s="34">
        <v>45991.0</v>
      </c>
      <c r="CW342" s="32">
        <v>80811.0</v>
      </c>
      <c r="CX342" s="32" t="s">
        <v>122</v>
      </c>
      <c r="CY342" s="32" t="s">
        <v>778</v>
      </c>
      <c r="CZ342" s="35">
        <v>0.0</v>
      </c>
      <c r="DA342" s="35">
        <v>0.0</v>
      </c>
      <c r="DB342" s="35">
        <v>-28048.53</v>
      </c>
      <c r="DC342" s="35">
        <v>0.73</v>
      </c>
      <c r="DD342" s="35">
        <v>-284.7</v>
      </c>
      <c r="DE342" s="35">
        <v>-327.41</v>
      </c>
      <c r="DF342" s="32"/>
    </row>
    <row r="343" ht="13.5" customHeight="1">
      <c r="A343" s="32" t="s">
        <v>175</v>
      </c>
      <c r="B343" s="33">
        <v>44166.0</v>
      </c>
      <c r="C343" s="32" t="s">
        <v>136</v>
      </c>
      <c r="D343" s="32" t="s">
        <v>125</v>
      </c>
      <c r="E343" s="32" t="s">
        <v>126</v>
      </c>
      <c r="F343" s="32" t="s">
        <v>231</v>
      </c>
      <c r="G343" s="32" t="s">
        <v>113</v>
      </c>
      <c r="H343" s="32" t="s">
        <v>129</v>
      </c>
      <c r="I343" s="34">
        <v>44174.0</v>
      </c>
      <c r="J343" s="34">
        <v>44175.0</v>
      </c>
      <c r="K343" s="32">
        <f t="shared" si="1"/>
        <v>1</v>
      </c>
      <c r="L343" s="32">
        <v>1.0</v>
      </c>
      <c r="M343" s="32">
        <f t="shared" si="2"/>
        <v>0</v>
      </c>
      <c r="N343" s="34">
        <v>44188.0</v>
      </c>
      <c r="O343" s="34">
        <v>44257.0</v>
      </c>
      <c r="P343" s="32">
        <f t="shared" si="3"/>
        <v>69</v>
      </c>
      <c r="Q343" s="32">
        <v>90.0</v>
      </c>
      <c r="R343" s="32">
        <f t="shared" si="4"/>
        <v>-21</v>
      </c>
      <c r="S343" s="32" t="s">
        <v>907</v>
      </c>
      <c r="T343" s="32" t="s">
        <v>908</v>
      </c>
      <c r="U343" s="32" t="s">
        <v>117</v>
      </c>
      <c r="V343" s="32" t="s">
        <v>132</v>
      </c>
      <c r="W343" s="32" t="s">
        <v>133</v>
      </c>
      <c r="X343" s="32" t="s">
        <v>164</v>
      </c>
      <c r="Y343" s="32">
        <v>2020.0</v>
      </c>
      <c r="Z343" s="32" t="s">
        <v>135</v>
      </c>
      <c r="AA343" s="32">
        <v>2498.0</v>
      </c>
      <c r="AB343" s="32">
        <v>16.0</v>
      </c>
      <c r="AC343" s="32">
        <v>5.0</v>
      </c>
      <c r="AD343" s="35">
        <v>305826.09</v>
      </c>
      <c r="AE343" s="35">
        <v>59813.53</v>
      </c>
      <c r="AF343" s="36">
        <v>0.2</v>
      </c>
      <c r="AG343" s="35">
        <v>22681.93</v>
      </c>
      <c r="AH343" s="35">
        <v>2101.0</v>
      </c>
      <c r="AI343" s="32">
        <v>7.75</v>
      </c>
      <c r="AJ343" s="35">
        <v>137622.0</v>
      </c>
      <c r="AK343" s="32">
        <v>45.0</v>
      </c>
      <c r="AL343" s="34">
        <v>44257.0</v>
      </c>
      <c r="AM343" s="34">
        <v>46083.0</v>
      </c>
      <c r="AN343" s="32">
        <v>60.0</v>
      </c>
      <c r="AO343" s="32">
        <v>2500.0</v>
      </c>
      <c r="AP343" s="32">
        <v>150000.0</v>
      </c>
      <c r="AQ343" s="34">
        <v>45991.0</v>
      </c>
      <c r="AR343" s="32">
        <v>122181.0</v>
      </c>
      <c r="AS343" s="32">
        <v>124414.0</v>
      </c>
      <c r="AT343" s="32">
        <v>2233.0</v>
      </c>
      <c r="AU343" s="32">
        <v>122991.0</v>
      </c>
      <c r="AV343" s="32">
        <v>2236.0</v>
      </c>
      <c r="AW343" s="35">
        <v>4263.03</v>
      </c>
      <c r="AX343" s="35">
        <v>1242.05</v>
      </c>
      <c r="AY343" s="35">
        <v>125.0</v>
      </c>
      <c r="AZ343" s="35">
        <v>291.0</v>
      </c>
      <c r="BA343" s="35">
        <v>1185.78</v>
      </c>
      <c r="BB343" s="35">
        <v>7106.86</v>
      </c>
      <c r="BC343" s="35">
        <v>1066.03</v>
      </c>
      <c r="BD343" s="35">
        <v>8172.89</v>
      </c>
      <c r="BE343" s="34">
        <v>45748.0</v>
      </c>
      <c r="BF343" s="34">
        <v>45838.0</v>
      </c>
      <c r="BG343" s="32">
        <v>118846.0</v>
      </c>
      <c r="BH343" s="32">
        <v>124414.0</v>
      </c>
      <c r="BI343" s="32">
        <v>5568.0</v>
      </c>
      <c r="BJ343" s="32">
        <v>7500.0</v>
      </c>
      <c r="BK343" s="32">
        <v>-1932.0</v>
      </c>
      <c r="BL343" s="35">
        <v>0.58</v>
      </c>
      <c r="BM343" s="35">
        <v>1.32</v>
      </c>
      <c r="BN343" s="35">
        <v>0.0</v>
      </c>
      <c r="BO343" s="35">
        <v>0.0</v>
      </c>
      <c r="BP343" s="35">
        <v>0.0</v>
      </c>
      <c r="BQ343" s="35">
        <v>-144.9</v>
      </c>
      <c r="BR343" s="35">
        <v>0.0</v>
      </c>
      <c r="BS343" s="35">
        <v>0.0</v>
      </c>
      <c r="BT343" s="35">
        <v>0.0</v>
      </c>
      <c r="BU343" s="35">
        <v>0.0</v>
      </c>
      <c r="BV343" s="35">
        <v>0.0</v>
      </c>
      <c r="BW343" s="35">
        <v>0.0</v>
      </c>
      <c r="BX343" s="35">
        <v>0.0</v>
      </c>
      <c r="BY343" s="35">
        <v>4029.49</v>
      </c>
      <c r="BZ343" s="32">
        <v>0.0</v>
      </c>
      <c r="CA343" s="35">
        <v>0.0</v>
      </c>
      <c r="CB343" s="32">
        <v>0.0</v>
      </c>
      <c r="CC343" s="35">
        <v>0.0</v>
      </c>
      <c r="CD343" s="35">
        <v>0.0</v>
      </c>
      <c r="CE343" s="35">
        <v>0.0</v>
      </c>
      <c r="CF343" s="35">
        <v>0.0</v>
      </c>
      <c r="CG343" s="35">
        <v>0.0</v>
      </c>
      <c r="CH343" s="35">
        <v>7061.99</v>
      </c>
      <c r="CI343" s="35">
        <v>921.13</v>
      </c>
      <c r="CJ343" s="35">
        <v>6140.86</v>
      </c>
      <c r="CK343" s="35">
        <v>2.75</v>
      </c>
      <c r="CL343" s="32">
        <v>0.0</v>
      </c>
      <c r="CM343" s="32">
        <v>0.0</v>
      </c>
      <c r="CN343" s="32">
        <v>0.0</v>
      </c>
      <c r="CO343" s="32">
        <v>100.0</v>
      </c>
      <c r="CP343" s="34"/>
      <c r="CQ343" s="32">
        <v>0.0</v>
      </c>
      <c r="CR343" s="32">
        <v>0.0</v>
      </c>
      <c r="CS343" s="32">
        <v>0.0</v>
      </c>
      <c r="CT343" s="32">
        <v>-14509.0</v>
      </c>
      <c r="CU343" s="34">
        <v>45991.0</v>
      </c>
      <c r="CV343" s="34">
        <v>45991.0</v>
      </c>
      <c r="CW343" s="32">
        <v>151423.0</v>
      </c>
      <c r="CX343" s="32" t="s">
        <v>122</v>
      </c>
      <c r="CY343" s="32" t="s">
        <v>778</v>
      </c>
      <c r="CZ343" s="35">
        <v>2478.96</v>
      </c>
      <c r="DA343" s="35">
        <v>5665.92</v>
      </c>
      <c r="DB343" s="35">
        <v>-8315.04</v>
      </c>
      <c r="DC343" s="35">
        <v>0.5</v>
      </c>
      <c r="DD343" s="35">
        <v>-966.0</v>
      </c>
      <c r="DE343" s="35">
        <v>-1110.9</v>
      </c>
      <c r="DF343" s="32"/>
    </row>
    <row r="344" ht="13.5" customHeight="1">
      <c r="A344" s="32" t="s">
        <v>175</v>
      </c>
      <c r="B344" s="33">
        <v>44166.0</v>
      </c>
      <c r="C344" s="32" t="s">
        <v>109</v>
      </c>
      <c r="D344" s="32" t="s">
        <v>137</v>
      </c>
      <c r="E344" s="32" t="s">
        <v>138</v>
      </c>
      <c r="F344" s="32" t="s">
        <v>231</v>
      </c>
      <c r="G344" s="32" t="s">
        <v>113</v>
      </c>
      <c r="H344" s="32" t="s">
        <v>141</v>
      </c>
      <c r="I344" s="34">
        <v>44175.0</v>
      </c>
      <c r="J344" s="34">
        <v>44177.0</v>
      </c>
      <c r="K344" s="32">
        <f t="shared" si="1"/>
        <v>2</v>
      </c>
      <c r="L344" s="32">
        <v>1.0</v>
      </c>
      <c r="M344" s="32">
        <f t="shared" si="2"/>
        <v>1</v>
      </c>
      <c r="N344" s="34">
        <v>44189.0</v>
      </c>
      <c r="O344" s="34">
        <v>44258.0</v>
      </c>
      <c r="P344" s="32">
        <f t="shared" si="3"/>
        <v>69</v>
      </c>
      <c r="Q344" s="32">
        <v>90.0</v>
      </c>
      <c r="R344" s="32">
        <f t="shared" si="4"/>
        <v>-21</v>
      </c>
      <c r="S344" s="32" t="s">
        <v>909</v>
      </c>
      <c r="T344" s="32" t="s">
        <v>910</v>
      </c>
      <c r="U344" s="32" t="s">
        <v>117</v>
      </c>
      <c r="V344" s="32" t="s">
        <v>132</v>
      </c>
      <c r="W344" s="32" t="s">
        <v>133</v>
      </c>
      <c r="X344" s="32" t="s">
        <v>164</v>
      </c>
      <c r="Y344" s="32">
        <v>2020.0</v>
      </c>
      <c r="Z344" s="32" t="s">
        <v>135</v>
      </c>
      <c r="AA344" s="32">
        <v>2498.0</v>
      </c>
      <c r="AB344" s="32">
        <v>16.0</v>
      </c>
      <c r="AC344" s="32">
        <v>1.0</v>
      </c>
      <c r="AD344" s="35">
        <v>305826.09</v>
      </c>
      <c r="AE344" s="35">
        <v>59813.53</v>
      </c>
      <c r="AF344" s="36">
        <v>0.2</v>
      </c>
      <c r="AG344" s="35">
        <v>30366.05</v>
      </c>
      <c r="AH344" s="35">
        <v>2117.5</v>
      </c>
      <c r="AI344" s="32">
        <v>7.75</v>
      </c>
      <c r="AJ344" s="35">
        <v>137622.0</v>
      </c>
      <c r="AK344" s="32">
        <v>45.0</v>
      </c>
      <c r="AL344" s="34">
        <v>44258.0</v>
      </c>
      <c r="AM344" s="34">
        <v>46084.0</v>
      </c>
      <c r="AN344" s="32">
        <v>60.0</v>
      </c>
      <c r="AO344" s="32">
        <v>2500.0</v>
      </c>
      <c r="AP344" s="32">
        <v>150000.0</v>
      </c>
      <c r="AQ344" s="34">
        <v>45991.0</v>
      </c>
      <c r="AR344" s="32">
        <v>77558.0</v>
      </c>
      <c r="AS344" s="32">
        <v>78766.0</v>
      </c>
      <c r="AT344" s="32">
        <v>1208.0</v>
      </c>
      <c r="AU344" s="32">
        <v>77337.0</v>
      </c>
      <c r="AV344" s="32">
        <v>1432.0</v>
      </c>
      <c r="AW344" s="35">
        <v>4470.96</v>
      </c>
      <c r="AX344" s="35">
        <v>1242.05</v>
      </c>
      <c r="AY344" s="35">
        <v>126.87</v>
      </c>
      <c r="AZ344" s="35">
        <v>291.0</v>
      </c>
      <c r="BA344" s="35">
        <v>1185.78</v>
      </c>
      <c r="BB344" s="35">
        <v>7316.66</v>
      </c>
      <c r="BC344" s="35">
        <v>1097.5</v>
      </c>
      <c r="BD344" s="35">
        <v>8414.16</v>
      </c>
      <c r="BE344" s="34">
        <v>45748.0</v>
      </c>
      <c r="BF344" s="34">
        <v>45838.0</v>
      </c>
      <c r="BG344" s="32">
        <v>73804.0</v>
      </c>
      <c r="BH344" s="32">
        <v>78766.0</v>
      </c>
      <c r="BI344" s="32">
        <v>4962.0</v>
      </c>
      <c r="BJ344" s="32">
        <v>7500.0</v>
      </c>
      <c r="BK344" s="32">
        <v>-2538.0</v>
      </c>
      <c r="BL344" s="35">
        <v>0.58</v>
      </c>
      <c r="BM344" s="35">
        <v>1.32</v>
      </c>
      <c r="BN344" s="35">
        <v>0.0</v>
      </c>
      <c r="BO344" s="35">
        <v>0.0</v>
      </c>
      <c r="BP344" s="35">
        <v>0.0</v>
      </c>
      <c r="BQ344" s="35">
        <v>-186.54</v>
      </c>
      <c r="BR344" s="35">
        <v>0.0</v>
      </c>
      <c r="BS344" s="35">
        <v>0.0</v>
      </c>
      <c r="BT344" s="35">
        <v>0.0</v>
      </c>
      <c r="BU344" s="35">
        <v>0.0</v>
      </c>
      <c r="BV344" s="35">
        <v>0.0</v>
      </c>
      <c r="BW344" s="35">
        <v>0.0</v>
      </c>
      <c r="BX344" s="35">
        <v>0.0</v>
      </c>
      <c r="BY344" s="35">
        <v>2611.25</v>
      </c>
      <c r="BZ344" s="32">
        <v>0.0</v>
      </c>
      <c r="CA344" s="35">
        <v>0.0</v>
      </c>
      <c r="CB344" s="32">
        <v>0.0</v>
      </c>
      <c r="CC344" s="35">
        <v>0.0</v>
      </c>
      <c r="CD344" s="35">
        <v>0.0</v>
      </c>
      <c r="CE344" s="35">
        <v>0.0</v>
      </c>
      <c r="CF344" s="35">
        <v>0.0</v>
      </c>
      <c r="CG344" s="35">
        <v>0.0</v>
      </c>
      <c r="CH344" s="35">
        <v>6984.0</v>
      </c>
      <c r="CI344" s="35">
        <v>910.96</v>
      </c>
      <c r="CJ344" s="35">
        <v>6073.04</v>
      </c>
      <c r="CK344" s="35">
        <v>5.03</v>
      </c>
      <c r="CL344" s="32">
        <v>0.0</v>
      </c>
      <c r="CM344" s="32">
        <v>0.0</v>
      </c>
      <c r="CN344" s="32">
        <v>0.0</v>
      </c>
      <c r="CO344" s="32">
        <v>100.0</v>
      </c>
      <c r="CP344" s="34"/>
      <c r="CQ344" s="32">
        <v>0.0</v>
      </c>
      <c r="CR344" s="32">
        <v>0.0</v>
      </c>
      <c r="CS344" s="32">
        <v>0.0</v>
      </c>
      <c r="CT344" s="32">
        <v>-57663.0</v>
      </c>
      <c r="CU344" s="34">
        <v>46022.0</v>
      </c>
      <c r="CV344" s="34">
        <v>46022.0</v>
      </c>
      <c r="CW344" s="32">
        <v>151429.0</v>
      </c>
      <c r="CX344" s="32" t="s">
        <v>122</v>
      </c>
      <c r="CY344" s="32" t="s">
        <v>778</v>
      </c>
      <c r="CZ344" s="35">
        <v>0.0</v>
      </c>
      <c r="DA344" s="35">
        <v>0.0</v>
      </c>
      <c r="DB344" s="35">
        <v>-26435.39</v>
      </c>
      <c r="DC344" s="35">
        <v>0.49</v>
      </c>
      <c r="DD344" s="35">
        <v>-1243.62</v>
      </c>
      <c r="DE344" s="35">
        <v>-1430.16</v>
      </c>
      <c r="DF344" s="32"/>
    </row>
    <row r="345" ht="13.5" customHeight="1">
      <c r="A345" s="32" t="s">
        <v>175</v>
      </c>
      <c r="B345" s="33">
        <v>44166.0</v>
      </c>
      <c r="C345" s="32" t="s">
        <v>124</v>
      </c>
      <c r="D345" s="32" t="s">
        <v>110</v>
      </c>
      <c r="E345" s="32" t="s">
        <v>111</v>
      </c>
      <c r="F345" s="32" t="s">
        <v>231</v>
      </c>
      <c r="G345" s="32" t="s">
        <v>113</v>
      </c>
      <c r="H345" s="32" t="s">
        <v>114</v>
      </c>
      <c r="I345" s="34">
        <v>44177.0</v>
      </c>
      <c r="J345" s="34">
        <v>44177.0</v>
      </c>
      <c r="K345" s="32">
        <f t="shared" si="1"/>
        <v>0</v>
      </c>
      <c r="L345" s="32">
        <v>1.0</v>
      </c>
      <c r="M345" s="32">
        <f t="shared" si="2"/>
        <v>-1</v>
      </c>
      <c r="N345" s="34">
        <v>44190.0</v>
      </c>
      <c r="O345" s="34">
        <v>44259.0</v>
      </c>
      <c r="P345" s="32">
        <f t="shared" si="3"/>
        <v>69</v>
      </c>
      <c r="Q345" s="32">
        <v>90.0</v>
      </c>
      <c r="R345" s="32">
        <f t="shared" si="4"/>
        <v>-21</v>
      </c>
      <c r="S345" s="32" t="s">
        <v>911</v>
      </c>
      <c r="T345" s="32" t="s">
        <v>912</v>
      </c>
      <c r="U345" s="32" t="s">
        <v>117</v>
      </c>
      <c r="V345" s="32" t="s">
        <v>190</v>
      </c>
      <c r="W345" s="32" t="s">
        <v>119</v>
      </c>
      <c r="X345" s="32" t="s">
        <v>548</v>
      </c>
      <c r="Y345" s="32">
        <v>2020.0</v>
      </c>
      <c r="Z345" s="32" t="s">
        <v>121</v>
      </c>
      <c r="AA345" s="32">
        <v>1498.0</v>
      </c>
      <c r="AB345" s="32">
        <v>16.0</v>
      </c>
      <c r="AC345" s="32">
        <v>2.0</v>
      </c>
      <c r="AD345" s="35">
        <v>234608.7</v>
      </c>
      <c r="AE345" s="35">
        <v>47981.01</v>
      </c>
      <c r="AF345" s="36">
        <v>0.2</v>
      </c>
      <c r="AG345" s="35">
        <v>8092.44</v>
      </c>
      <c r="AH345" s="35">
        <v>1704.0</v>
      </c>
      <c r="AI345" s="32">
        <v>7.75</v>
      </c>
      <c r="AJ345" s="35">
        <v>82113.0</v>
      </c>
      <c r="AK345" s="32">
        <v>35.0</v>
      </c>
      <c r="AL345" s="34">
        <v>44259.0</v>
      </c>
      <c r="AM345" s="34">
        <v>46085.0</v>
      </c>
      <c r="AN345" s="32">
        <v>60.0</v>
      </c>
      <c r="AO345" s="32">
        <v>2500.0</v>
      </c>
      <c r="AP345" s="32">
        <v>150000.0</v>
      </c>
      <c r="AQ345" s="34">
        <v>45991.0</v>
      </c>
      <c r="AR345" s="32">
        <v>72810.0</v>
      </c>
      <c r="AS345" s="32">
        <v>76765.0</v>
      </c>
      <c r="AT345" s="32">
        <v>3955.0</v>
      </c>
      <c r="AU345" s="32">
        <v>75304.0</v>
      </c>
      <c r="AV345" s="32">
        <v>1369.0</v>
      </c>
      <c r="AW345" s="35">
        <v>3469.82</v>
      </c>
      <c r="AX345" s="35">
        <v>709.75</v>
      </c>
      <c r="AY345" s="35">
        <v>115.0</v>
      </c>
      <c r="AZ345" s="35">
        <v>291.0</v>
      </c>
      <c r="BA345" s="35">
        <v>1382.17</v>
      </c>
      <c r="BB345" s="35">
        <v>5967.74</v>
      </c>
      <c r="BC345" s="35">
        <v>895.16</v>
      </c>
      <c r="BD345" s="35">
        <v>6862.9</v>
      </c>
      <c r="BE345" s="34">
        <v>45748.0</v>
      </c>
      <c r="BF345" s="34">
        <v>45838.0</v>
      </c>
      <c r="BG345" s="32">
        <v>69056.0</v>
      </c>
      <c r="BH345" s="32">
        <v>76765.0</v>
      </c>
      <c r="BI345" s="32">
        <v>7709.0</v>
      </c>
      <c r="BJ345" s="32">
        <v>7500.0</v>
      </c>
      <c r="BK345" s="32">
        <v>209.0</v>
      </c>
      <c r="BL345" s="35">
        <v>0.32</v>
      </c>
      <c r="BM345" s="35">
        <v>1.21</v>
      </c>
      <c r="BN345" s="35">
        <v>0.0</v>
      </c>
      <c r="BO345" s="35">
        <v>0.0</v>
      </c>
      <c r="BP345" s="35">
        <v>0.0</v>
      </c>
      <c r="BQ345" s="35">
        <v>0.0</v>
      </c>
      <c r="BR345" s="35">
        <v>0.0</v>
      </c>
      <c r="BS345" s="35">
        <v>0.0</v>
      </c>
      <c r="BT345" s="35">
        <v>0.0</v>
      </c>
      <c r="BU345" s="35">
        <v>0.0</v>
      </c>
      <c r="BV345" s="35">
        <v>0.0</v>
      </c>
      <c r="BW345" s="35">
        <v>0.0</v>
      </c>
      <c r="BX345" s="35">
        <v>0.0</v>
      </c>
      <c r="BY345" s="35">
        <v>5626.47</v>
      </c>
      <c r="BZ345" s="32">
        <v>0.0</v>
      </c>
      <c r="CA345" s="35">
        <v>0.0</v>
      </c>
      <c r="CB345" s="32">
        <v>0.0</v>
      </c>
      <c r="CC345" s="35">
        <v>0.0</v>
      </c>
      <c r="CD345" s="35">
        <v>0.0</v>
      </c>
      <c r="CE345" s="35">
        <v>0.0</v>
      </c>
      <c r="CF345" s="35">
        <v>0.0</v>
      </c>
      <c r="CG345" s="35">
        <v>0.0</v>
      </c>
      <c r="CH345" s="35">
        <v>6862.9</v>
      </c>
      <c r="CI345" s="35">
        <v>895.16</v>
      </c>
      <c r="CJ345" s="35">
        <v>5967.74</v>
      </c>
      <c r="CK345" s="35">
        <v>1.51</v>
      </c>
      <c r="CL345" s="32">
        <v>0.0</v>
      </c>
      <c r="CM345" s="32">
        <v>0.0</v>
      </c>
      <c r="CN345" s="32">
        <v>0.0</v>
      </c>
      <c r="CO345" s="32">
        <v>100.0</v>
      </c>
      <c r="CP345" s="34"/>
      <c r="CQ345" s="32">
        <v>0.0</v>
      </c>
      <c r="CR345" s="32">
        <v>0.0</v>
      </c>
      <c r="CS345" s="32">
        <v>0.0</v>
      </c>
      <c r="CT345" s="32">
        <v>-62196.0</v>
      </c>
      <c r="CU345" s="34">
        <v>45991.0</v>
      </c>
      <c r="CV345" s="34">
        <v>45991.0</v>
      </c>
      <c r="CW345" s="32">
        <v>151461.0</v>
      </c>
      <c r="CX345" s="32" t="s">
        <v>122</v>
      </c>
      <c r="CY345" s="32" t="s">
        <v>778</v>
      </c>
      <c r="CZ345" s="35">
        <v>1186.56</v>
      </c>
      <c r="DA345" s="35">
        <v>4465.91</v>
      </c>
      <c r="DB345" s="35">
        <v>-17513.47</v>
      </c>
      <c r="DC345" s="35">
        <v>0.28</v>
      </c>
      <c r="DD345" s="35">
        <v>0.0</v>
      </c>
      <c r="DE345" s="35">
        <v>0.0</v>
      </c>
      <c r="DF345" s="32"/>
    </row>
    <row r="346" ht="13.5" customHeight="1">
      <c r="A346" s="32" t="s">
        <v>175</v>
      </c>
      <c r="B346" s="33">
        <v>44166.0</v>
      </c>
      <c r="C346" s="32" t="s">
        <v>136</v>
      </c>
      <c r="D346" s="32" t="s">
        <v>125</v>
      </c>
      <c r="E346" s="32" t="s">
        <v>126</v>
      </c>
      <c r="F346" s="32" t="s">
        <v>231</v>
      </c>
      <c r="G346" s="32" t="s">
        <v>113</v>
      </c>
      <c r="H346" s="32" t="s">
        <v>129</v>
      </c>
      <c r="I346" s="34">
        <v>44177.0</v>
      </c>
      <c r="J346" s="34">
        <v>44178.0</v>
      </c>
      <c r="K346" s="32">
        <f t="shared" si="1"/>
        <v>1</v>
      </c>
      <c r="L346" s="32">
        <v>1.0</v>
      </c>
      <c r="M346" s="32">
        <f t="shared" si="2"/>
        <v>0</v>
      </c>
      <c r="N346" s="34">
        <v>44191.0</v>
      </c>
      <c r="O346" s="34">
        <v>44260.0</v>
      </c>
      <c r="P346" s="32">
        <f t="shared" si="3"/>
        <v>69</v>
      </c>
      <c r="Q346" s="32">
        <v>90.0</v>
      </c>
      <c r="R346" s="32">
        <f t="shared" si="4"/>
        <v>-21</v>
      </c>
      <c r="S346" s="32" t="s">
        <v>913</v>
      </c>
      <c r="T346" s="32" t="s">
        <v>914</v>
      </c>
      <c r="U346" s="32" t="s">
        <v>117</v>
      </c>
      <c r="V346" s="32" t="s">
        <v>132</v>
      </c>
      <c r="W346" s="32" t="s">
        <v>133</v>
      </c>
      <c r="X346" s="32" t="s">
        <v>164</v>
      </c>
      <c r="Y346" s="32">
        <v>2023.0</v>
      </c>
      <c r="Z346" s="32" t="s">
        <v>135</v>
      </c>
      <c r="AA346" s="32">
        <v>2498.0</v>
      </c>
      <c r="AB346" s="32">
        <v>16.0</v>
      </c>
      <c r="AC346" s="32">
        <v>0.0</v>
      </c>
      <c r="AD346" s="35">
        <v>342695.65</v>
      </c>
      <c r="AE346" s="35">
        <v>67555.86</v>
      </c>
      <c r="AF346" s="36">
        <v>0.2</v>
      </c>
      <c r="AG346" s="35">
        <v>23125.84</v>
      </c>
      <c r="AH346" s="35">
        <v>10192.5</v>
      </c>
      <c r="AI346" s="32">
        <v>7.75</v>
      </c>
      <c r="AJ346" s="35">
        <v>154213.0</v>
      </c>
      <c r="AK346" s="32">
        <v>45.0</v>
      </c>
      <c r="AL346" s="34">
        <v>44260.0</v>
      </c>
      <c r="AM346" s="34">
        <v>46086.0</v>
      </c>
      <c r="AN346" s="32">
        <v>60.0</v>
      </c>
      <c r="AO346" s="32">
        <v>2500.0</v>
      </c>
      <c r="AP346" s="32">
        <v>150000.0</v>
      </c>
      <c r="AQ346" s="34">
        <v>46053.0</v>
      </c>
      <c r="AR346" s="32">
        <v>30237.0</v>
      </c>
      <c r="AS346" s="32">
        <v>31063.0</v>
      </c>
      <c r="AT346" s="32">
        <v>826.0</v>
      </c>
      <c r="AU346" s="32">
        <v>29598.0</v>
      </c>
      <c r="AV346" s="32">
        <v>1057.0</v>
      </c>
      <c r="AW346" s="35">
        <v>4887.65</v>
      </c>
      <c r="AX346" s="35">
        <v>1231.4</v>
      </c>
      <c r="AY346" s="35">
        <v>125.0</v>
      </c>
      <c r="AZ346" s="35">
        <v>290.99</v>
      </c>
      <c r="BA346" s="35">
        <v>1083.24</v>
      </c>
      <c r="BB346" s="35">
        <v>7618.28</v>
      </c>
      <c r="BC346" s="35">
        <v>1142.74</v>
      </c>
      <c r="BD346" s="35">
        <v>8761.02</v>
      </c>
      <c r="BE346" s="34">
        <v>45748.0</v>
      </c>
      <c r="BF346" s="34">
        <v>45838.0</v>
      </c>
      <c r="BG346" s="32">
        <v>29312.0</v>
      </c>
      <c r="BH346" s="32">
        <v>31063.0</v>
      </c>
      <c r="BI346" s="32">
        <v>1751.0</v>
      </c>
      <c r="BJ346" s="32">
        <v>7500.0</v>
      </c>
      <c r="BK346" s="32">
        <v>-5749.0</v>
      </c>
      <c r="BL346" s="35">
        <v>0.57</v>
      </c>
      <c r="BM346" s="35">
        <v>1.32</v>
      </c>
      <c r="BN346" s="35">
        <v>0.0</v>
      </c>
      <c r="BO346" s="35">
        <v>0.0</v>
      </c>
      <c r="BP346" s="35">
        <v>0.0</v>
      </c>
      <c r="BQ346" s="35">
        <v>-422.55</v>
      </c>
      <c r="BR346" s="35">
        <v>0.0</v>
      </c>
      <c r="BS346" s="35">
        <v>0.0</v>
      </c>
      <c r="BT346" s="35">
        <v>0.0</v>
      </c>
      <c r="BU346" s="35">
        <v>0.0</v>
      </c>
      <c r="BV346" s="35">
        <v>0.0</v>
      </c>
      <c r="BW346" s="35">
        <v>0.0</v>
      </c>
      <c r="BX346" s="35">
        <v>0.0</v>
      </c>
      <c r="BY346" s="35">
        <v>1152.45</v>
      </c>
      <c r="BZ346" s="32">
        <v>0.0</v>
      </c>
      <c r="CA346" s="35">
        <v>0.0</v>
      </c>
      <c r="CB346" s="32">
        <v>0.0</v>
      </c>
      <c r="CC346" s="35">
        <v>0.0</v>
      </c>
      <c r="CD346" s="35">
        <v>0.0</v>
      </c>
      <c r="CE346" s="35">
        <v>0.0</v>
      </c>
      <c r="CF346" s="35">
        <v>0.0</v>
      </c>
      <c r="CG346" s="35">
        <v>0.0</v>
      </c>
      <c r="CH346" s="35">
        <v>5521.46</v>
      </c>
      <c r="CI346" s="35">
        <v>720.19</v>
      </c>
      <c r="CJ346" s="35">
        <v>4801.27</v>
      </c>
      <c r="CK346" s="35">
        <v>5.81</v>
      </c>
      <c r="CL346" s="32">
        <v>0.0</v>
      </c>
      <c r="CM346" s="32">
        <v>0.0</v>
      </c>
      <c r="CN346" s="32">
        <v>0.0</v>
      </c>
      <c r="CO346" s="32">
        <v>100.0</v>
      </c>
      <c r="CP346" s="34"/>
      <c r="CQ346" s="32">
        <v>0.0</v>
      </c>
      <c r="CR346" s="32">
        <v>0.0</v>
      </c>
      <c r="CS346" s="32">
        <v>0.0</v>
      </c>
      <c r="CT346" s="32">
        <v>-40977.0</v>
      </c>
      <c r="CU346" s="34">
        <v>46812.0</v>
      </c>
      <c r="CV346" s="34">
        <v>46812.0</v>
      </c>
      <c r="CW346" s="32">
        <v>151465.0</v>
      </c>
      <c r="CX346" s="32" t="s">
        <v>122</v>
      </c>
      <c r="CY346" s="32" t="s">
        <v>778</v>
      </c>
      <c r="CZ346" s="35">
        <v>1798.74</v>
      </c>
      <c r="DA346" s="35">
        <v>4197.06</v>
      </c>
      <c r="DB346" s="35">
        <v>-21527.1</v>
      </c>
      <c r="DC346" s="35">
        <v>0.49</v>
      </c>
      <c r="DD346" s="35">
        <v>-2817.01</v>
      </c>
      <c r="DE346" s="35">
        <v>-3239.56</v>
      </c>
      <c r="DF346" s="32"/>
    </row>
    <row r="347" ht="13.5" customHeight="1">
      <c r="A347" s="32" t="s">
        <v>175</v>
      </c>
      <c r="B347" s="33">
        <v>44166.0</v>
      </c>
      <c r="C347" s="32" t="s">
        <v>109</v>
      </c>
      <c r="D347" s="32" t="s">
        <v>137</v>
      </c>
      <c r="E347" s="32" t="s">
        <v>138</v>
      </c>
      <c r="F347" s="32" t="s">
        <v>838</v>
      </c>
      <c r="G347" s="32" t="s">
        <v>113</v>
      </c>
      <c r="H347" s="32" t="s">
        <v>141</v>
      </c>
      <c r="I347" s="34">
        <v>44178.0</v>
      </c>
      <c r="J347" s="34">
        <v>44179.0</v>
      </c>
      <c r="K347" s="32">
        <f t="shared" si="1"/>
        <v>1</v>
      </c>
      <c r="L347" s="32">
        <v>1.0</v>
      </c>
      <c r="M347" s="32">
        <f t="shared" si="2"/>
        <v>0</v>
      </c>
      <c r="N347" s="34">
        <v>44192.0</v>
      </c>
      <c r="O347" s="34">
        <v>44261.0</v>
      </c>
      <c r="P347" s="32">
        <f t="shared" si="3"/>
        <v>69</v>
      </c>
      <c r="Q347" s="32">
        <v>90.0</v>
      </c>
      <c r="R347" s="32">
        <f t="shared" si="4"/>
        <v>-21</v>
      </c>
      <c r="S347" s="32" t="s">
        <v>915</v>
      </c>
      <c r="T347" s="32" t="s">
        <v>916</v>
      </c>
      <c r="U347" s="32" t="s">
        <v>117</v>
      </c>
      <c r="V347" s="32" t="s">
        <v>207</v>
      </c>
      <c r="W347" s="32" t="s">
        <v>199</v>
      </c>
      <c r="X347" s="32" t="s">
        <v>225</v>
      </c>
      <c r="Y347" s="32">
        <v>2024.0</v>
      </c>
      <c r="Z347" s="32" t="s">
        <v>135</v>
      </c>
      <c r="AA347" s="32">
        <v>2498.0</v>
      </c>
      <c r="AB347" s="32">
        <v>16.0</v>
      </c>
      <c r="AC347" s="32">
        <v>3.0</v>
      </c>
      <c r="AD347" s="35">
        <v>710174.0</v>
      </c>
      <c r="AE347" s="35">
        <v>77511.87</v>
      </c>
      <c r="AF347" s="36">
        <v>0.11</v>
      </c>
      <c r="AG347" s="35">
        <v>78000.63</v>
      </c>
      <c r="AH347" s="35">
        <v>2711.0</v>
      </c>
      <c r="AI347" s="32">
        <v>7.75</v>
      </c>
      <c r="AJ347" s="35">
        <v>326680.0</v>
      </c>
      <c r="AK347" s="32">
        <v>46.0</v>
      </c>
      <c r="AL347" s="34">
        <v>44261.0</v>
      </c>
      <c r="AM347" s="34">
        <v>46087.0</v>
      </c>
      <c r="AN347" s="32">
        <v>60.0</v>
      </c>
      <c r="AO347" s="32">
        <v>3000.0</v>
      </c>
      <c r="AP347" s="32">
        <v>180000.0</v>
      </c>
      <c r="AQ347" s="34">
        <v>46234.0</v>
      </c>
      <c r="AR347" s="32">
        <v>46437.0</v>
      </c>
      <c r="AS347" s="32">
        <v>51749.0</v>
      </c>
      <c r="AT347" s="32">
        <v>5312.0</v>
      </c>
      <c r="AU347" s="32">
        <v>50153.0</v>
      </c>
      <c r="AV347" s="32">
        <v>5573.0</v>
      </c>
      <c r="AW347" s="35">
        <v>10955.42</v>
      </c>
      <c r="AX347" s="35">
        <v>1230.0</v>
      </c>
      <c r="AY347" s="35">
        <v>190.0</v>
      </c>
      <c r="AZ347" s="35">
        <v>290.99</v>
      </c>
      <c r="BA347" s="35">
        <v>1083.24</v>
      </c>
      <c r="BB347" s="35">
        <v>13749.65</v>
      </c>
      <c r="BC347" s="35">
        <v>2062.45</v>
      </c>
      <c r="BD347" s="35">
        <v>15812.1</v>
      </c>
      <c r="BE347" s="34">
        <v>45748.0</v>
      </c>
      <c r="BF347" s="34">
        <v>45838.0</v>
      </c>
      <c r="BG347" s="32">
        <v>35140.0</v>
      </c>
      <c r="BH347" s="32">
        <v>51749.0</v>
      </c>
      <c r="BI347" s="32">
        <v>16609.0</v>
      </c>
      <c r="BJ347" s="32">
        <v>9000.0</v>
      </c>
      <c r="BK347" s="32">
        <v>7609.0</v>
      </c>
      <c r="BL347" s="35">
        <v>0.47</v>
      </c>
      <c r="BM347" s="35">
        <v>2.13</v>
      </c>
      <c r="BN347" s="35">
        <v>3576.23</v>
      </c>
      <c r="BO347" s="35">
        <v>16207.17</v>
      </c>
      <c r="BP347" s="35">
        <v>19783.4</v>
      </c>
      <c r="BQ347" s="35">
        <v>2967.51</v>
      </c>
      <c r="BR347" s="35">
        <v>22750.91</v>
      </c>
      <c r="BS347" s="35">
        <v>1310.0</v>
      </c>
      <c r="BT347" s="35">
        <v>0.0</v>
      </c>
      <c r="BU347" s="35">
        <v>0.0</v>
      </c>
      <c r="BV347" s="35">
        <v>0.0</v>
      </c>
      <c r="BW347" s="35">
        <v>0.0</v>
      </c>
      <c r="BX347" s="35">
        <v>0.0</v>
      </c>
      <c r="BY347" s="35">
        <v>15395.16</v>
      </c>
      <c r="BZ347" s="32">
        <v>0.0</v>
      </c>
      <c r="CA347" s="35">
        <v>0.0</v>
      </c>
      <c r="CB347" s="32">
        <v>0.0</v>
      </c>
      <c r="CC347" s="35">
        <v>0.0</v>
      </c>
      <c r="CD347" s="35">
        <v>0.0</v>
      </c>
      <c r="CE347" s="35">
        <v>1310.0</v>
      </c>
      <c r="CF347" s="35">
        <v>196.5</v>
      </c>
      <c r="CG347" s="35">
        <v>1506.5</v>
      </c>
      <c r="CH347" s="35">
        <v>40069.51</v>
      </c>
      <c r="CI347" s="35">
        <v>5226.46</v>
      </c>
      <c r="CJ347" s="35">
        <v>34843.05</v>
      </c>
      <c r="CK347" s="35">
        <v>6.56</v>
      </c>
      <c r="CL347" s="32">
        <v>28.0</v>
      </c>
      <c r="CM347" s="32">
        <v>0.0</v>
      </c>
      <c r="CN347" s="32">
        <v>0.0</v>
      </c>
      <c r="CO347" s="32">
        <v>100.0</v>
      </c>
      <c r="CP347" s="34"/>
      <c r="CQ347" s="32">
        <v>0.0</v>
      </c>
      <c r="CR347" s="32">
        <v>0.0</v>
      </c>
      <c r="CS347" s="32">
        <v>0.0</v>
      </c>
      <c r="CT347" s="32">
        <v>21378.0</v>
      </c>
      <c r="CU347" s="34">
        <v>47391.0</v>
      </c>
      <c r="CV347" s="34">
        <v>47391.0</v>
      </c>
      <c r="CW347" s="32">
        <v>181596.0</v>
      </c>
      <c r="CX347" s="32" t="s">
        <v>122</v>
      </c>
      <c r="CY347" s="32" t="s">
        <v>778</v>
      </c>
      <c r="CZ347" s="35">
        <v>10645.5</v>
      </c>
      <c r="DA347" s="35">
        <v>48244.5</v>
      </c>
      <c r="DB347" s="35">
        <v>-521.52</v>
      </c>
      <c r="DC347" s="35">
        <v>0.41</v>
      </c>
      <c r="DD347" s="35">
        <v>0.0</v>
      </c>
      <c r="DE347" s="35">
        <v>0.0</v>
      </c>
      <c r="DF347" s="32"/>
    </row>
    <row r="348" ht="13.5" customHeight="1">
      <c r="A348" s="32" t="s">
        <v>175</v>
      </c>
      <c r="B348" s="33">
        <v>44166.0</v>
      </c>
      <c r="C348" s="32" t="s">
        <v>124</v>
      </c>
      <c r="D348" s="32" t="s">
        <v>110</v>
      </c>
      <c r="E348" s="32" t="s">
        <v>111</v>
      </c>
      <c r="F348" s="32" t="s">
        <v>782</v>
      </c>
      <c r="G348" s="32" t="s">
        <v>113</v>
      </c>
      <c r="H348" s="32" t="s">
        <v>114</v>
      </c>
      <c r="I348" s="34">
        <v>44179.0</v>
      </c>
      <c r="J348" s="34">
        <v>44183.0</v>
      </c>
      <c r="K348" s="32">
        <f t="shared" si="1"/>
        <v>4</v>
      </c>
      <c r="L348" s="32">
        <v>1.0</v>
      </c>
      <c r="M348" s="32">
        <f t="shared" si="2"/>
        <v>3</v>
      </c>
      <c r="N348" s="34">
        <v>44193.0</v>
      </c>
      <c r="O348" s="34">
        <v>44262.0</v>
      </c>
      <c r="P348" s="32">
        <f t="shared" si="3"/>
        <v>69</v>
      </c>
      <c r="Q348" s="32">
        <v>90.0</v>
      </c>
      <c r="R348" s="32">
        <f t="shared" si="4"/>
        <v>-21</v>
      </c>
      <c r="S348" s="32" t="s">
        <v>917</v>
      </c>
      <c r="T348" s="32" t="s">
        <v>918</v>
      </c>
      <c r="U348" s="32" t="s">
        <v>117</v>
      </c>
      <c r="V348" s="32" t="s">
        <v>207</v>
      </c>
      <c r="W348" s="32" t="s">
        <v>199</v>
      </c>
      <c r="X348" s="32" t="s">
        <v>833</v>
      </c>
      <c r="Y348" s="32">
        <v>2025.0</v>
      </c>
      <c r="Z348" s="32" t="s">
        <v>135</v>
      </c>
      <c r="AA348" s="32">
        <v>2498.0</v>
      </c>
      <c r="AB348" s="32">
        <v>16.0</v>
      </c>
      <c r="AC348" s="32">
        <v>0.0</v>
      </c>
      <c r="AD348" s="35">
        <v>728087.0</v>
      </c>
      <c r="AE348" s="35">
        <v>97563.65</v>
      </c>
      <c r="AF348" s="36">
        <v>0.13</v>
      </c>
      <c r="AG348" s="35">
        <v>78351.87</v>
      </c>
      <c r="AH348" s="35">
        <v>2751.0</v>
      </c>
      <c r="AI348" s="32">
        <v>7.75</v>
      </c>
      <c r="AJ348" s="35">
        <v>334920.0</v>
      </c>
      <c r="AK348" s="32">
        <v>46.0</v>
      </c>
      <c r="AL348" s="34">
        <v>44262.0</v>
      </c>
      <c r="AM348" s="34">
        <v>46088.0</v>
      </c>
      <c r="AN348" s="32">
        <v>60.0</v>
      </c>
      <c r="AO348" s="32">
        <v>3500.0</v>
      </c>
      <c r="AP348" s="32">
        <v>210000.0</v>
      </c>
      <c r="AQ348" s="34">
        <v>46022.0</v>
      </c>
      <c r="AR348" s="32">
        <v>26540.0</v>
      </c>
      <c r="AS348" s="32">
        <v>34554.0</v>
      </c>
      <c r="AT348" s="32">
        <v>8014.0</v>
      </c>
      <c r="AU348" s="32">
        <v>33005.0</v>
      </c>
      <c r="AV348" s="32">
        <v>6601.0</v>
      </c>
      <c r="AW348" s="35">
        <v>10306.16</v>
      </c>
      <c r="AX348" s="35">
        <v>1400.0</v>
      </c>
      <c r="AY348" s="35">
        <v>190.0</v>
      </c>
      <c r="AZ348" s="35">
        <v>277.66</v>
      </c>
      <c r="BA348" s="35">
        <v>1033.63</v>
      </c>
      <c r="BB348" s="35">
        <v>13207.45</v>
      </c>
      <c r="BC348" s="35">
        <v>1981.12</v>
      </c>
      <c r="BD348" s="35">
        <v>15188.57</v>
      </c>
      <c r="BE348" s="34">
        <v>45748.0</v>
      </c>
      <c r="BF348" s="34">
        <v>45838.0</v>
      </c>
      <c r="BG348" s="32">
        <v>11668.0</v>
      </c>
      <c r="BH348" s="32">
        <v>34554.0</v>
      </c>
      <c r="BI348" s="32">
        <v>22886.0</v>
      </c>
      <c r="BJ348" s="32">
        <v>10500.0</v>
      </c>
      <c r="BK348" s="32">
        <v>12386.0</v>
      </c>
      <c r="BL348" s="35">
        <v>0.46</v>
      </c>
      <c r="BM348" s="35">
        <v>1.87</v>
      </c>
      <c r="BN348" s="35">
        <v>5697.56</v>
      </c>
      <c r="BO348" s="35">
        <v>23161.82</v>
      </c>
      <c r="BP348" s="35">
        <v>28859.38</v>
      </c>
      <c r="BQ348" s="35">
        <v>4328.91</v>
      </c>
      <c r="BR348" s="35">
        <v>33188.29</v>
      </c>
      <c r="BS348" s="35">
        <v>0.0</v>
      </c>
      <c r="BT348" s="35">
        <v>0.0</v>
      </c>
      <c r="BU348" s="35">
        <v>0.0</v>
      </c>
      <c r="BV348" s="35">
        <v>0.0</v>
      </c>
      <c r="BW348" s="35">
        <v>0.0</v>
      </c>
      <c r="BX348" s="35">
        <v>0.0</v>
      </c>
      <c r="BY348" s="35">
        <v>16124.91</v>
      </c>
      <c r="BZ348" s="32">
        <v>0.0</v>
      </c>
      <c r="CA348" s="35">
        <v>0.0</v>
      </c>
      <c r="CB348" s="32">
        <v>0.0</v>
      </c>
      <c r="CC348" s="35">
        <v>0.0</v>
      </c>
      <c r="CD348" s="35">
        <v>0.0</v>
      </c>
      <c r="CE348" s="35">
        <v>0.0</v>
      </c>
      <c r="CF348" s="35">
        <v>0.0</v>
      </c>
      <c r="CG348" s="35">
        <v>0.0</v>
      </c>
      <c r="CH348" s="35">
        <v>48376.86</v>
      </c>
      <c r="CI348" s="35">
        <v>6310.03</v>
      </c>
      <c r="CJ348" s="35">
        <v>42066.83</v>
      </c>
      <c r="CK348" s="35">
        <v>5.25</v>
      </c>
      <c r="CL348" s="32">
        <v>0.0</v>
      </c>
      <c r="CM348" s="32">
        <v>0.0</v>
      </c>
      <c r="CN348" s="32">
        <v>0.0</v>
      </c>
      <c r="CO348" s="32">
        <v>100.0</v>
      </c>
      <c r="CP348" s="34"/>
      <c r="CQ348" s="32">
        <v>0.0</v>
      </c>
      <c r="CR348" s="32">
        <v>0.0</v>
      </c>
      <c r="CS348" s="32">
        <v>0.0</v>
      </c>
      <c r="CT348" s="32">
        <v>14930.0</v>
      </c>
      <c r="CU348" s="34">
        <v>47514.0</v>
      </c>
      <c r="CV348" s="34">
        <v>47514.0</v>
      </c>
      <c r="CW348" s="32">
        <v>211549.0</v>
      </c>
      <c r="CX348" s="32" t="s">
        <v>122</v>
      </c>
      <c r="CY348" s="32" t="s">
        <v>778</v>
      </c>
      <c r="CZ348" s="35">
        <v>6867.8</v>
      </c>
      <c r="DA348" s="35">
        <v>27919.1</v>
      </c>
      <c r="DB348" s="35">
        <v>0.0</v>
      </c>
      <c r="DC348" s="35">
        <v>0.4</v>
      </c>
      <c r="DD348" s="35">
        <v>0.0</v>
      </c>
      <c r="DE348" s="35">
        <v>0.0</v>
      </c>
      <c r="DF348" s="32"/>
    </row>
    <row r="349" ht="13.5" customHeight="1">
      <c r="A349" s="32" t="s">
        <v>175</v>
      </c>
      <c r="B349" s="33">
        <v>44166.0</v>
      </c>
      <c r="C349" s="32" t="s">
        <v>136</v>
      </c>
      <c r="D349" s="32" t="s">
        <v>125</v>
      </c>
      <c r="E349" s="32" t="s">
        <v>126</v>
      </c>
      <c r="F349" s="32" t="s">
        <v>919</v>
      </c>
      <c r="G349" s="32" t="s">
        <v>113</v>
      </c>
      <c r="H349" s="32" t="s">
        <v>129</v>
      </c>
      <c r="I349" s="34">
        <v>44180.0</v>
      </c>
      <c r="J349" s="34">
        <v>44181.0</v>
      </c>
      <c r="K349" s="32">
        <f t="shared" si="1"/>
        <v>1</v>
      </c>
      <c r="L349" s="32">
        <v>1.0</v>
      </c>
      <c r="M349" s="32">
        <f t="shared" si="2"/>
        <v>0</v>
      </c>
      <c r="N349" s="34">
        <v>44194.0</v>
      </c>
      <c r="O349" s="34">
        <v>44263.0</v>
      </c>
      <c r="P349" s="32">
        <f t="shared" si="3"/>
        <v>69</v>
      </c>
      <c r="Q349" s="32">
        <v>90.0</v>
      </c>
      <c r="R349" s="32">
        <f t="shared" si="4"/>
        <v>-21</v>
      </c>
      <c r="S349" s="32" t="s">
        <v>920</v>
      </c>
      <c r="T349" s="32" t="s">
        <v>921</v>
      </c>
      <c r="U349" s="32" t="s">
        <v>117</v>
      </c>
      <c r="V349" s="32" t="s">
        <v>147</v>
      </c>
      <c r="W349" s="32" t="s">
        <v>182</v>
      </c>
      <c r="X349" s="32" t="s">
        <v>826</v>
      </c>
      <c r="Y349" s="32">
        <v>2021.0</v>
      </c>
      <c r="Z349" s="32" t="s">
        <v>135</v>
      </c>
      <c r="AA349" s="32">
        <v>2198.0</v>
      </c>
      <c r="AB349" s="32">
        <v>16.0</v>
      </c>
      <c r="AC349" s="32">
        <v>12.0</v>
      </c>
      <c r="AD349" s="35">
        <v>400601.74</v>
      </c>
      <c r="AE349" s="35">
        <v>59959.74</v>
      </c>
      <c r="AF349" s="36">
        <v>0.15</v>
      </c>
      <c r="AG349" s="35">
        <v>29868.41</v>
      </c>
      <c r="AH349" s="35">
        <v>2436.0</v>
      </c>
      <c r="AI349" s="32">
        <v>7.75</v>
      </c>
      <c r="AJ349" s="35">
        <v>156235.0</v>
      </c>
      <c r="AK349" s="32">
        <v>39.0</v>
      </c>
      <c r="AL349" s="34">
        <v>44263.0</v>
      </c>
      <c r="AM349" s="34">
        <v>46089.0</v>
      </c>
      <c r="AN349" s="32">
        <v>60.0</v>
      </c>
      <c r="AO349" s="32">
        <v>1500.0</v>
      </c>
      <c r="AP349" s="32">
        <v>90000.0</v>
      </c>
      <c r="AQ349" s="34">
        <v>46022.0</v>
      </c>
      <c r="AR349" s="32">
        <v>83472.0</v>
      </c>
      <c r="AS349" s="32">
        <v>85407.0</v>
      </c>
      <c r="AT349" s="32">
        <v>1935.0</v>
      </c>
      <c r="AU349" s="32">
        <v>84099.0</v>
      </c>
      <c r="AV349" s="32">
        <v>1587.0</v>
      </c>
      <c r="AW349" s="35">
        <v>6073.51</v>
      </c>
      <c r="AX349" s="35">
        <v>993.65</v>
      </c>
      <c r="AY349" s="35">
        <v>125.0</v>
      </c>
      <c r="AZ349" s="35">
        <v>291.0</v>
      </c>
      <c r="BA349" s="35">
        <v>1224.48</v>
      </c>
      <c r="BB349" s="35">
        <v>8707.64</v>
      </c>
      <c r="BC349" s="35">
        <v>1306.15</v>
      </c>
      <c r="BD349" s="35">
        <v>10013.79</v>
      </c>
      <c r="BE349" s="34">
        <v>45748.0</v>
      </c>
      <c r="BF349" s="34">
        <v>45838.0</v>
      </c>
      <c r="BG349" s="32">
        <v>80314.0</v>
      </c>
      <c r="BH349" s="32">
        <v>85407.0</v>
      </c>
      <c r="BI349" s="32">
        <v>5093.0</v>
      </c>
      <c r="BJ349" s="32">
        <v>4500.0</v>
      </c>
      <c r="BK349" s="32">
        <v>593.0</v>
      </c>
      <c r="BL349" s="35">
        <v>0.75</v>
      </c>
      <c r="BM349" s="35">
        <v>3.22</v>
      </c>
      <c r="BN349" s="35">
        <v>444.75</v>
      </c>
      <c r="BO349" s="35">
        <v>1909.46</v>
      </c>
      <c r="BP349" s="35">
        <v>2354.21</v>
      </c>
      <c r="BQ349" s="35">
        <v>353.13</v>
      </c>
      <c r="BR349" s="35">
        <v>2707.34</v>
      </c>
      <c r="BS349" s="35">
        <v>0.0</v>
      </c>
      <c r="BT349" s="35">
        <v>0.0</v>
      </c>
      <c r="BU349" s="35">
        <v>0.0</v>
      </c>
      <c r="BV349" s="35">
        <v>0.0</v>
      </c>
      <c r="BW349" s="35">
        <v>0.0</v>
      </c>
      <c r="BX349" s="35">
        <v>0.0</v>
      </c>
      <c r="BY349" s="35">
        <v>3008.5</v>
      </c>
      <c r="BZ349" s="32">
        <v>0.0</v>
      </c>
      <c r="CA349" s="35">
        <v>0.0</v>
      </c>
      <c r="CB349" s="32">
        <v>0.0</v>
      </c>
      <c r="CC349" s="35">
        <v>0.0</v>
      </c>
      <c r="CD349" s="35">
        <v>0.0</v>
      </c>
      <c r="CE349" s="35">
        <v>0.0</v>
      </c>
      <c r="CF349" s="35">
        <v>0.0</v>
      </c>
      <c r="CG349" s="35">
        <v>0.0</v>
      </c>
      <c r="CH349" s="35">
        <v>12721.13</v>
      </c>
      <c r="CI349" s="35">
        <v>1659.28</v>
      </c>
      <c r="CJ349" s="35">
        <v>11061.85</v>
      </c>
      <c r="CK349" s="35">
        <v>5.72</v>
      </c>
      <c r="CL349" s="32">
        <v>0.0</v>
      </c>
      <c r="CM349" s="32">
        <v>0.0</v>
      </c>
      <c r="CN349" s="32">
        <v>0.0</v>
      </c>
      <c r="CO349" s="32">
        <v>100.0</v>
      </c>
      <c r="CP349" s="34"/>
      <c r="CQ349" s="32">
        <v>0.0</v>
      </c>
      <c r="CR349" s="32">
        <v>0.0</v>
      </c>
      <c r="CS349" s="32">
        <v>0.0</v>
      </c>
      <c r="CT349" s="32">
        <v>3712.0</v>
      </c>
      <c r="CU349" s="34">
        <v>46053.0</v>
      </c>
      <c r="CV349" s="34">
        <v>46053.0</v>
      </c>
      <c r="CW349" s="32">
        <v>91308.0</v>
      </c>
      <c r="CX349" s="32" t="s">
        <v>122</v>
      </c>
      <c r="CY349" s="32" t="s">
        <v>778</v>
      </c>
      <c r="CZ349" s="35">
        <v>6689.64</v>
      </c>
      <c r="DA349" s="35">
        <v>28593.69</v>
      </c>
      <c r="DB349" s="35">
        <v>-3433.02</v>
      </c>
      <c r="DC349" s="35">
        <v>0.66</v>
      </c>
      <c r="DD349" s="35">
        <v>0.0</v>
      </c>
      <c r="DE349" s="35">
        <v>0.0</v>
      </c>
      <c r="DF349" s="32"/>
    </row>
    <row r="350" ht="13.5" customHeight="1">
      <c r="A350" s="32" t="s">
        <v>175</v>
      </c>
      <c r="B350" s="33">
        <v>44166.0</v>
      </c>
      <c r="C350" s="32" t="s">
        <v>109</v>
      </c>
      <c r="D350" s="32" t="s">
        <v>110</v>
      </c>
      <c r="E350" s="32" t="s">
        <v>111</v>
      </c>
      <c r="F350" s="32" t="s">
        <v>838</v>
      </c>
      <c r="G350" s="32" t="s">
        <v>113</v>
      </c>
      <c r="H350" s="32" t="s">
        <v>141</v>
      </c>
      <c r="I350" s="34">
        <v>44181.0</v>
      </c>
      <c r="J350" s="34">
        <v>44182.0</v>
      </c>
      <c r="K350" s="32">
        <f t="shared" si="1"/>
        <v>1</v>
      </c>
      <c r="L350" s="32">
        <v>1.0</v>
      </c>
      <c r="M350" s="32">
        <f t="shared" si="2"/>
        <v>0</v>
      </c>
      <c r="N350" s="34">
        <v>44195.0</v>
      </c>
      <c r="O350" s="34">
        <v>44264.0</v>
      </c>
      <c r="P350" s="32">
        <f t="shared" si="3"/>
        <v>69</v>
      </c>
      <c r="Q350" s="32">
        <v>90.0</v>
      </c>
      <c r="R350" s="32">
        <f t="shared" si="4"/>
        <v>-21</v>
      </c>
      <c r="S350" s="32" t="s">
        <v>922</v>
      </c>
      <c r="T350" s="32" t="s">
        <v>923</v>
      </c>
      <c r="U350" s="32" t="s">
        <v>117</v>
      </c>
      <c r="V350" s="32" t="s">
        <v>207</v>
      </c>
      <c r="W350" s="32" t="s">
        <v>182</v>
      </c>
      <c r="X350" s="32" t="s">
        <v>284</v>
      </c>
      <c r="Y350" s="32">
        <v>2021.0</v>
      </c>
      <c r="Z350" s="32" t="s">
        <v>135</v>
      </c>
      <c r="AA350" s="32">
        <v>2198.0</v>
      </c>
      <c r="AB350" s="32">
        <v>16.0</v>
      </c>
      <c r="AC350" s="32">
        <v>12.98</v>
      </c>
      <c r="AD350" s="35">
        <v>400601.74</v>
      </c>
      <c r="AE350" s="35">
        <v>59959.74</v>
      </c>
      <c r="AF350" s="36">
        <v>0.15</v>
      </c>
      <c r="AG350" s="35">
        <v>24727.31</v>
      </c>
      <c r="AH350" s="35">
        <v>2117.5</v>
      </c>
      <c r="AI350" s="32">
        <v>7.75</v>
      </c>
      <c r="AJ350" s="35">
        <v>116863.0</v>
      </c>
      <c r="AK350" s="32">
        <v>22.0</v>
      </c>
      <c r="AL350" s="34">
        <v>44264.0</v>
      </c>
      <c r="AM350" s="34">
        <v>46090.0</v>
      </c>
      <c r="AN350" s="32">
        <v>60.0</v>
      </c>
      <c r="AO350" s="32">
        <v>2000.0</v>
      </c>
      <c r="AP350" s="32">
        <v>120000.0</v>
      </c>
      <c r="AQ350" s="34">
        <v>46022.0</v>
      </c>
      <c r="AR350" s="32">
        <v>96329.0</v>
      </c>
      <c r="AS350" s="32">
        <v>99655.0</v>
      </c>
      <c r="AT350" s="32">
        <v>3326.0</v>
      </c>
      <c r="AU350" s="32">
        <v>98065.0</v>
      </c>
      <c r="AV350" s="32">
        <v>1850.0</v>
      </c>
      <c r="AW350" s="35">
        <v>9797.15</v>
      </c>
      <c r="AX350" s="35">
        <v>1395.83</v>
      </c>
      <c r="AY350" s="35">
        <v>190.0</v>
      </c>
      <c r="AZ350" s="35">
        <v>291.0</v>
      </c>
      <c r="BA350" s="35">
        <v>1327.82</v>
      </c>
      <c r="BB350" s="35">
        <v>13001.8</v>
      </c>
      <c r="BC350" s="35">
        <v>1950.27</v>
      </c>
      <c r="BD350" s="35">
        <v>14952.07</v>
      </c>
      <c r="BE350" s="34">
        <v>45748.0</v>
      </c>
      <c r="BF350" s="34">
        <v>45838.0</v>
      </c>
      <c r="BG350" s="32">
        <v>93904.0</v>
      </c>
      <c r="BH350" s="32">
        <v>99655.0</v>
      </c>
      <c r="BI350" s="32">
        <v>5751.0</v>
      </c>
      <c r="BJ350" s="32">
        <v>6000.0</v>
      </c>
      <c r="BK350" s="32">
        <v>-249.0</v>
      </c>
      <c r="BL350" s="35">
        <v>0.79</v>
      </c>
      <c r="BM350" s="35">
        <v>4.09</v>
      </c>
      <c r="BN350" s="35">
        <v>0.0</v>
      </c>
      <c r="BO350" s="35">
        <v>0.0</v>
      </c>
      <c r="BP350" s="35">
        <v>0.0</v>
      </c>
      <c r="BQ350" s="35">
        <v>0.0</v>
      </c>
      <c r="BR350" s="35">
        <v>0.0</v>
      </c>
      <c r="BS350" s="35">
        <v>0.0</v>
      </c>
      <c r="BT350" s="35">
        <v>0.0</v>
      </c>
      <c r="BU350" s="35">
        <v>0.0</v>
      </c>
      <c r="BV350" s="35">
        <v>0.0</v>
      </c>
      <c r="BW350" s="35">
        <v>0.0</v>
      </c>
      <c r="BX350" s="35">
        <v>0.0</v>
      </c>
      <c r="BY350" s="35">
        <v>5814.2</v>
      </c>
      <c r="BZ350" s="32">
        <v>0.0</v>
      </c>
      <c r="CA350" s="35">
        <v>0.0</v>
      </c>
      <c r="CB350" s="32">
        <v>0.0</v>
      </c>
      <c r="CC350" s="35">
        <v>0.0</v>
      </c>
      <c r="CD350" s="35">
        <v>0.0</v>
      </c>
      <c r="CE350" s="35">
        <v>0.0</v>
      </c>
      <c r="CF350" s="35">
        <v>0.0</v>
      </c>
      <c r="CG350" s="35">
        <v>0.0</v>
      </c>
      <c r="CH350" s="35">
        <v>14952.07</v>
      </c>
      <c r="CI350" s="35">
        <v>1950.27</v>
      </c>
      <c r="CJ350" s="35">
        <v>13001.8</v>
      </c>
      <c r="CK350" s="35">
        <v>3.91</v>
      </c>
      <c r="CL350" s="32">
        <v>0.0</v>
      </c>
      <c r="CM350" s="32">
        <v>0.0</v>
      </c>
      <c r="CN350" s="32">
        <v>0.0</v>
      </c>
      <c r="CO350" s="32">
        <v>100.0</v>
      </c>
      <c r="CP350" s="34"/>
      <c r="CQ350" s="32">
        <v>0.0</v>
      </c>
      <c r="CR350" s="32">
        <v>0.0</v>
      </c>
      <c r="CS350" s="32">
        <v>0.0</v>
      </c>
      <c r="CT350" s="32">
        <v>-8592.0</v>
      </c>
      <c r="CU350" s="34">
        <v>46053.0</v>
      </c>
      <c r="CV350" s="34">
        <v>46053.0</v>
      </c>
      <c r="CW350" s="32">
        <v>121590.0</v>
      </c>
      <c r="CX350" s="32" t="s">
        <v>122</v>
      </c>
      <c r="CY350" s="32" t="s">
        <v>778</v>
      </c>
      <c r="CZ350" s="35">
        <v>18075.72</v>
      </c>
      <c r="DA350" s="35">
        <v>92803.87</v>
      </c>
      <c r="DB350" s="35">
        <v>-21375.27</v>
      </c>
      <c r="DC350" s="35">
        <v>0.7</v>
      </c>
      <c r="DD350" s="35">
        <v>0.0</v>
      </c>
      <c r="DE350" s="35">
        <v>0.0</v>
      </c>
      <c r="DF350" s="32"/>
    </row>
    <row r="351" ht="13.5" customHeight="1">
      <c r="A351" s="32" t="s">
        <v>203</v>
      </c>
      <c r="B351" s="33">
        <v>44166.0</v>
      </c>
      <c r="C351" s="32" t="s">
        <v>124</v>
      </c>
      <c r="D351" s="32" t="s">
        <v>125</v>
      </c>
      <c r="E351" s="32" t="s">
        <v>126</v>
      </c>
      <c r="F351" s="32" t="s">
        <v>231</v>
      </c>
      <c r="G351" s="32" t="s">
        <v>113</v>
      </c>
      <c r="H351" s="32" t="s">
        <v>114</v>
      </c>
      <c r="I351" s="34">
        <v>44182.0</v>
      </c>
      <c r="J351" s="34">
        <v>44183.0</v>
      </c>
      <c r="K351" s="32">
        <f t="shared" si="1"/>
        <v>1</v>
      </c>
      <c r="L351" s="32">
        <v>1.0</v>
      </c>
      <c r="M351" s="32">
        <f t="shared" si="2"/>
        <v>0</v>
      </c>
      <c r="N351" s="34">
        <v>44196.0</v>
      </c>
      <c r="O351" s="34">
        <v>44265.0</v>
      </c>
      <c r="P351" s="32">
        <f t="shared" si="3"/>
        <v>69</v>
      </c>
      <c r="Q351" s="32">
        <v>90.0</v>
      </c>
      <c r="R351" s="32">
        <f t="shared" si="4"/>
        <v>-21</v>
      </c>
      <c r="S351" s="32" t="s">
        <v>924</v>
      </c>
      <c r="T351" s="32" t="s">
        <v>925</v>
      </c>
      <c r="U351" s="32" t="s">
        <v>117</v>
      </c>
      <c r="V351" s="32" t="s">
        <v>147</v>
      </c>
      <c r="W351" s="32" t="s">
        <v>133</v>
      </c>
      <c r="X351" s="32" t="s">
        <v>541</v>
      </c>
      <c r="Y351" s="32">
        <v>2021.0</v>
      </c>
      <c r="Z351" s="32" t="s">
        <v>135</v>
      </c>
      <c r="AA351" s="32">
        <v>2498.0</v>
      </c>
      <c r="AB351" s="32">
        <v>16.0</v>
      </c>
      <c r="AC351" s="32">
        <v>6.0</v>
      </c>
      <c r="AD351" s="35">
        <v>428869.57</v>
      </c>
      <c r="AE351" s="35">
        <v>63952.83</v>
      </c>
      <c r="AF351" s="36">
        <v>0.15</v>
      </c>
      <c r="AG351" s="35">
        <v>23300.22</v>
      </c>
      <c r="AH351" s="35">
        <v>2087.5</v>
      </c>
      <c r="AI351" s="32">
        <v>7.75</v>
      </c>
      <c r="AJ351" s="35">
        <v>192991.0</v>
      </c>
      <c r="AK351" s="32">
        <v>45.0</v>
      </c>
      <c r="AL351" s="34">
        <v>44265.0</v>
      </c>
      <c r="AM351" s="34">
        <v>46091.0</v>
      </c>
      <c r="AN351" s="32">
        <v>60.0</v>
      </c>
      <c r="AO351" s="32">
        <v>2000.0</v>
      </c>
      <c r="AP351" s="32">
        <v>120000.0</v>
      </c>
      <c r="AQ351" s="34">
        <v>46022.0</v>
      </c>
      <c r="AR351" s="32">
        <v>107623.0</v>
      </c>
      <c r="AS351" s="32">
        <v>109674.0</v>
      </c>
      <c r="AT351" s="32">
        <v>2051.0</v>
      </c>
      <c r="AU351" s="32">
        <v>108252.0</v>
      </c>
      <c r="AV351" s="32">
        <v>2042.0</v>
      </c>
      <c r="AW351" s="35">
        <v>5960.0</v>
      </c>
      <c r="AX351" s="35">
        <v>1135.58</v>
      </c>
      <c r="AY351" s="35">
        <v>125.0</v>
      </c>
      <c r="AZ351" s="35">
        <v>291.0</v>
      </c>
      <c r="BA351" s="35">
        <v>985.68</v>
      </c>
      <c r="BB351" s="35">
        <v>8497.26</v>
      </c>
      <c r="BC351" s="35">
        <v>1274.59</v>
      </c>
      <c r="BD351" s="35">
        <v>9771.85</v>
      </c>
      <c r="BE351" s="34">
        <v>45748.0</v>
      </c>
      <c r="BF351" s="34">
        <v>45838.0</v>
      </c>
      <c r="BG351" s="32">
        <v>101657.0</v>
      </c>
      <c r="BH351" s="32">
        <v>109674.0</v>
      </c>
      <c r="BI351" s="32">
        <v>8017.0</v>
      </c>
      <c r="BJ351" s="32">
        <v>6000.0</v>
      </c>
      <c r="BK351" s="32">
        <v>2017.0</v>
      </c>
      <c r="BL351" s="35">
        <v>0.64</v>
      </c>
      <c r="BM351" s="35">
        <v>2.34</v>
      </c>
      <c r="BN351" s="35">
        <v>1290.88</v>
      </c>
      <c r="BO351" s="35">
        <v>4719.78</v>
      </c>
      <c r="BP351" s="35">
        <v>6010.66</v>
      </c>
      <c r="BQ351" s="35">
        <v>901.6</v>
      </c>
      <c r="BR351" s="35">
        <v>6912.26</v>
      </c>
      <c r="BS351" s="35">
        <v>0.0</v>
      </c>
      <c r="BT351" s="35">
        <v>0.0</v>
      </c>
      <c r="BU351" s="35">
        <v>0.0</v>
      </c>
      <c r="BV351" s="35">
        <v>0.0</v>
      </c>
      <c r="BW351" s="35">
        <v>0.0</v>
      </c>
      <c r="BX351" s="35">
        <v>0.0</v>
      </c>
      <c r="BY351" s="35">
        <v>4146.95</v>
      </c>
      <c r="BZ351" s="32">
        <v>0.0</v>
      </c>
      <c r="CA351" s="35">
        <v>0.0</v>
      </c>
      <c r="CB351" s="32">
        <v>0.0</v>
      </c>
      <c r="CC351" s="35">
        <v>0.0</v>
      </c>
      <c r="CD351" s="35">
        <v>0.0</v>
      </c>
      <c r="CE351" s="35">
        <v>0.0</v>
      </c>
      <c r="CF351" s="35">
        <v>0.0</v>
      </c>
      <c r="CG351" s="35">
        <v>0.0</v>
      </c>
      <c r="CH351" s="35">
        <v>16684.11</v>
      </c>
      <c r="CI351" s="35">
        <v>2176.19</v>
      </c>
      <c r="CJ351" s="35">
        <v>14507.92</v>
      </c>
      <c r="CK351" s="35">
        <v>7.07</v>
      </c>
      <c r="CL351" s="32">
        <v>0.0</v>
      </c>
      <c r="CM351" s="32">
        <v>0.0</v>
      </c>
      <c r="CN351" s="32">
        <v>0.0</v>
      </c>
      <c r="CO351" s="32">
        <v>100.0</v>
      </c>
      <c r="CP351" s="34"/>
      <c r="CQ351" s="32">
        <v>0.0</v>
      </c>
      <c r="CR351" s="32">
        <v>0.0</v>
      </c>
      <c r="CS351" s="32">
        <v>0.0</v>
      </c>
      <c r="CT351" s="32">
        <v>2055.0</v>
      </c>
      <c r="CU351" s="34">
        <v>46053.0</v>
      </c>
      <c r="CV351" s="34">
        <v>46053.0</v>
      </c>
      <c r="CW351" s="32">
        <v>121422.0</v>
      </c>
      <c r="CX351" s="32" t="s">
        <v>122</v>
      </c>
      <c r="CY351" s="32" t="s">
        <v>778</v>
      </c>
      <c r="CZ351" s="35">
        <v>13940.04</v>
      </c>
      <c r="DA351" s="35">
        <v>50918.5</v>
      </c>
      <c r="DB351" s="35">
        <v>-10709.9</v>
      </c>
      <c r="DC351" s="35">
        <v>0.56</v>
      </c>
      <c r="DD351" s="35">
        <v>0.0</v>
      </c>
      <c r="DE351" s="35">
        <v>0.0</v>
      </c>
      <c r="DF351" s="32"/>
    </row>
    <row r="352" ht="13.5" customHeight="1">
      <c r="A352" s="32" t="s">
        <v>203</v>
      </c>
      <c r="B352" s="33">
        <v>44166.0</v>
      </c>
      <c r="C352" s="32" t="s">
        <v>136</v>
      </c>
      <c r="D352" s="32" t="s">
        <v>137</v>
      </c>
      <c r="E352" s="32" t="s">
        <v>138</v>
      </c>
      <c r="F352" s="32" t="s">
        <v>231</v>
      </c>
      <c r="G352" s="32" t="s">
        <v>113</v>
      </c>
      <c r="H352" s="32" t="s">
        <v>129</v>
      </c>
      <c r="I352" s="34">
        <v>44183.0</v>
      </c>
      <c r="J352" s="34">
        <v>44194.0</v>
      </c>
      <c r="K352" s="32">
        <f t="shared" si="1"/>
        <v>11</v>
      </c>
      <c r="L352" s="32">
        <v>1.0</v>
      </c>
      <c r="M352" s="32">
        <f t="shared" si="2"/>
        <v>10</v>
      </c>
      <c r="N352" s="34">
        <v>44542.0</v>
      </c>
      <c r="O352" s="34">
        <v>44632.0</v>
      </c>
      <c r="P352" s="32">
        <f t="shared" si="3"/>
        <v>90</v>
      </c>
      <c r="Q352" s="32">
        <v>90.0</v>
      </c>
      <c r="R352" s="32">
        <f t="shared" si="4"/>
        <v>0</v>
      </c>
      <c r="S352" s="32" t="s">
        <v>926</v>
      </c>
      <c r="T352" s="32" t="s">
        <v>927</v>
      </c>
      <c r="U352" s="32" t="s">
        <v>117</v>
      </c>
      <c r="V352" s="32" t="s">
        <v>147</v>
      </c>
      <c r="W352" s="32" t="s">
        <v>133</v>
      </c>
      <c r="X352" s="32" t="s">
        <v>168</v>
      </c>
      <c r="Y352" s="32">
        <v>2023.0</v>
      </c>
      <c r="Z352" s="32" t="s">
        <v>135</v>
      </c>
      <c r="AA352" s="32">
        <v>2498.0</v>
      </c>
      <c r="AB352" s="32">
        <v>16.0</v>
      </c>
      <c r="AC352" s="32">
        <v>0.0</v>
      </c>
      <c r="AD352" s="35">
        <v>440782.61</v>
      </c>
      <c r="AE352" s="35">
        <v>77378.04</v>
      </c>
      <c r="AF352" s="36">
        <v>0.18</v>
      </c>
      <c r="AG352" s="35">
        <v>17282.75</v>
      </c>
      <c r="AH352" s="35">
        <v>1836.0</v>
      </c>
      <c r="AI352" s="32">
        <v>7.75</v>
      </c>
      <c r="AJ352" s="35">
        <v>185129.0</v>
      </c>
      <c r="AK352" s="32">
        <v>45.69</v>
      </c>
      <c r="AL352" s="34">
        <v>44632.0</v>
      </c>
      <c r="AM352" s="34">
        <v>46458.0</v>
      </c>
      <c r="AN352" s="32">
        <v>60.0</v>
      </c>
      <c r="AO352" s="32">
        <v>1500.0</v>
      </c>
      <c r="AP352" s="32">
        <v>90000.0</v>
      </c>
      <c r="AQ352" s="34">
        <v>46234.0</v>
      </c>
      <c r="AR352" s="32">
        <v>35300.0</v>
      </c>
      <c r="AS352" s="32">
        <v>35968.0</v>
      </c>
      <c r="AT352" s="32">
        <v>668.0</v>
      </c>
      <c r="AU352" s="32">
        <v>35963.0</v>
      </c>
      <c r="AV352" s="32">
        <v>1635.0</v>
      </c>
      <c r="AW352" s="35">
        <v>6465.81</v>
      </c>
      <c r="AX352" s="35">
        <v>1021.8</v>
      </c>
      <c r="AY352" s="35">
        <v>125.0</v>
      </c>
      <c r="AZ352" s="35">
        <v>290.99</v>
      </c>
      <c r="BA352" s="35">
        <v>1083.24</v>
      </c>
      <c r="BB352" s="35">
        <v>8986.84</v>
      </c>
      <c r="BC352" s="35">
        <v>1348.03</v>
      </c>
      <c r="BD352" s="35">
        <v>10334.87</v>
      </c>
      <c r="BE352" s="34">
        <v>45748.0</v>
      </c>
      <c r="BF352" s="34">
        <v>45838.0</v>
      </c>
      <c r="BG352" s="32">
        <v>33570.0</v>
      </c>
      <c r="BH352" s="32">
        <v>35968.0</v>
      </c>
      <c r="BI352" s="32">
        <v>2398.0</v>
      </c>
      <c r="BJ352" s="32">
        <v>4500.0</v>
      </c>
      <c r="BK352" s="32">
        <v>-2102.0</v>
      </c>
      <c r="BL352" s="35">
        <v>0.78</v>
      </c>
      <c r="BM352" s="35">
        <v>2.98</v>
      </c>
      <c r="BN352" s="35">
        <v>0.0</v>
      </c>
      <c r="BO352" s="35">
        <v>0.0</v>
      </c>
      <c r="BP352" s="35">
        <v>0.0</v>
      </c>
      <c r="BQ352" s="35">
        <v>-214.4</v>
      </c>
      <c r="BR352" s="35">
        <v>0.0</v>
      </c>
      <c r="BS352" s="35">
        <v>0.0</v>
      </c>
      <c r="BT352" s="35">
        <v>0.0</v>
      </c>
      <c r="BU352" s="35">
        <v>0.0</v>
      </c>
      <c r="BV352" s="35">
        <v>0.0</v>
      </c>
      <c r="BW352" s="35">
        <v>0.0</v>
      </c>
      <c r="BX352" s="35">
        <v>0.0</v>
      </c>
      <c r="BY352" s="35">
        <v>1103.81</v>
      </c>
      <c r="BZ352" s="32">
        <v>0.0</v>
      </c>
      <c r="CA352" s="35">
        <v>0.0</v>
      </c>
      <c r="CB352" s="32">
        <v>0.0</v>
      </c>
      <c r="CC352" s="35">
        <v>0.0</v>
      </c>
      <c r="CD352" s="35">
        <v>0.0</v>
      </c>
      <c r="CE352" s="35">
        <v>0.0</v>
      </c>
      <c r="CF352" s="35">
        <v>0.0</v>
      </c>
      <c r="CG352" s="35">
        <v>0.0</v>
      </c>
      <c r="CH352" s="35">
        <v>8691.11</v>
      </c>
      <c r="CI352" s="35">
        <v>1133.63</v>
      </c>
      <c r="CJ352" s="35">
        <v>7557.48</v>
      </c>
      <c r="CK352" s="35">
        <v>11.31</v>
      </c>
      <c r="CL352" s="32">
        <v>0.0</v>
      </c>
      <c r="CM352" s="32">
        <v>0.0</v>
      </c>
      <c r="CN352" s="32">
        <v>0.0</v>
      </c>
      <c r="CO352" s="32">
        <v>100.0</v>
      </c>
      <c r="CP352" s="34"/>
      <c r="CQ352" s="32">
        <v>0.0</v>
      </c>
      <c r="CR352" s="32">
        <v>0.0</v>
      </c>
      <c r="CS352" s="32">
        <v>0.0</v>
      </c>
      <c r="CT352" s="32">
        <v>1057.0</v>
      </c>
      <c r="CU352" s="34">
        <v>46996.0</v>
      </c>
      <c r="CV352" s="34">
        <v>46996.0</v>
      </c>
      <c r="CW352" s="32">
        <v>91517.0</v>
      </c>
      <c r="CX352" s="32" t="s">
        <v>122</v>
      </c>
      <c r="CY352" s="32" t="s">
        <v>778</v>
      </c>
      <c r="CZ352" s="35">
        <v>7004.92</v>
      </c>
      <c r="DA352" s="35">
        <v>24120.12</v>
      </c>
      <c r="DB352" s="35">
        <v>-5433.02</v>
      </c>
      <c r="DC352" s="35">
        <v>0.68</v>
      </c>
      <c r="DD352" s="35">
        <v>-1429.36</v>
      </c>
      <c r="DE352" s="35">
        <v>-1643.76</v>
      </c>
      <c r="DF352" s="32"/>
    </row>
    <row r="353" ht="13.5" customHeight="1">
      <c r="A353" s="32" t="s">
        <v>203</v>
      </c>
      <c r="B353" s="33">
        <v>44166.0</v>
      </c>
      <c r="C353" s="32" t="s">
        <v>109</v>
      </c>
      <c r="D353" s="32" t="s">
        <v>110</v>
      </c>
      <c r="E353" s="32" t="s">
        <v>111</v>
      </c>
      <c r="F353" s="32" t="s">
        <v>231</v>
      </c>
      <c r="G353" s="32" t="s">
        <v>113</v>
      </c>
      <c r="H353" s="32" t="s">
        <v>141</v>
      </c>
      <c r="I353" s="34">
        <v>44184.0</v>
      </c>
      <c r="J353" s="34">
        <v>44185.0</v>
      </c>
      <c r="K353" s="32">
        <f t="shared" si="1"/>
        <v>1</v>
      </c>
      <c r="L353" s="32">
        <v>1.0</v>
      </c>
      <c r="M353" s="32">
        <f t="shared" si="2"/>
        <v>0</v>
      </c>
      <c r="N353" s="34">
        <v>44532.0</v>
      </c>
      <c r="O353" s="34">
        <v>44625.0</v>
      </c>
      <c r="P353" s="32">
        <f t="shared" si="3"/>
        <v>93</v>
      </c>
      <c r="Q353" s="32">
        <v>90.0</v>
      </c>
      <c r="R353" s="32">
        <f t="shared" si="4"/>
        <v>3</v>
      </c>
      <c r="S353" s="32" t="s">
        <v>928</v>
      </c>
      <c r="T353" s="32" t="s">
        <v>929</v>
      </c>
      <c r="U353" s="32" t="s">
        <v>117</v>
      </c>
      <c r="V353" s="32" t="s">
        <v>147</v>
      </c>
      <c r="W353" s="32" t="s">
        <v>133</v>
      </c>
      <c r="X353" s="32" t="s">
        <v>930</v>
      </c>
      <c r="Y353" s="32">
        <v>2021.0</v>
      </c>
      <c r="Z353" s="32" t="s">
        <v>135</v>
      </c>
      <c r="AA353" s="32">
        <v>2498.0</v>
      </c>
      <c r="AB353" s="32">
        <v>16.0</v>
      </c>
      <c r="AC353" s="32">
        <v>6.0</v>
      </c>
      <c r="AD353" s="35">
        <v>374434.78</v>
      </c>
      <c r="AE353" s="35">
        <v>43725.87</v>
      </c>
      <c r="AF353" s="36">
        <v>0.12</v>
      </c>
      <c r="AG353" s="35">
        <v>22784.74</v>
      </c>
      <c r="AH353" s="35">
        <v>2207.5</v>
      </c>
      <c r="AI353" s="32">
        <v>7.75</v>
      </c>
      <c r="AJ353" s="35">
        <v>161007.0</v>
      </c>
      <c r="AK353" s="32">
        <v>43.0</v>
      </c>
      <c r="AL353" s="34">
        <v>44625.0</v>
      </c>
      <c r="AM353" s="34">
        <v>46451.0</v>
      </c>
      <c r="AN353" s="32">
        <v>60.0</v>
      </c>
      <c r="AO353" s="32">
        <v>3000.0</v>
      </c>
      <c r="AP353" s="32">
        <v>180000.0</v>
      </c>
      <c r="AQ353" s="34">
        <v>46053.0</v>
      </c>
      <c r="AR353" s="32">
        <v>163774.0</v>
      </c>
      <c r="AS353" s="32">
        <v>167161.0</v>
      </c>
      <c r="AT353" s="32">
        <v>3387.0</v>
      </c>
      <c r="AU353" s="32">
        <v>166103.0</v>
      </c>
      <c r="AV353" s="32">
        <v>3194.0</v>
      </c>
      <c r="AW353" s="35">
        <v>5635.39</v>
      </c>
      <c r="AX353" s="35">
        <v>1738.87</v>
      </c>
      <c r="AY353" s="35">
        <v>125.0</v>
      </c>
      <c r="AZ353" s="35">
        <v>291.0</v>
      </c>
      <c r="BA353" s="35">
        <v>1258.42</v>
      </c>
      <c r="BB353" s="35">
        <v>9048.68</v>
      </c>
      <c r="BC353" s="35">
        <v>1357.3</v>
      </c>
      <c r="BD353" s="35">
        <v>10405.98</v>
      </c>
      <c r="BE353" s="34">
        <v>45748.0</v>
      </c>
      <c r="BF353" s="34">
        <v>45838.0</v>
      </c>
      <c r="BG353" s="32">
        <v>156909.0</v>
      </c>
      <c r="BH353" s="32">
        <v>167161.0</v>
      </c>
      <c r="BI353" s="32">
        <v>10252.0</v>
      </c>
      <c r="BJ353" s="32">
        <v>9000.0</v>
      </c>
      <c r="BK353" s="32">
        <v>1252.0</v>
      </c>
      <c r="BL353" s="35">
        <v>0.67</v>
      </c>
      <c r="BM353" s="35">
        <v>1.41</v>
      </c>
      <c r="BN353" s="35">
        <v>838.84</v>
      </c>
      <c r="BO353" s="35">
        <v>1765.32</v>
      </c>
      <c r="BP353" s="35">
        <v>2604.16</v>
      </c>
      <c r="BQ353" s="35">
        <v>390.62</v>
      </c>
      <c r="BR353" s="35">
        <v>2994.78</v>
      </c>
      <c r="BS353" s="35">
        <v>0.0</v>
      </c>
      <c r="BT353" s="35">
        <v>0.0</v>
      </c>
      <c r="BU353" s="35">
        <v>0.0</v>
      </c>
      <c r="BV353" s="35">
        <v>0.0</v>
      </c>
      <c r="BW353" s="35">
        <v>0.0</v>
      </c>
      <c r="BX353" s="35">
        <v>0.0</v>
      </c>
      <c r="BY353" s="35">
        <v>6782.3</v>
      </c>
      <c r="BZ353" s="32">
        <v>0.0</v>
      </c>
      <c r="CA353" s="35">
        <v>0.0</v>
      </c>
      <c r="CB353" s="32">
        <v>0.0</v>
      </c>
      <c r="CC353" s="35">
        <v>0.0</v>
      </c>
      <c r="CD353" s="35">
        <v>0.0</v>
      </c>
      <c r="CE353" s="35">
        <v>0.0</v>
      </c>
      <c r="CF353" s="35">
        <v>0.0</v>
      </c>
      <c r="CG353" s="35">
        <v>0.0</v>
      </c>
      <c r="CH353" s="35">
        <v>13400.76</v>
      </c>
      <c r="CI353" s="35">
        <v>1747.92</v>
      </c>
      <c r="CJ353" s="35">
        <v>11652.84</v>
      </c>
      <c r="CK353" s="35">
        <v>3.44</v>
      </c>
      <c r="CL353" s="32">
        <v>0.0</v>
      </c>
      <c r="CM353" s="32">
        <v>0.0</v>
      </c>
      <c r="CN353" s="32">
        <v>0.0</v>
      </c>
      <c r="CO353" s="32">
        <v>100.0</v>
      </c>
      <c r="CP353" s="34"/>
      <c r="CQ353" s="32">
        <v>0.0</v>
      </c>
      <c r="CR353" s="32">
        <v>0.0</v>
      </c>
      <c r="CS353" s="32">
        <v>0.0</v>
      </c>
      <c r="CT353" s="32">
        <v>9117.0</v>
      </c>
      <c r="CU353" s="34">
        <v>46081.0</v>
      </c>
      <c r="CV353" s="34">
        <v>46081.0</v>
      </c>
      <c r="CW353" s="32">
        <v>181058.0</v>
      </c>
      <c r="CX353" s="32" t="s">
        <v>122</v>
      </c>
      <c r="CY353" s="32" t="s">
        <v>778</v>
      </c>
      <c r="CZ353" s="35">
        <v>13917.83</v>
      </c>
      <c r="DA353" s="35">
        <v>29643.55</v>
      </c>
      <c r="DB353" s="35">
        <v>-7590.88</v>
      </c>
      <c r="DC353" s="35">
        <v>0.58</v>
      </c>
      <c r="DD353" s="35">
        <v>0.0</v>
      </c>
      <c r="DE353" s="35">
        <v>0.0</v>
      </c>
      <c r="DF353" s="32"/>
    </row>
    <row r="354" ht="13.5" customHeight="1">
      <c r="A354" s="32" t="s">
        <v>203</v>
      </c>
      <c r="B354" s="33">
        <v>44166.0</v>
      </c>
      <c r="C354" s="32" t="s">
        <v>124</v>
      </c>
      <c r="D354" s="32" t="s">
        <v>125</v>
      </c>
      <c r="E354" s="32" t="s">
        <v>126</v>
      </c>
      <c r="F354" s="32" t="s">
        <v>231</v>
      </c>
      <c r="G354" s="32" t="s">
        <v>113</v>
      </c>
      <c r="H354" s="32" t="s">
        <v>114</v>
      </c>
      <c r="I354" s="34">
        <v>44185.0</v>
      </c>
      <c r="J354" s="34">
        <v>44186.0</v>
      </c>
      <c r="K354" s="32">
        <f t="shared" si="1"/>
        <v>1</v>
      </c>
      <c r="L354" s="32">
        <v>1.0</v>
      </c>
      <c r="M354" s="32">
        <f t="shared" si="2"/>
        <v>0</v>
      </c>
      <c r="N354" s="34">
        <v>44533.0</v>
      </c>
      <c r="O354" s="34">
        <v>44633.0</v>
      </c>
      <c r="P354" s="32">
        <f t="shared" si="3"/>
        <v>100</v>
      </c>
      <c r="Q354" s="32">
        <v>90.0</v>
      </c>
      <c r="R354" s="32">
        <f t="shared" si="4"/>
        <v>10</v>
      </c>
      <c r="S354" s="32" t="s">
        <v>931</v>
      </c>
      <c r="T354" s="32" t="s">
        <v>932</v>
      </c>
      <c r="U354" s="32" t="s">
        <v>117</v>
      </c>
      <c r="V354" s="32" t="s">
        <v>147</v>
      </c>
      <c r="W354" s="32" t="s">
        <v>133</v>
      </c>
      <c r="X354" s="32" t="s">
        <v>541</v>
      </c>
      <c r="Y354" s="32">
        <v>2021.0</v>
      </c>
      <c r="Z354" s="32" t="s">
        <v>135</v>
      </c>
      <c r="AA354" s="32">
        <v>2498.0</v>
      </c>
      <c r="AB354" s="32">
        <v>16.0</v>
      </c>
      <c r="AC354" s="32">
        <v>4.0</v>
      </c>
      <c r="AD354" s="35">
        <v>428869.57</v>
      </c>
      <c r="AE354" s="35">
        <v>63952.83</v>
      </c>
      <c r="AF354" s="36">
        <v>0.15</v>
      </c>
      <c r="AG354" s="35">
        <v>21235.92</v>
      </c>
      <c r="AH354" s="35">
        <v>2087.5</v>
      </c>
      <c r="AI354" s="32">
        <v>7.75</v>
      </c>
      <c r="AJ354" s="35">
        <v>192991.0</v>
      </c>
      <c r="AK354" s="32">
        <v>45.0</v>
      </c>
      <c r="AL354" s="34">
        <v>44633.0</v>
      </c>
      <c r="AM354" s="34">
        <v>46459.0</v>
      </c>
      <c r="AN354" s="32">
        <v>60.0</v>
      </c>
      <c r="AO354" s="32">
        <v>2500.0</v>
      </c>
      <c r="AP354" s="32">
        <v>150000.0</v>
      </c>
      <c r="AQ354" s="34">
        <v>46053.0</v>
      </c>
      <c r="AR354" s="32">
        <v>118632.0</v>
      </c>
      <c r="AS354" s="32">
        <v>121160.0</v>
      </c>
      <c r="AT354" s="32">
        <v>2528.0</v>
      </c>
      <c r="AU354" s="32">
        <v>119737.0</v>
      </c>
      <c r="AV354" s="32">
        <v>2303.0</v>
      </c>
      <c r="AW354" s="35">
        <v>5993.93</v>
      </c>
      <c r="AX354" s="35">
        <v>1242.05</v>
      </c>
      <c r="AY354" s="35">
        <v>125.0</v>
      </c>
      <c r="AZ354" s="35">
        <v>291.0</v>
      </c>
      <c r="BA354" s="35">
        <v>985.68</v>
      </c>
      <c r="BB354" s="35">
        <v>8637.66</v>
      </c>
      <c r="BC354" s="35">
        <v>1295.65</v>
      </c>
      <c r="BD354" s="35">
        <v>9933.31</v>
      </c>
      <c r="BE354" s="34">
        <v>45748.0</v>
      </c>
      <c r="BF354" s="34">
        <v>45838.0</v>
      </c>
      <c r="BG354" s="32">
        <v>114905.0</v>
      </c>
      <c r="BH354" s="32">
        <v>121160.0</v>
      </c>
      <c r="BI354" s="32">
        <v>6255.0</v>
      </c>
      <c r="BJ354" s="32">
        <v>7500.0</v>
      </c>
      <c r="BK354" s="32">
        <v>-1245.0</v>
      </c>
      <c r="BL354" s="35">
        <v>0.54</v>
      </c>
      <c r="BM354" s="35">
        <v>2.16</v>
      </c>
      <c r="BN354" s="35">
        <v>0.0</v>
      </c>
      <c r="BO354" s="35">
        <v>0.0</v>
      </c>
      <c r="BP354" s="35">
        <v>0.0</v>
      </c>
      <c r="BQ354" s="35">
        <v>-91.51</v>
      </c>
      <c r="BR354" s="35">
        <v>0.0</v>
      </c>
      <c r="BS354" s="35">
        <v>0.0</v>
      </c>
      <c r="BT354" s="35">
        <v>0.0</v>
      </c>
      <c r="BU354" s="35">
        <v>0.0</v>
      </c>
      <c r="BV354" s="35">
        <v>0.0</v>
      </c>
      <c r="BW354" s="35">
        <v>0.0</v>
      </c>
      <c r="BX354" s="35">
        <v>0.0</v>
      </c>
      <c r="BY354" s="35">
        <v>4135.81</v>
      </c>
      <c r="BZ354" s="32">
        <v>0.0</v>
      </c>
      <c r="CA354" s="35">
        <v>0.0</v>
      </c>
      <c r="CB354" s="32">
        <v>0.0</v>
      </c>
      <c r="CC354" s="35">
        <v>0.0</v>
      </c>
      <c r="CD354" s="35">
        <v>0.0</v>
      </c>
      <c r="CE354" s="35">
        <v>0.0</v>
      </c>
      <c r="CF354" s="35">
        <v>0.0</v>
      </c>
      <c r="CG354" s="35">
        <v>0.0</v>
      </c>
      <c r="CH354" s="35">
        <v>9231.75</v>
      </c>
      <c r="CI354" s="35">
        <v>1204.14</v>
      </c>
      <c r="CJ354" s="35">
        <v>8027.61</v>
      </c>
      <c r="CK354" s="35">
        <v>3.18</v>
      </c>
      <c r="CL354" s="32">
        <v>0.0</v>
      </c>
      <c r="CM354" s="32">
        <v>0.0</v>
      </c>
      <c r="CN354" s="32">
        <v>0.0</v>
      </c>
      <c r="CO354" s="32">
        <v>100.0</v>
      </c>
      <c r="CP354" s="34"/>
      <c r="CQ354" s="32">
        <v>0.0</v>
      </c>
      <c r="CR354" s="32">
        <v>0.0</v>
      </c>
      <c r="CS354" s="32">
        <v>0.0</v>
      </c>
      <c r="CT354" s="32">
        <v>-10838.0</v>
      </c>
      <c r="CU354" s="34">
        <v>46081.0</v>
      </c>
      <c r="CV354" s="34">
        <v>46081.0</v>
      </c>
      <c r="CW354" s="32">
        <v>151423.0</v>
      </c>
      <c r="CX354" s="32" t="s">
        <v>122</v>
      </c>
      <c r="CY354" s="32" t="s">
        <v>778</v>
      </c>
      <c r="CZ354" s="35">
        <v>12747.92</v>
      </c>
      <c r="DA354" s="35">
        <v>50905.42</v>
      </c>
      <c r="DB354" s="35">
        <v>-15138.11</v>
      </c>
      <c r="DC354" s="35">
        <v>0.49</v>
      </c>
      <c r="DD354" s="35">
        <v>-610.05</v>
      </c>
      <c r="DE354" s="35">
        <v>-701.56</v>
      </c>
      <c r="DF354" s="32"/>
    </row>
    <row r="355" ht="13.5" customHeight="1">
      <c r="A355" s="32" t="s">
        <v>203</v>
      </c>
      <c r="B355" s="33">
        <v>44166.0</v>
      </c>
      <c r="C355" s="32" t="s">
        <v>136</v>
      </c>
      <c r="D355" s="32" t="s">
        <v>137</v>
      </c>
      <c r="E355" s="32" t="s">
        <v>138</v>
      </c>
      <c r="F355" s="32" t="s">
        <v>112</v>
      </c>
      <c r="G355" s="32" t="s">
        <v>113</v>
      </c>
      <c r="H355" s="32" t="s">
        <v>129</v>
      </c>
      <c r="I355" s="34">
        <v>44186.0</v>
      </c>
      <c r="J355" s="34">
        <v>44187.0</v>
      </c>
      <c r="K355" s="32">
        <f t="shared" si="1"/>
        <v>1</v>
      </c>
      <c r="L355" s="32">
        <v>1.0</v>
      </c>
      <c r="M355" s="32">
        <f t="shared" si="2"/>
        <v>0</v>
      </c>
      <c r="N355" s="34">
        <v>44534.0</v>
      </c>
      <c r="O355" s="34">
        <v>44634.0</v>
      </c>
      <c r="P355" s="32">
        <f t="shared" si="3"/>
        <v>100</v>
      </c>
      <c r="Q355" s="32">
        <v>90.0</v>
      </c>
      <c r="R355" s="32">
        <f t="shared" si="4"/>
        <v>10</v>
      </c>
      <c r="S355" s="32" t="s">
        <v>933</v>
      </c>
      <c r="T355" s="32" t="s">
        <v>934</v>
      </c>
      <c r="U355" s="32" t="s">
        <v>117</v>
      </c>
      <c r="V355" s="32" t="s">
        <v>147</v>
      </c>
      <c r="W355" s="32" t="s">
        <v>133</v>
      </c>
      <c r="X355" s="32" t="s">
        <v>168</v>
      </c>
      <c r="Y355" s="32">
        <v>2023.0</v>
      </c>
      <c r="Z355" s="32" t="s">
        <v>135</v>
      </c>
      <c r="AA355" s="32">
        <v>2498.0</v>
      </c>
      <c r="AB355" s="32">
        <v>16.0</v>
      </c>
      <c r="AC355" s="32">
        <v>0.0</v>
      </c>
      <c r="AD355" s="35">
        <v>440782.61</v>
      </c>
      <c r="AE355" s="35">
        <v>77378.04</v>
      </c>
      <c r="AF355" s="36">
        <v>0.18</v>
      </c>
      <c r="AG355" s="35">
        <v>17282.75</v>
      </c>
      <c r="AH355" s="35">
        <v>1836.0</v>
      </c>
      <c r="AI355" s="32">
        <v>7.75</v>
      </c>
      <c r="AJ355" s="35">
        <v>185129.0</v>
      </c>
      <c r="AK355" s="32">
        <v>45.69</v>
      </c>
      <c r="AL355" s="34">
        <v>44634.0</v>
      </c>
      <c r="AM355" s="34">
        <v>46460.0</v>
      </c>
      <c r="AN355" s="32">
        <v>60.0</v>
      </c>
      <c r="AO355" s="32">
        <v>1500.0</v>
      </c>
      <c r="AP355" s="32">
        <v>90000.0</v>
      </c>
      <c r="AQ355" s="34">
        <v>46234.0</v>
      </c>
      <c r="AR355" s="32">
        <v>43817.0</v>
      </c>
      <c r="AS355" s="32">
        <v>45345.0</v>
      </c>
      <c r="AT355" s="32">
        <v>1528.0</v>
      </c>
      <c r="AU355" s="32">
        <v>45340.0</v>
      </c>
      <c r="AV355" s="32">
        <v>2061.0</v>
      </c>
      <c r="AW355" s="35">
        <v>6465.34</v>
      </c>
      <c r="AX355" s="35">
        <v>1021.8</v>
      </c>
      <c r="AY355" s="35">
        <v>125.0</v>
      </c>
      <c r="AZ355" s="35">
        <v>290.99</v>
      </c>
      <c r="BA355" s="35">
        <v>1083.24</v>
      </c>
      <c r="BB355" s="35">
        <v>8986.37</v>
      </c>
      <c r="BC355" s="35">
        <v>1347.96</v>
      </c>
      <c r="BD355" s="35">
        <v>10334.33</v>
      </c>
      <c r="BE355" s="34">
        <v>45748.0</v>
      </c>
      <c r="BF355" s="34">
        <v>45808.0</v>
      </c>
      <c r="BG355" s="32">
        <v>40477.0</v>
      </c>
      <c r="BH355" s="32">
        <v>43817.0</v>
      </c>
      <c r="BI355" s="32">
        <v>3340.0</v>
      </c>
      <c r="BJ355" s="32">
        <v>4500.0</v>
      </c>
      <c r="BK355" s="32">
        <v>368.0</v>
      </c>
      <c r="BL355" s="35">
        <v>0.78</v>
      </c>
      <c r="BM355" s="35">
        <v>2.98</v>
      </c>
      <c r="BN355" s="35">
        <v>0.0</v>
      </c>
      <c r="BO355" s="35">
        <v>0.0</v>
      </c>
      <c r="BP355" s="35">
        <v>0.0</v>
      </c>
      <c r="BQ355" s="35">
        <v>0.0</v>
      </c>
      <c r="BR355" s="35">
        <v>0.0</v>
      </c>
      <c r="BS355" s="35">
        <v>0.0</v>
      </c>
      <c r="BT355" s="35">
        <v>0.0</v>
      </c>
      <c r="BU355" s="35">
        <v>0.0</v>
      </c>
      <c r="BV355" s="35">
        <v>0.0</v>
      </c>
      <c r="BW355" s="35">
        <v>0.0</v>
      </c>
      <c r="BX355" s="35">
        <v>0.0</v>
      </c>
      <c r="BY355" s="35">
        <v>3556.25</v>
      </c>
      <c r="BZ355" s="32">
        <v>0.0</v>
      </c>
      <c r="CA355" s="35">
        <v>0.0</v>
      </c>
      <c r="CB355" s="32">
        <v>0.0</v>
      </c>
      <c r="CC355" s="35">
        <v>0.0</v>
      </c>
      <c r="CD355" s="35">
        <v>0.0</v>
      </c>
      <c r="CE355" s="35">
        <v>0.0</v>
      </c>
      <c r="CF355" s="35">
        <v>0.0</v>
      </c>
      <c r="CG355" s="35">
        <v>0.0</v>
      </c>
      <c r="CH355" s="35">
        <v>10334.33</v>
      </c>
      <c r="CI355" s="35">
        <v>1347.96</v>
      </c>
      <c r="CJ355" s="35">
        <v>8986.37</v>
      </c>
      <c r="CK355" s="35">
        <v>5.88</v>
      </c>
      <c r="CL355" s="32">
        <v>0.0</v>
      </c>
      <c r="CM355" s="32">
        <v>0.0</v>
      </c>
      <c r="CN355" s="32">
        <v>0.0</v>
      </c>
      <c r="CO355" s="32">
        <v>100.0</v>
      </c>
      <c r="CP355" s="34"/>
      <c r="CQ355" s="32">
        <v>0.0</v>
      </c>
      <c r="CR355" s="32">
        <v>0.0</v>
      </c>
      <c r="CS355" s="32">
        <v>0.0</v>
      </c>
      <c r="CT355" s="32">
        <v>10010.0</v>
      </c>
      <c r="CU355" s="34">
        <v>46996.0</v>
      </c>
      <c r="CV355" s="34">
        <v>46996.0</v>
      </c>
      <c r="CW355" s="32">
        <v>91448.0</v>
      </c>
      <c r="CX355" s="32" t="s">
        <v>122</v>
      </c>
      <c r="CY355" s="32" t="s">
        <v>778</v>
      </c>
      <c r="CZ355" s="35">
        <v>10042.92</v>
      </c>
      <c r="DA355" s="35">
        <v>38309.4</v>
      </c>
      <c r="DB355" s="35">
        <v>-2156.6</v>
      </c>
      <c r="DC355" s="35">
        <v>0.68</v>
      </c>
      <c r="DD355" s="35">
        <v>0.0</v>
      </c>
      <c r="DE355" s="35">
        <v>0.0</v>
      </c>
      <c r="DF355" s="32"/>
    </row>
    <row r="356" ht="13.5" customHeight="1">
      <c r="A356" s="32" t="s">
        <v>203</v>
      </c>
      <c r="B356" s="33">
        <v>44166.0</v>
      </c>
      <c r="C356" s="32" t="s">
        <v>109</v>
      </c>
      <c r="D356" s="32" t="s">
        <v>110</v>
      </c>
      <c r="E356" s="32" t="s">
        <v>111</v>
      </c>
      <c r="F356" s="32" t="s">
        <v>112</v>
      </c>
      <c r="G356" s="32" t="s">
        <v>113</v>
      </c>
      <c r="H356" s="32" t="s">
        <v>141</v>
      </c>
      <c r="I356" s="34">
        <v>44187.0</v>
      </c>
      <c r="J356" s="34">
        <v>44188.0</v>
      </c>
      <c r="K356" s="32">
        <f t="shared" si="1"/>
        <v>1</v>
      </c>
      <c r="L356" s="32">
        <v>1.0</v>
      </c>
      <c r="M356" s="32">
        <f t="shared" si="2"/>
        <v>0</v>
      </c>
      <c r="N356" s="34">
        <v>44535.0</v>
      </c>
      <c r="O356" s="34">
        <v>44635.0</v>
      </c>
      <c r="P356" s="32">
        <f t="shared" si="3"/>
        <v>100</v>
      </c>
      <c r="Q356" s="32">
        <v>90.0</v>
      </c>
      <c r="R356" s="32">
        <f t="shared" si="4"/>
        <v>10</v>
      </c>
      <c r="S356" s="32" t="s">
        <v>935</v>
      </c>
      <c r="T356" s="32" t="s">
        <v>936</v>
      </c>
      <c r="U356" s="32" t="s">
        <v>117</v>
      </c>
      <c r="V356" s="32" t="s">
        <v>132</v>
      </c>
      <c r="W356" s="32" t="s">
        <v>133</v>
      </c>
      <c r="X356" s="32" t="s">
        <v>164</v>
      </c>
      <c r="Y356" s="32">
        <v>2021.0</v>
      </c>
      <c r="Z356" s="32" t="s">
        <v>135</v>
      </c>
      <c r="AA356" s="32">
        <v>2498.0</v>
      </c>
      <c r="AB356" s="32">
        <v>16.0</v>
      </c>
      <c r="AC356" s="32">
        <v>0.0</v>
      </c>
      <c r="AD356" s="35">
        <v>305826.09</v>
      </c>
      <c r="AE356" s="35">
        <v>47723.1</v>
      </c>
      <c r="AF356" s="36">
        <v>0.16</v>
      </c>
      <c r="AG356" s="35">
        <v>20985.83</v>
      </c>
      <c r="AH356" s="35">
        <v>3771.4</v>
      </c>
      <c r="AI356" s="32">
        <v>7.75</v>
      </c>
      <c r="AJ356" s="35">
        <v>137622.0</v>
      </c>
      <c r="AK356" s="32">
        <v>45.0</v>
      </c>
      <c r="AL356" s="34">
        <v>44635.0</v>
      </c>
      <c r="AM356" s="34">
        <v>46461.0</v>
      </c>
      <c r="AN356" s="32">
        <v>60.0</v>
      </c>
      <c r="AO356" s="32">
        <v>1500.0</v>
      </c>
      <c r="AP356" s="32">
        <v>90000.0</v>
      </c>
      <c r="AQ356" s="34">
        <v>46081.0</v>
      </c>
      <c r="AR356" s="32">
        <v>18152.0</v>
      </c>
      <c r="AS356" s="32">
        <v>18979.0</v>
      </c>
      <c r="AT356" s="32">
        <v>827.0</v>
      </c>
      <c r="AU356" s="32">
        <v>17544.0</v>
      </c>
      <c r="AV356" s="32">
        <v>344.0</v>
      </c>
      <c r="AW356" s="35">
        <v>4504.09</v>
      </c>
      <c r="AX356" s="35">
        <v>1029.13</v>
      </c>
      <c r="AY356" s="35">
        <v>125.0</v>
      </c>
      <c r="AZ356" s="35">
        <v>291.0</v>
      </c>
      <c r="BA356" s="35">
        <v>1185.5</v>
      </c>
      <c r="BB356" s="35">
        <v>7134.72</v>
      </c>
      <c r="BC356" s="35">
        <v>1070.21</v>
      </c>
      <c r="BD356" s="35">
        <v>8204.93</v>
      </c>
      <c r="BE356" s="34">
        <v>45748.0</v>
      </c>
      <c r="BF356" s="34">
        <v>45838.0</v>
      </c>
      <c r="BG356" s="32">
        <v>17106.0</v>
      </c>
      <c r="BH356" s="32">
        <v>18979.0</v>
      </c>
      <c r="BI356" s="32">
        <v>1873.0</v>
      </c>
      <c r="BJ356" s="32">
        <v>4500.0</v>
      </c>
      <c r="BK356" s="32">
        <v>-2627.0</v>
      </c>
      <c r="BL356" s="35">
        <v>0.79</v>
      </c>
      <c r="BM356" s="35">
        <v>2.21</v>
      </c>
      <c r="BN356" s="35">
        <v>0.0</v>
      </c>
      <c r="BO356" s="35">
        <v>0.0</v>
      </c>
      <c r="BP356" s="35">
        <v>0.0</v>
      </c>
      <c r="BQ356" s="35">
        <v>-267.95</v>
      </c>
      <c r="BR356" s="35">
        <v>0.0</v>
      </c>
      <c r="BS356" s="35">
        <v>0.0</v>
      </c>
      <c r="BT356" s="35">
        <v>0.0</v>
      </c>
      <c r="BU356" s="35">
        <v>0.0</v>
      </c>
      <c r="BV356" s="35">
        <v>0.0</v>
      </c>
      <c r="BW356" s="35">
        <v>0.0</v>
      </c>
      <c r="BX356" s="35">
        <v>0.0</v>
      </c>
      <c r="BY356" s="35">
        <v>1329.2</v>
      </c>
      <c r="BZ356" s="32">
        <v>0.0</v>
      </c>
      <c r="CA356" s="35">
        <v>0.0</v>
      </c>
      <c r="CB356" s="32">
        <v>0.0</v>
      </c>
      <c r="CC356" s="35">
        <v>0.0</v>
      </c>
      <c r="CD356" s="35">
        <v>0.0</v>
      </c>
      <c r="CE356" s="35">
        <v>0.0</v>
      </c>
      <c r="CF356" s="35">
        <v>0.0</v>
      </c>
      <c r="CG356" s="35">
        <v>0.0</v>
      </c>
      <c r="CH356" s="35">
        <v>6150.62</v>
      </c>
      <c r="CI356" s="35">
        <v>802.26</v>
      </c>
      <c r="CJ356" s="35">
        <v>5348.36</v>
      </c>
      <c r="CK356" s="35">
        <v>6.47</v>
      </c>
      <c r="CL356" s="32">
        <v>0.0</v>
      </c>
      <c r="CM356" s="32">
        <v>0.0</v>
      </c>
      <c r="CN356" s="32">
        <v>0.0</v>
      </c>
      <c r="CO356" s="32">
        <v>100.0</v>
      </c>
      <c r="CP356" s="34"/>
      <c r="CQ356" s="32">
        <v>0.0</v>
      </c>
      <c r="CR356" s="32">
        <v>0.0</v>
      </c>
      <c r="CS356" s="32">
        <v>0.0</v>
      </c>
      <c r="CT356" s="32">
        <v>-59942.0</v>
      </c>
      <c r="CU356" s="34">
        <v>46112.0</v>
      </c>
      <c r="CV356" s="34">
        <v>46112.0</v>
      </c>
      <c r="CW356" s="32">
        <v>91435.0</v>
      </c>
      <c r="CX356" s="32" t="s">
        <v>122</v>
      </c>
      <c r="CY356" s="32" t="s">
        <v>778</v>
      </c>
      <c r="CZ356" s="35">
        <v>0.0</v>
      </c>
      <c r="DA356" s="35">
        <v>0.0</v>
      </c>
      <c r="DB356" s="35">
        <v>-38625.32</v>
      </c>
      <c r="DC356" s="35">
        <v>0.68</v>
      </c>
      <c r="DD356" s="35">
        <v>-1786.36</v>
      </c>
      <c r="DE356" s="35">
        <v>-2054.31</v>
      </c>
      <c r="DF356" s="32"/>
    </row>
    <row r="357" ht="13.5" customHeight="1">
      <c r="A357" s="32" t="s">
        <v>203</v>
      </c>
      <c r="B357" s="33">
        <v>44166.0</v>
      </c>
      <c r="C357" s="32" t="s">
        <v>124</v>
      </c>
      <c r="D357" s="32" t="s">
        <v>125</v>
      </c>
      <c r="E357" s="32" t="s">
        <v>126</v>
      </c>
      <c r="F357" s="32" t="s">
        <v>112</v>
      </c>
      <c r="G357" s="32" t="s">
        <v>113</v>
      </c>
      <c r="H357" s="32" t="s">
        <v>114</v>
      </c>
      <c r="I357" s="34">
        <v>44188.0</v>
      </c>
      <c r="J357" s="34">
        <v>44189.0</v>
      </c>
      <c r="K357" s="32">
        <f t="shared" si="1"/>
        <v>1</v>
      </c>
      <c r="L357" s="32">
        <v>1.0</v>
      </c>
      <c r="M357" s="32">
        <f t="shared" si="2"/>
        <v>0</v>
      </c>
      <c r="N357" s="34">
        <v>44536.0</v>
      </c>
      <c r="O357" s="34">
        <v>44636.0</v>
      </c>
      <c r="P357" s="32">
        <f t="shared" si="3"/>
        <v>100</v>
      </c>
      <c r="Q357" s="32">
        <v>90.0</v>
      </c>
      <c r="R357" s="32">
        <f t="shared" si="4"/>
        <v>10</v>
      </c>
      <c r="S357" s="32" t="s">
        <v>937</v>
      </c>
      <c r="T357" s="32" t="s">
        <v>938</v>
      </c>
      <c r="U357" s="32" t="s">
        <v>117</v>
      </c>
      <c r="V357" s="32" t="s">
        <v>147</v>
      </c>
      <c r="W357" s="32" t="s">
        <v>208</v>
      </c>
      <c r="X357" s="32" t="s">
        <v>939</v>
      </c>
      <c r="Y357" s="32">
        <v>2021.0</v>
      </c>
      <c r="Z357" s="32" t="s">
        <v>135</v>
      </c>
      <c r="AA357" s="32">
        <v>1998.0</v>
      </c>
      <c r="AB357" s="32">
        <v>16.0</v>
      </c>
      <c r="AC357" s="32">
        <v>3.0</v>
      </c>
      <c r="AD357" s="35">
        <v>485300.0</v>
      </c>
      <c r="AE357" s="35">
        <v>58995.85</v>
      </c>
      <c r="AF357" s="36">
        <v>0.12</v>
      </c>
      <c r="AG357" s="35">
        <v>28543.1</v>
      </c>
      <c r="AH357" s="35">
        <v>2486.5</v>
      </c>
      <c r="AI357" s="32">
        <v>7.75</v>
      </c>
      <c r="AJ357" s="35">
        <v>174708.0</v>
      </c>
      <c r="AK357" s="32">
        <v>36.0</v>
      </c>
      <c r="AL357" s="34">
        <v>44636.0</v>
      </c>
      <c r="AM357" s="34">
        <v>46462.0</v>
      </c>
      <c r="AN357" s="32">
        <v>60.0</v>
      </c>
      <c r="AO357" s="32">
        <v>3000.0</v>
      </c>
      <c r="AP357" s="32">
        <v>180000.0</v>
      </c>
      <c r="AQ357" s="34">
        <v>46081.0</v>
      </c>
      <c r="AR357" s="32">
        <v>68469.0</v>
      </c>
      <c r="AS357" s="32">
        <v>69896.0</v>
      </c>
      <c r="AT357" s="32">
        <v>1427.0</v>
      </c>
      <c r="AU357" s="32">
        <v>68411.0</v>
      </c>
      <c r="AV357" s="32">
        <v>1341.0</v>
      </c>
      <c r="AW357" s="35">
        <v>7587.32</v>
      </c>
      <c r="AX357" s="35">
        <v>1490.45</v>
      </c>
      <c r="AY357" s="35">
        <v>190.0</v>
      </c>
      <c r="AZ357" s="35">
        <v>291.0</v>
      </c>
      <c r="BA357" s="35">
        <v>1083.24</v>
      </c>
      <c r="BB357" s="35">
        <v>10642.01</v>
      </c>
      <c r="BC357" s="35">
        <v>1596.3</v>
      </c>
      <c r="BD357" s="35">
        <v>12238.31</v>
      </c>
      <c r="BE357" s="34">
        <v>45748.0</v>
      </c>
      <c r="BF357" s="34">
        <v>45838.0</v>
      </c>
      <c r="BG357" s="32">
        <v>64312.0</v>
      </c>
      <c r="BH357" s="32">
        <v>69896.0</v>
      </c>
      <c r="BI357" s="32">
        <v>5584.0</v>
      </c>
      <c r="BJ357" s="32">
        <v>9000.0</v>
      </c>
      <c r="BK357" s="32">
        <v>-3416.0</v>
      </c>
      <c r="BL357" s="35">
        <v>0.58</v>
      </c>
      <c r="BM357" s="35">
        <v>2.04</v>
      </c>
      <c r="BN357" s="35">
        <v>0.0</v>
      </c>
      <c r="BO357" s="35">
        <v>0.0</v>
      </c>
      <c r="BP357" s="35">
        <v>0.0</v>
      </c>
      <c r="BQ357" s="35">
        <v>-251.08</v>
      </c>
      <c r="BR357" s="35">
        <v>0.0</v>
      </c>
      <c r="BS357" s="35">
        <v>0.0</v>
      </c>
      <c r="BT357" s="35">
        <v>0.0</v>
      </c>
      <c r="BU357" s="35">
        <v>0.0</v>
      </c>
      <c r="BV357" s="35">
        <v>0.0</v>
      </c>
      <c r="BW357" s="35">
        <v>0.0</v>
      </c>
      <c r="BX357" s="35">
        <v>0.0</v>
      </c>
      <c r="BY357" s="35">
        <v>2652.5</v>
      </c>
      <c r="BZ357" s="32">
        <v>0.0</v>
      </c>
      <c r="CA357" s="35">
        <v>0.0</v>
      </c>
      <c r="CB357" s="32">
        <v>0.0</v>
      </c>
      <c r="CC357" s="35">
        <v>0.0</v>
      </c>
      <c r="CD357" s="35">
        <v>0.0</v>
      </c>
      <c r="CE357" s="35">
        <v>0.0</v>
      </c>
      <c r="CF357" s="35">
        <v>0.0</v>
      </c>
      <c r="CG357" s="35">
        <v>0.0</v>
      </c>
      <c r="CH357" s="35">
        <v>10313.39</v>
      </c>
      <c r="CI357" s="35">
        <v>1345.22</v>
      </c>
      <c r="CJ357" s="35">
        <v>8968.17</v>
      </c>
      <c r="CK357" s="35">
        <v>6.28</v>
      </c>
      <c r="CL357" s="32">
        <v>0.0</v>
      </c>
      <c r="CM357" s="32">
        <v>0.0</v>
      </c>
      <c r="CN357" s="32">
        <v>0.0</v>
      </c>
      <c r="CO357" s="32">
        <v>100.0</v>
      </c>
      <c r="CP357" s="34"/>
      <c r="CQ357" s="32">
        <v>0.0</v>
      </c>
      <c r="CR357" s="32">
        <v>0.0</v>
      </c>
      <c r="CS357" s="32">
        <v>0.0</v>
      </c>
      <c r="CT357" s="32">
        <v>-86561.0</v>
      </c>
      <c r="CU357" s="34">
        <v>46112.0</v>
      </c>
      <c r="CV357" s="34">
        <v>46112.0</v>
      </c>
      <c r="CW357" s="32">
        <v>181485.0</v>
      </c>
      <c r="CX357" s="32" t="s">
        <v>122</v>
      </c>
      <c r="CY357" s="32" t="s">
        <v>778</v>
      </c>
      <c r="CZ357" s="35">
        <v>0.0</v>
      </c>
      <c r="DA357" s="35">
        <v>0.0</v>
      </c>
      <c r="DB357" s="35">
        <v>-40232.51</v>
      </c>
      <c r="DC357" s="35">
        <v>0.49</v>
      </c>
      <c r="DD357" s="35">
        <v>-1673.84</v>
      </c>
      <c r="DE357" s="35">
        <v>-1924.92</v>
      </c>
      <c r="DF357" s="32"/>
    </row>
    <row r="358" ht="13.5" customHeight="1">
      <c r="A358" s="32" t="s">
        <v>228</v>
      </c>
      <c r="B358" s="33">
        <v>44166.0</v>
      </c>
      <c r="C358" s="32" t="s">
        <v>136</v>
      </c>
      <c r="D358" s="32" t="s">
        <v>137</v>
      </c>
      <c r="E358" s="32" t="s">
        <v>138</v>
      </c>
      <c r="F358" s="32" t="s">
        <v>112</v>
      </c>
      <c r="G358" s="32" t="s">
        <v>113</v>
      </c>
      <c r="H358" s="32" t="s">
        <v>129</v>
      </c>
      <c r="I358" s="34">
        <v>44189.0</v>
      </c>
      <c r="J358" s="34">
        <v>44193.0</v>
      </c>
      <c r="K358" s="32">
        <f t="shared" si="1"/>
        <v>4</v>
      </c>
      <c r="L358" s="32">
        <v>1.0</v>
      </c>
      <c r="M358" s="32">
        <f t="shared" si="2"/>
        <v>3</v>
      </c>
      <c r="N358" s="34">
        <v>44537.0</v>
      </c>
      <c r="O358" s="34">
        <v>44637.0</v>
      </c>
      <c r="P358" s="32">
        <f t="shared" si="3"/>
        <v>100</v>
      </c>
      <c r="Q358" s="32">
        <v>90.0</v>
      </c>
      <c r="R358" s="32">
        <f t="shared" si="4"/>
        <v>10</v>
      </c>
      <c r="S358" s="32" t="s">
        <v>940</v>
      </c>
      <c r="T358" s="32" t="s">
        <v>941</v>
      </c>
      <c r="U358" s="32" t="s">
        <v>117</v>
      </c>
      <c r="V358" s="32" t="s">
        <v>132</v>
      </c>
      <c r="W358" s="32" t="s">
        <v>133</v>
      </c>
      <c r="X358" s="32" t="s">
        <v>164</v>
      </c>
      <c r="Y358" s="32">
        <v>2021.0</v>
      </c>
      <c r="Z358" s="32" t="s">
        <v>135</v>
      </c>
      <c r="AA358" s="32">
        <v>2498.0</v>
      </c>
      <c r="AB358" s="32">
        <v>16.0</v>
      </c>
      <c r="AC358" s="32">
        <v>0.0</v>
      </c>
      <c r="AD358" s="35">
        <v>305826.09</v>
      </c>
      <c r="AE358" s="35">
        <v>47723.1</v>
      </c>
      <c r="AF358" s="36">
        <v>0.16</v>
      </c>
      <c r="AG358" s="35">
        <v>32404.16</v>
      </c>
      <c r="AH358" s="35">
        <v>2678.5</v>
      </c>
      <c r="AI358" s="32">
        <v>7.75</v>
      </c>
      <c r="AJ358" s="35">
        <v>137622.0</v>
      </c>
      <c r="AK358" s="32">
        <v>45.0</v>
      </c>
      <c r="AL358" s="34">
        <v>44637.0</v>
      </c>
      <c r="AM358" s="34">
        <v>46463.0</v>
      </c>
      <c r="AN358" s="32">
        <v>60.0</v>
      </c>
      <c r="AO358" s="32">
        <v>1500.0</v>
      </c>
      <c r="AP358" s="32">
        <v>90000.0</v>
      </c>
      <c r="AQ358" s="34">
        <v>46081.0</v>
      </c>
      <c r="AR358" s="32">
        <v>47638.0</v>
      </c>
      <c r="AS358" s="32">
        <v>48460.0</v>
      </c>
      <c r="AT358" s="32">
        <v>822.0</v>
      </c>
      <c r="AU358" s="32">
        <v>47019.0</v>
      </c>
      <c r="AV358" s="32">
        <v>922.0</v>
      </c>
      <c r="AW358" s="35">
        <v>4736.47</v>
      </c>
      <c r="AX358" s="35">
        <v>1029.13</v>
      </c>
      <c r="AY358" s="35">
        <v>125.0</v>
      </c>
      <c r="AZ358" s="35">
        <v>291.0</v>
      </c>
      <c r="BA358" s="35">
        <v>1185.5</v>
      </c>
      <c r="BB358" s="35">
        <v>7367.1</v>
      </c>
      <c r="BC358" s="35">
        <v>1105.07</v>
      </c>
      <c r="BD358" s="35">
        <v>8472.17</v>
      </c>
      <c r="BE358" s="34">
        <v>45748.0</v>
      </c>
      <c r="BF358" s="34">
        <v>45838.0</v>
      </c>
      <c r="BG358" s="32">
        <v>45133.0</v>
      </c>
      <c r="BH358" s="32">
        <v>48460.0</v>
      </c>
      <c r="BI358" s="32">
        <v>3327.0</v>
      </c>
      <c r="BJ358" s="32">
        <v>4500.0</v>
      </c>
      <c r="BK358" s="32">
        <v>-1173.0</v>
      </c>
      <c r="BL358" s="35">
        <v>0.79</v>
      </c>
      <c r="BM358" s="35">
        <v>2.21</v>
      </c>
      <c r="BN358" s="35">
        <v>0.0</v>
      </c>
      <c r="BO358" s="35">
        <v>0.0</v>
      </c>
      <c r="BP358" s="35">
        <v>0.0</v>
      </c>
      <c r="BQ358" s="35">
        <v>-119.65</v>
      </c>
      <c r="BR358" s="35">
        <v>0.0</v>
      </c>
      <c r="BS358" s="35">
        <v>0.0</v>
      </c>
      <c r="BT358" s="35">
        <v>0.0</v>
      </c>
      <c r="BU358" s="35">
        <v>0.0</v>
      </c>
      <c r="BV358" s="35">
        <v>0.0</v>
      </c>
      <c r="BW358" s="35">
        <v>0.0</v>
      </c>
      <c r="BX358" s="35">
        <v>0.0</v>
      </c>
      <c r="BY358" s="35">
        <v>1725.25</v>
      </c>
      <c r="BZ358" s="32">
        <v>0.0</v>
      </c>
      <c r="CA358" s="35">
        <v>0.0</v>
      </c>
      <c r="CB358" s="32">
        <v>0.0</v>
      </c>
      <c r="CC358" s="35">
        <v>0.0</v>
      </c>
      <c r="CD358" s="35">
        <v>0.0</v>
      </c>
      <c r="CE358" s="35">
        <v>0.0</v>
      </c>
      <c r="CF358" s="35">
        <v>0.0</v>
      </c>
      <c r="CG358" s="35">
        <v>0.0</v>
      </c>
      <c r="CH358" s="35">
        <v>7554.88</v>
      </c>
      <c r="CI358" s="35">
        <v>985.42</v>
      </c>
      <c r="CJ358" s="35">
        <v>6569.46</v>
      </c>
      <c r="CK358" s="35">
        <v>7.99</v>
      </c>
      <c r="CL358" s="32">
        <v>0.0</v>
      </c>
      <c r="CM358" s="32">
        <v>0.0</v>
      </c>
      <c r="CN358" s="32">
        <v>0.0</v>
      </c>
      <c r="CO358" s="32">
        <v>100.0</v>
      </c>
      <c r="CP358" s="34"/>
      <c r="CQ358" s="32">
        <v>0.0</v>
      </c>
      <c r="CR358" s="32">
        <v>0.0</v>
      </c>
      <c r="CS358" s="32">
        <v>0.0</v>
      </c>
      <c r="CT358" s="32">
        <v>-30467.0</v>
      </c>
      <c r="CU358" s="34">
        <v>46112.0</v>
      </c>
      <c r="CV358" s="34">
        <v>46112.0</v>
      </c>
      <c r="CW358" s="32">
        <v>91441.0</v>
      </c>
      <c r="CX358" s="32" t="s">
        <v>122</v>
      </c>
      <c r="CY358" s="32" t="s">
        <v>778</v>
      </c>
      <c r="CZ358" s="35">
        <v>2873.23</v>
      </c>
      <c r="DA358" s="35">
        <v>8037.77</v>
      </c>
      <c r="DB358" s="35">
        <v>-21476.98</v>
      </c>
      <c r="DC358" s="35">
        <v>0.68</v>
      </c>
      <c r="DD358" s="35">
        <v>-797.64</v>
      </c>
      <c r="DE358" s="35">
        <v>-917.29</v>
      </c>
      <c r="DF358" s="32"/>
    </row>
    <row r="359" ht="13.5" customHeight="1">
      <c r="A359" s="32" t="s">
        <v>228</v>
      </c>
      <c r="B359" s="33">
        <v>44166.0</v>
      </c>
      <c r="C359" s="32" t="s">
        <v>109</v>
      </c>
      <c r="D359" s="32" t="s">
        <v>110</v>
      </c>
      <c r="E359" s="32" t="s">
        <v>111</v>
      </c>
      <c r="F359" s="32" t="s">
        <v>112</v>
      </c>
      <c r="G359" s="32" t="s">
        <v>113</v>
      </c>
      <c r="H359" s="32" t="s">
        <v>141</v>
      </c>
      <c r="I359" s="34">
        <v>44190.0</v>
      </c>
      <c r="J359" s="34">
        <v>44191.0</v>
      </c>
      <c r="K359" s="32">
        <f t="shared" si="1"/>
        <v>1</v>
      </c>
      <c r="L359" s="32">
        <v>1.0</v>
      </c>
      <c r="M359" s="32">
        <f t="shared" si="2"/>
        <v>0</v>
      </c>
      <c r="N359" s="34">
        <v>44538.0</v>
      </c>
      <c r="O359" s="34">
        <v>44699.0</v>
      </c>
      <c r="P359" s="32">
        <f t="shared" si="3"/>
        <v>161</v>
      </c>
      <c r="Q359" s="32">
        <v>90.0</v>
      </c>
      <c r="R359" s="32">
        <f t="shared" si="4"/>
        <v>71</v>
      </c>
      <c r="S359" s="32" t="s">
        <v>942</v>
      </c>
      <c r="T359" s="32" t="s">
        <v>943</v>
      </c>
      <c r="U359" s="32" t="s">
        <v>117</v>
      </c>
      <c r="V359" s="32" t="s">
        <v>132</v>
      </c>
      <c r="W359" s="32" t="s">
        <v>133</v>
      </c>
      <c r="X359" s="32" t="s">
        <v>164</v>
      </c>
      <c r="Y359" s="32">
        <v>2021.0</v>
      </c>
      <c r="Z359" s="32" t="s">
        <v>135</v>
      </c>
      <c r="AA359" s="32">
        <v>2498.0</v>
      </c>
      <c r="AB359" s="32">
        <v>16.0</v>
      </c>
      <c r="AC359" s="32">
        <v>1.0</v>
      </c>
      <c r="AD359" s="35">
        <v>305826.09</v>
      </c>
      <c r="AE359" s="35">
        <v>47723.1</v>
      </c>
      <c r="AF359" s="36">
        <v>0.16</v>
      </c>
      <c r="AG359" s="35">
        <v>21113.78</v>
      </c>
      <c r="AH359" s="35">
        <v>2678.5</v>
      </c>
      <c r="AI359" s="32">
        <v>7.75</v>
      </c>
      <c r="AJ359" s="35">
        <v>137622.0</v>
      </c>
      <c r="AK359" s="32">
        <v>45.0</v>
      </c>
      <c r="AL359" s="34">
        <v>44699.0</v>
      </c>
      <c r="AM359" s="34">
        <v>46525.0</v>
      </c>
      <c r="AN359" s="32">
        <v>60.0</v>
      </c>
      <c r="AO359" s="32">
        <v>1500.0</v>
      </c>
      <c r="AP359" s="32">
        <v>90000.0</v>
      </c>
      <c r="AQ359" s="34">
        <v>45900.0</v>
      </c>
      <c r="AR359" s="32">
        <v>75859.0</v>
      </c>
      <c r="AS359" s="32">
        <v>77786.0</v>
      </c>
      <c r="AT359" s="32">
        <v>1927.0</v>
      </c>
      <c r="AU359" s="32">
        <v>76301.0</v>
      </c>
      <c r="AV359" s="32">
        <v>1496.0</v>
      </c>
      <c r="AW359" s="35">
        <v>4506.66</v>
      </c>
      <c r="AX359" s="35">
        <v>1029.13</v>
      </c>
      <c r="AY359" s="35">
        <v>125.0</v>
      </c>
      <c r="AZ359" s="35">
        <v>291.0</v>
      </c>
      <c r="BA359" s="35">
        <v>1185.5</v>
      </c>
      <c r="BB359" s="35">
        <v>7137.29</v>
      </c>
      <c r="BC359" s="35">
        <v>1070.59</v>
      </c>
      <c r="BD359" s="35">
        <v>8207.88</v>
      </c>
      <c r="BE359" s="34">
        <v>45748.0</v>
      </c>
      <c r="BF359" s="34">
        <v>45838.0</v>
      </c>
      <c r="BG359" s="32">
        <v>72136.0</v>
      </c>
      <c r="BH359" s="32">
        <v>77786.0</v>
      </c>
      <c r="BI359" s="32">
        <v>5650.0</v>
      </c>
      <c r="BJ359" s="32">
        <v>4500.0</v>
      </c>
      <c r="BK359" s="32">
        <v>1150.0</v>
      </c>
      <c r="BL359" s="35">
        <v>0.79</v>
      </c>
      <c r="BM359" s="35">
        <v>2.21</v>
      </c>
      <c r="BN359" s="35">
        <v>908.5</v>
      </c>
      <c r="BO359" s="35">
        <v>2541.5</v>
      </c>
      <c r="BP359" s="35">
        <v>3450.0</v>
      </c>
      <c r="BQ359" s="35">
        <v>517.5</v>
      </c>
      <c r="BR359" s="35">
        <v>3967.5</v>
      </c>
      <c r="BS359" s="35">
        <v>0.0</v>
      </c>
      <c r="BT359" s="35">
        <v>0.0</v>
      </c>
      <c r="BU359" s="35">
        <v>0.0</v>
      </c>
      <c r="BV359" s="35">
        <v>0.0</v>
      </c>
      <c r="BW359" s="35">
        <v>0.0</v>
      </c>
      <c r="BX359" s="35">
        <v>0.0</v>
      </c>
      <c r="BY359" s="35">
        <v>4129.34</v>
      </c>
      <c r="BZ359" s="32">
        <v>0.0</v>
      </c>
      <c r="CA359" s="35">
        <v>0.0</v>
      </c>
      <c r="CB359" s="32">
        <v>0.0</v>
      </c>
      <c r="CC359" s="35">
        <v>0.0</v>
      </c>
      <c r="CD359" s="35">
        <v>0.0</v>
      </c>
      <c r="CE359" s="35">
        <v>0.0</v>
      </c>
      <c r="CF359" s="35">
        <v>0.0</v>
      </c>
      <c r="CG359" s="35">
        <v>0.0</v>
      </c>
      <c r="CH359" s="35">
        <v>12175.38</v>
      </c>
      <c r="CI359" s="35">
        <v>1588.09</v>
      </c>
      <c r="CJ359" s="35">
        <v>10587.29</v>
      </c>
      <c r="CK359" s="35">
        <v>5.49</v>
      </c>
      <c r="CL359" s="32">
        <v>0.0</v>
      </c>
      <c r="CM359" s="32">
        <v>0.0</v>
      </c>
      <c r="CN359" s="32">
        <v>0.0</v>
      </c>
      <c r="CO359" s="32">
        <v>100.0</v>
      </c>
      <c r="CP359" s="34"/>
      <c r="CQ359" s="32">
        <v>0.0</v>
      </c>
      <c r="CR359" s="32">
        <v>0.0</v>
      </c>
      <c r="CS359" s="32">
        <v>0.0</v>
      </c>
      <c r="CT359" s="32">
        <v>-1185.0</v>
      </c>
      <c r="CU359" s="34">
        <v>46112.0</v>
      </c>
      <c r="CV359" s="34">
        <v>46112.0</v>
      </c>
      <c r="CW359" s="32">
        <v>91485.0</v>
      </c>
      <c r="CX359" s="32" t="s">
        <v>122</v>
      </c>
      <c r="CY359" s="32" t="s">
        <v>778</v>
      </c>
      <c r="CZ359" s="35">
        <v>6302.22</v>
      </c>
      <c r="DA359" s="35">
        <v>17623.22</v>
      </c>
      <c r="DB359" s="35">
        <v>-5839.36</v>
      </c>
      <c r="DC359" s="35">
        <v>0.68</v>
      </c>
      <c r="DD359" s="35">
        <v>0.0</v>
      </c>
      <c r="DE359" s="35">
        <v>0.0</v>
      </c>
      <c r="DF359" s="32"/>
    </row>
  </sheetData>
  <autoFilter ref="$A$1:$DE$35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13"/>
    <col customWidth="1" min="3" max="3" width="20.0"/>
    <col customWidth="1" min="4" max="4" width="21.63"/>
    <col customWidth="1" min="5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A13" s="66"/>
      <c r="B13" s="67"/>
      <c r="C13" s="68"/>
    </row>
    <row r="14" ht="14.25" customHeight="1">
      <c r="A14" s="66"/>
      <c r="B14" s="67"/>
      <c r="C14" s="68"/>
    </row>
    <row r="15" ht="14.25" customHeight="1">
      <c r="A15" s="66"/>
      <c r="B15" s="67"/>
      <c r="C15" s="68"/>
    </row>
    <row r="16" ht="14.25" customHeight="1">
      <c r="A16" s="66"/>
      <c r="B16" s="67"/>
      <c r="C16" s="68"/>
    </row>
    <row r="17" ht="14.25" customHeight="1">
      <c r="A17" s="66"/>
      <c r="B17" s="67"/>
      <c r="C17" s="68"/>
    </row>
    <row r="18" ht="14.25" customHeight="1">
      <c r="A18" s="66"/>
      <c r="B18" s="67"/>
      <c r="C18" s="68"/>
    </row>
    <row r="19" ht="14.25" customHeight="1">
      <c r="A19" s="66"/>
      <c r="B19" s="67"/>
      <c r="C19" s="68"/>
    </row>
    <row r="20" ht="14.25" customHeight="1">
      <c r="A20" s="69"/>
      <c r="B20" s="70"/>
      <c r="C20" s="7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9.13"/>
    <col customWidth="1" min="3" max="3" width="7.13"/>
    <col customWidth="1" min="4" max="4" width="12.5"/>
    <col customWidth="1" min="5" max="5" width="26.13"/>
    <col customWidth="1" min="6" max="6" width="8.63"/>
    <col customWidth="1" min="7" max="7" width="14.38"/>
    <col customWidth="1" min="8" max="8" width="13.75"/>
    <col customWidth="1" min="9" max="9" width="24.38"/>
    <col customWidth="1" min="10" max="10" width="12.0"/>
    <col customWidth="1" min="11" max="11" width="10.75"/>
    <col customWidth="1" min="12" max="12" width="13.88"/>
    <col customWidth="1" min="13" max="13" width="18.88"/>
    <col customWidth="1" min="14" max="15" width="10.13"/>
    <col customWidth="1" min="16" max="16" width="13.88"/>
    <col customWidth="1" min="17" max="17" width="10.38"/>
    <col customWidth="1" min="18" max="26" width="8.63"/>
  </cols>
  <sheetData>
    <row r="1" ht="14.25" customHeight="1">
      <c r="A1" s="72" t="s">
        <v>947</v>
      </c>
    </row>
    <row r="2" ht="14.25" customHeight="1">
      <c r="A2" s="65" t="s">
        <v>948</v>
      </c>
    </row>
    <row r="3" ht="14.25" customHeight="1">
      <c r="A3" s="73" t="str">
        <f>'Test 4-Stats'!S1</f>
        <v>Reg No</v>
      </c>
      <c r="B3" s="74" t="str">
        <f>'Test 4-Stats'!Y1</f>
        <v>Year</v>
      </c>
      <c r="C3" s="74" t="str">
        <f>'Test 4-Stats'!W1</f>
        <v>Make</v>
      </c>
      <c r="D3" s="74" t="str">
        <f>'Test 4-Stats'!V1</f>
        <v>Rate Category</v>
      </c>
      <c r="E3" s="74" t="str">
        <f>'Test 4-Stats'!X1</f>
        <v>Model</v>
      </c>
      <c r="F3" s="74" t="str">
        <f t="array" ref="F3:G3">'Test 4-Stats'!Z1:AA1</f>
        <v>Fuel Type</v>
      </c>
      <c r="G3" s="74" t="s">
        <v>26</v>
      </c>
      <c r="H3" s="74" t="str">
        <f t="array" ref="H3:M3">'Test 4-Stats'!C1:H1</f>
        <v>Business Unit</v>
      </c>
      <c r="I3" s="74" t="s">
        <v>3</v>
      </c>
      <c r="J3" s="74" t="s">
        <v>4</v>
      </c>
      <c r="K3" s="74" t="s">
        <v>5</v>
      </c>
      <c r="L3" s="74" t="s">
        <v>6</v>
      </c>
      <c r="M3" s="74" t="s">
        <v>7</v>
      </c>
      <c r="N3" s="75" t="str">
        <f t="array" ref="N3:P3">'Test 4-Stats'!AL1:AN1</f>
        <v>Start Date</v>
      </c>
      <c r="O3" s="75" t="s">
        <v>38</v>
      </c>
      <c r="P3" s="74" t="s">
        <v>39</v>
      </c>
      <c r="Q3" s="74" t="str">
        <f>'Test 4-Stats'!CX1</f>
        <v>Deal Status</v>
      </c>
      <c r="R3" s="74"/>
      <c r="S3" s="74"/>
      <c r="T3" s="74"/>
      <c r="U3" s="74"/>
      <c r="V3" s="74"/>
      <c r="W3" s="74"/>
      <c r="X3" s="74"/>
      <c r="Y3" s="74"/>
      <c r="Z3" s="74"/>
    </row>
    <row r="4" ht="14.25" customHeight="1">
      <c r="A4" s="76" t="str">
        <f>'Test 4-Stats'!S2</f>
        <v>Reg 1</v>
      </c>
      <c r="B4" s="77">
        <f>'Test 4-Stats'!Y2</f>
        <v>2020</v>
      </c>
      <c r="C4" s="77" t="str">
        <f>'Test 4-Stats'!W2</f>
        <v>NISSAN</v>
      </c>
      <c r="D4" s="77" t="str">
        <f>'Test 4-Stats'!V2</f>
        <v>HALF TON LDV</v>
      </c>
      <c r="E4" s="77" t="str">
        <f>'Test 4-Stats'!X2</f>
        <v>NP200 1.6 8V AC SAFETY PACK</v>
      </c>
      <c r="F4" s="77" t="str">
        <f t="array" ref="F4:G4">'Test 4-Stats'!Z2:AA2</f>
        <v>PETROL</v>
      </c>
      <c r="G4" s="77">
        <v>1598.0</v>
      </c>
      <c r="H4" s="77" t="str">
        <f t="array" ref="H4:M4">'Test 4-Stats'!C2:H2</f>
        <v>Business Unit 1</v>
      </c>
      <c r="I4" s="77" t="s">
        <v>110</v>
      </c>
      <c r="J4" s="77" t="s">
        <v>111</v>
      </c>
      <c r="K4" s="77" t="s">
        <v>112</v>
      </c>
      <c r="L4" s="77" t="s">
        <v>113</v>
      </c>
      <c r="M4" s="77" t="s">
        <v>114</v>
      </c>
      <c r="N4" s="78">
        <f t="array" ref="N4:P4">'Test 4-Stats'!AL2:AN2</f>
        <v>43886</v>
      </c>
      <c r="O4" s="78">
        <v>45713.0</v>
      </c>
      <c r="P4" s="77">
        <v>60.0</v>
      </c>
      <c r="Q4" s="77" t="str">
        <f>'Test 4-Stats'!CX2</f>
        <v>Active</v>
      </c>
      <c r="R4" s="77"/>
      <c r="S4" s="77"/>
      <c r="T4" s="77"/>
      <c r="U4" s="77"/>
      <c r="V4" s="77"/>
      <c r="W4" s="77"/>
      <c r="X4" s="77"/>
      <c r="Y4" s="77"/>
      <c r="Z4" s="77"/>
    </row>
    <row r="5" ht="14.25" customHeight="1">
      <c r="A5" s="76" t="str">
        <f>'Test 4-Stats'!S3</f>
        <v>Reg 2</v>
      </c>
      <c r="B5" s="77">
        <f>'Test 4-Stats'!Y3</f>
        <v>2019</v>
      </c>
      <c r="C5" s="77" t="str">
        <f>'Test 4-Stats'!W3</f>
        <v>ISUZU</v>
      </c>
      <c r="D5" s="77" t="str">
        <f>'Test 4-Stats'!V3</f>
        <v>ONE TON LDV SINGLE CAB</v>
      </c>
      <c r="E5" s="77" t="str">
        <f>'Test 4-Stats'!X3</f>
        <v>KB 250 D-TEQ FLEETSIDE (SAFETY)</v>
      </c>
      <c r="F5" s="77" t="str">
        <f t="array" ref="F5:G5">'Test 4-Stats'!Z3:AA3</f>
        <v>DIESEL</v>
      </c>
      <c r="G5" s="77">
        <v>2498.0</v>
      </c>
      <c r="H5" s="77" t="str">
        <f t="array" ref="H5:M5">'Test 4-Stats'!C3:H3</f>
        <v>Business Unit 2</v>
      </c>
      <c r="I5" s="77" t="s">
        <v>125</v>
      </c>
      <c r="J5" s="77" t="s">
        <v>126</v>
      </c>
      <c r="K5" s="77" t="s">
        <v>127</v>
      </c>
      <c r="L5" s="77" t="s">
        <v>128</v>
      </c>
      <c r="M5" s="77" t="s">
        <v>129</v>
      </c>
      <c r="N5" s="78">
        <f t="array" ref="N5:P5">'Test 4-Stats'!AL3:AN3</f>
        <v>43977</v>
      </c>
      <c r="O5" s="78">
        <v>45803.0</v>
      </c>
      <c r="P5" s="77">
        <v>60.0</v>
      </c>
      <c r="Q5" s="77" t="str">
        <f>'Test 4-Stats'!CX3</f>
        <v>Active</v>
      </c>
      <c r="R5" s="77"/>
      <c r="S5" s="77"/>
      <c r="T5" s="77"/>
      <c r="U5" s="77"/>
      <c r="V5" s="77"/>
      <c r="W5" s="77"/>
      <c r="X5" s="77"/>
      <c r="Y5" s="77"/>
      <c r="Z5" s="77"/>
    </row>
    <row r="6" ht="14.25" customHeight="1">
      <c r="A6" s="76" t="str">
        <f>'Test 4-Stats'!S4</f>
        <v>Reg 3</v>
      </c>
      <c r="B6" s="77">
        <f>'Test 4-Stats'!Y4</f>
        <v>2019</v>
      </c>
      <c r="C6" s="77" t="str">
        <f>'Test 4-Stats'!W4</f>
        <v>ISUZU</v>
      </c>
      <c r="D6" s="77" t="str">
        <f>'Test 4-Stats'!V4</f>
        <v>ONE TON LDV SINGLE CAB</v>
      </c>
      <c r="E6" s="77" t="str">
        <f>'Test 4-Stats'!X4</f>
        <v>KB 250 D-TEQ FLEETSIDE (SAFETY)</v>
      </c>
      <c r="F6" s="77" t="str">
        <f t="array" ref="F6:G6">'Test 4-Stats'!Z4:AA4</f>
        <v>DIESEL</v>
      </c>
      <c r="G6" s="77">
        <v>2498.0</v>
      </c>
      <c r="H6" s="77" t="str">
        <f t="array" ref="H6:M6">'Test 4-Stats'!C4:H4</f>
        <v>Business Unit 3</v>
      </c>
      <c r="I6" s="77" t="s">
        <v>137</v>
      </c>
      <c r="J6" s="77" t="s">
        <v>138</v>
      </c>
      <c r="K6" s="77" t="s">
        <v>139</v>
      </c>
      <c r="L6" s="77" t="s">
        <v>140</v>
      </c>
      <c r="M6" s="77" t="s">
        <v>141</v>
      </c>
      <c r="N6" s="78">
        <f t="array" ref="N6:P6">'Test 4-Stats'!AL4:AN4</f>
        <v>43917</v>
      </c>
      <c r="O6" s="78">
        <v>45743.0</v>
      </c>
      <c r="P6" s="77">
        <v>60.0</v>
      </c>
      <c r="Q6" s="77" t="str">
        <f>'Test 4-Stats'!CX4</f>
        <v>Active</v>
      </c>
      <c r="R6" s="77"/>
      <c r="S6" s="77"/>
      <c r="T6" s="77"/>
      <c r="U6" s="77"/>
      <c r="V6" s="77"/>
      <c r="W6" s="77"/>
      <c r="X6" s="77"/>
      <c r="Y6" s="77"/>
      <c r="Z6" s="77"/>
    </row>
    <row r="7" ht="14.25" customHeight="1">
      <c r="A7" s="76" t="str">
        <f>'Test 4-Stats'!S5</f>
        <v>Reg 4</v>
      </c>
      <c r="B7" s="77">
        <f>'Test 4-Stats'!Y5</f>
        <v>2019</v>
      </c>
      <c r="C7" s="77" t="str">
        <f>'Test 4-Stats'!W5</f>
        <v>ISUZU</v>
      </c>
      <c r="D7" s="77" t="str">
        <f>'Test 4-Stats'!V5</f>
        <v>ONE TON LDV DOUBLE CAB</v>
      </c>
      <c r="E7" s="77" t="str">
        <f>'Test 4-Stats'!X5</f>
        <v>KB 250 D-TEQ HI-RIDER D/CAB</v>
      </c>
      <c r="F7" s="77" t="str">
        <f t="array" ref="F7:G7">'Test 4-Stats'!Z5:AA5</f>
        <v>DIESEL</v>
      </c>
      <c r="G7" s="77">
        <v>2498.0</v>
      </c>
      <c r="H7" s="77" t="str">
        <f t="array" ref="H7:M7">'Test 4-Stats'!C5:H5</f>
        <v>Business Unit 1</v>
      </c>
      <c r="I7" s="77" t="s">
        <v>110</v>
      </c>
      <c r="J7" s="77" t="s">
        <v>111</v>
      </c>
      <c r="K7" s="77" t="s">
        <v>127</v>
      </c>
      <c r="L7" s="77" t="s">
        <v>128</v>
      </c>
      <c r="M7" s="77" t="s">
        <v>114</v>
      </c>
      <c r="N7" s="78">
        <f t="array" ref="N7:P7">'Test 4-Stats'!AL5:AN5</f>
        <v>44040</v>
      </c>
      <c r="O7" s="78">
        <v>45866.0</v>
      </c>
      <c r="P7" s="77">
        <v>60.0</v>
      </c>
      <c r="Q7" s="77" t="str">
        <f>'Test 4-Stats'!CX5</f>
        <v>Active</v>
      </c>
      <c r="R7" s="77"/>
      <c r="S7" s="77"/>
      <c r="T7" s="77"/>
      <c r="U7" s="77"/>
      <c r="V7" s="77"/>
      <c r="W7" s="77"/>
      <c r="X7" s="77"/>
      <c r="Y7" s="77"/>
      <c r="Z7" s="77"/>
    </row>
    <row r="8" ht="14.25" customHeight="1">
      <c r="A8" s="76" t="str">
        <f>'Test 4-Stats'!S6</f>
        <v>Reg 5</v>
      </c>
      <c r="B8" s="77">
        <f>'Test 4-Stats'!Y6</f>
        <v>2019</v>
      </c>
      <c r="C8" s="77" t="str">
        <f>'Test 4-Stats'!W6</f>
        <v>ISUZU</v>
      </c>
      <c r="D8" s="77" t="str">
        <f>'Test 4-Stats'!V6</f>
        <v>ONE TON LDV SINGLE CAB</v>
      </c>
      <c r="E8" s="77" t="str">
        <f>'Test 4-Stats'!X6</f>
        <v>KB 250 D-TEQ FLEETSIDE (SAFETY)</v>
      </c>
      <c r="F8" s="77" t="str">
        <f t="array" ref="F8:G8">'Test 4-Stats'!Z6:AA6</f>
        <v>DIESEL</v>
      </c>
      <c r="G8" s="77">
        <v>2498.0</v>
      </c>
      <c r="H8" s="77" t="str">
        <f t="array" ref="H8:M8">'Test 4-Stats'!C6:H6</f>
        <v>Business Unit 2</v>
      </c>
      <c r="I8" s="77" t="s">
        <v>125</v>
      </c>
      <c r="J8" s="77" t="s">
        <v>126</v>
      </c>
      <c r="K8" s="77" t="s">
        <v>127</v>
      </c>
      <c r="L8" s="77" t="s">
        <v>128</v>
      </c>
      <c r="M8" s="77" t="s">
        <v>129</v>
      </c>
      <c r="N8" s="78">
        <f t="array" ref="N8:P8">'Test 4-Stats'!AL6:AN6</f>
        <v>43859</v>
      </c>
      <c r="O8" s="78">
        <v>45686.0</v>
      </c>
      <c r="P8" s="77">
        <v>60.0</v>
      </c>
      <c r="Q8" s="77" t="str">
        <f>'Test 4-Stats'!CX6</f>
        <v>Active</v>
      </c>
      <c r="R8" s="77"/>
      <c r="S8" s="77"/>
      <c r="T8" s="77"/>
      <c r="U8" s="77"/>
      <c r="V8" s="77"/>
      <c r="W8" s="77"/>
      <c r="X8" s="77"/>
      <c r="Y8" s="77"/>
      <c r="Z8" s="77"/>
    </row>
    <row r="9" ht="14.25" customHeight="1">
      <c r="A9" s="76" t="str">
        <f>'Test 4-Stats'!S7</f>
        <v>Reg 6</v>
      </c>
      <c r="B9" s="77">
        <f>'Test 4-Stats'!Y7</f>
        <v>2019</v>
      </c>
      <c r="C9" s="77" t="str">
        <f>'Test 4-Stats'!W7</f>
        <v>ISUZU</v>
      </c>
      <c r="D9" s="77" t="str">
        <f>'Test 4-Stats'!V7</f>
        <v>ONE TON LDV SINGLE CAB</v>
      </c>
      <c r="E9" s="77" t="str">
        <f>'Test 4-Stats'!X7</f>
        <v>KB 250 D-TEQ FLEETSIDE (SAFETY)</v>
      </c>
      <c r="F9" s="77" t="str">
        <f t="array" ref="F9:G9">'Test 4-Stats'!Z7:AA7</f>
        <v>DIESEL</v>
      </c>
      <c r="G9" s="77">
        <v>2498.0</v>
      </c>
      <c r="H9" s="77" t="str">
        <f t="array" ref="H9:M9">'Test 4-Stats'!C7:H7</f>
        <v>Business Unit 3</v>
      </c>
      <c r="I9" s="77" t="s">
        <v>137</v>
      </c>
      <c r="J9" s="77" t="s">
        <v>138</v>
      </c>
      <c r="K9" s="77" t="s">
        <v>151</v>
      </c>
      <c r="L9" s="77" t="s">
        <v>128</v>
      </c>
      <c r="M9" s="77" t="s">
        <v>141</v>
      </c>
      <c r="N9" s="78">
        <f t="array" ref="N9:P9">'Test 4-Stats'!AL7:AN7</f>
        <v>43884</v>
      </c>
      <c r="O9" s="78">
        <v>45711.0</v>
      </c>
      <c r="P9" s="77">
        <v>60.0</v>
      </c>
      <c r="Q9" s="77" t="str">
        <f>'Test 4-Stats'!CX7</f>
        <v>Active</v>
      </c>
      <c r="R9" s="77"/>
      <c r="S9" s="77"/>
      <c r="T9" s="77"/>
      <c r="U9" s="77"/>
      <c r="V9" s="77"/>
      <c r="W9" s="77"/>
      <c r="X9" s="77"/>
      <c r="Y9" s="77"/>
      <c r="Z9" s="77"/>
    </row>
    <row r="10" ht="14.25" customHeight="1">
      <c r="A10" s="76" t="str">
        <f>'Test 4-Stats'!S8</f>
        <v>Reg 7</v>
      </c>
      <c r="B10" s="77">
        <f>'Test 4-Stats'!Y8</f>
        <v>2019</v>
      </c>
      <c r="C10" s="77" t="str">
        <f>'Test 4-Stats'!W8</f>
        <v>ISUZU</v>
      </c>
      <c r="D10" s="77" t="str">
        <f>'Test 4-Stats'!V8</f>
        <v>ONE TON LDV SINGLE CAB</v>
      </c>
      <c r="E10" s="77" t="str">
        <f>'Test 4-Stats'!X8</f>
        <v>KB 250 D-TEQ FLEETSIDE (SAFETY)</v>
      </c>
      <c r="F10" s="77" t="str">
        <f t="array" ref="F10:G10">'Test 4-Stats'!Z8:AA8</f>
        <v>DIESEL</v>
      </c>
      <c r="G10" s="77">
        <v>2498.0</v>
      </c>
      <c r="H10" s="77" t="str">
        <f t="array" ref="H10:M10">'Test 4-Stats'!C8:H8</f>
        <v>Business Unit 1</v>
      </c>
      <c r="I10" s="77" t="s">
        <v>110</v>
      </c>
      <c r="J10" s="77" t="s">
        <v>111</v>
      </c>
      <c r="K10" s="77" t="s">
        <v>154</v>
      </c>
      <c r="L10" s="77" t="s">
        <v>128</v>
      </c>
      <c r="M10" s="77" t="s">
        <v>114</v>
      </c>
      <c r="N10" s="78">
        <f t="array" ref="N10:P10">'Test 4-Stats'!AL8:AN8</f>
        <v>43861</v>
      </c>
      <c r="O10" s="78">
        <v>45688.0</v>
      </c>
      <c r="P10" s="77">
        <v>60.0</v>
      </c>
      <c r="Q10" s="77" t="str">
        <f>'Test 4-Stats'!CX8</f>
        <v>Active</v>
      </c>
      <c r="R10" s="77"/>
      <c r="S10" s="77"/>
      <c r="T10" s="77"/>
      <c r="U10" s="77"/>
      <c r="V10" s="77"/>
      <c r="W10" s="77"/>
      <c r="X10" s="77"/>
      <c r="Y10" s="77"/>
      <c r="Z10" s="77"/>
    </row>
    <row r="11" ht="14.25" customHeight="1">
      <c r="A11" s="76" t="str">
        <f>'Test 4-Stats'!S9</f>
        <v>Reg 8</v>
      </c>
      <c r="B11" s="77">
        <f>'Test 4-Stats'!Y9</f>
        <v>2019</v>
      </c>
      <c r="C11" s="77" t="str">
        <f>'Test 4-Stats'!W9</f>
        <v>ISUZU</v>
      </c>
      <c r="D11" s="77" t="str">
        <f>'Test 4-Stats'!V9</f>
        <v>ONE TON LDV SINGLE CAB</v>
      </c>
      <c r="E11" s="77" t="str">
        <f>'Test 4-Stats'!X9</f>
        <v>KB 250 D-TEQ FLEETSIDE (SAFETY)</v>
      </c>
      <c r="F11" s="77" t="str">
        <f t="array" ref="F11:G11">'Test 4-Stats'!Z9:AA9</f>
        <v>DIESEL</v>
      </c>
      <c r="G11" s="77">
        <v>2498.0</v>
      </c>
      <c r="H11" s="77" t="str">
        <f t="array" ref="H11:M11">'Test 4-Stats'!C9:H9</f>
        <v>Business Unit 2</v>
      </c>
      <c r="I11" s="77" t="s">
        <v>125</v>
      </c>
      <c r="J11" s="77" t="s">
        <v>126</v>
      </c>
      <c r="K11" s="77" t="s">
        <v>154</v>
      </c>
      <c r="L11" s="77" t="s">
        <v>128</v>
      </c>
      <c r="M11" s="77" t="s">
        <v>129</v>
      </c>
      <c r="N11" s="78">
        <f t="array" ref="N11:P11">'Test 4-Stats'!AL9:AN9</f>
        <v>43862</v>
      </c>
      <c r="O11" s="78">
        <v>45689.0</v>
      </c>
      <c r="P11" s="77">
        <v>60.0</v>
      </c>
      <c r="Q11" s="77" t="str">
        <f>'Test 4-Stats'!CX9</f>
        <v>Active</v>
      </c>
      <c r="R11" s="77"/>
      <c r="S11" s="77"/>
      <c r="T11" s="77"/>
      <c r="U11" s="77"/>
      <c r="V11" s="77"/>
      <c r="W11" s="77"/>
      <c r="X11" s="77"/>
      <c r="Y11" s="77"/>
      <c r="Z11" s="77"/>
    </row>
    <row r="12" ht="14.25" customHeight="1">
      <c r="A12" s="76" t="str">
        <f>'Test 4-Stats'!S10</f>
        <v>Reg 9</v>
      </c>
      <c r="B12" s="77">
        <f>'Test 4-Stats'!Y10</f>
        <v>2020</v>
      </c>
      <c r="C12" s="77" t="str">
        <f>'Test 4-Stats'!W10</f>
        <v>ISUZU</v>
      </c>
      <c r="D12" s="77" t="str">
        <f>'Test 4-Stats'!V10</f>
        <v>ONE TON LDV SINGLE CAB</v>
      </c>
      <c r="E12" s="77" t="str">
        <f>'Test 4-Stats'!X10</f>
        <v>D-MAX 250 HO FLEETSIDE (SAFETY)</v>
      </c>
      <c r="F12" s="77" t="str">
        <f t="array" ref="F12:G12">'Test 4-Stats'!Z10:AA10</f>
        <v>DIESEL</v>
      </c>
      <c r="G12" s="77">
        <v>2498.0</v>
      </c>
      <c r="H12" s="77" t="str">
        <f t="array" ref="H12:M12">'Test 4-Stats'!C10:H10</f>
        <v>Business Unit 3</v>
      </c>
      <c r="I12" s="77" t="s">
        <v>137</v>
      </c>
      <c r="J12" s="77" t="s">
        <v>138</v>
      </c>
      <c r="K12" s="77" t="s">
        <v>160</v>
      </c>
      <c r="L12" s="77" t="s">
        <v>161</v>
      </c>
      <c r="M12" s="77" t="s">
        <v>141</v>
      </c>
      <c r="N12" s="78">
        <f t="array" ref="N12:P12">'Test 4-Stats'!AL10:AN10</f>
        <v>43863</v>
      </c>
      <c r="O12" s="78">
        <v>45690.0</v>
      </c>
      <c r="P12" s="77">
        <v>60.0</v>
      </c>
      <c r="Q12" s="77" t="str">
        <f>'Test 4-Stats'!CX10</f>
        <v>Active</v>
      </c>
      <c r="R12" s="77"/>
      <c r="S12" s="77"/>
      <c r="T12" s="77"/>
      <c r="U12" s="77"/>
      <c r="V12" s="77"/>
      <c r="W12" s="77"/>
      <c r="X12" s="77"/>
      <c r="Y12" s="77"/>
      <c r="Z12" s="77"/>
    </row>
    <row r="13" ht="14.25" customHeight="1">
      <c r="A13" s="76" t="str">
        <f>'Test 4-Stats'!S11</f>
        <v>Reg 10</v>
      </c>
      <c r="B13" s="77">
        <f>'Test 4-Stats'!Y11</f>
        <v>2020</v>
      </c>
      <c r="C13" s="77" t="str">
        <f>'Test 4-Stats'!W11</f>
        <v>ISUZU</v>
      </c>
      <c r="D13" s="77" t="str">
        <f>'Test 4-Stats'!V11</f>
        <v>ONE TON LDV DOUBLE CAB</v>
      </c>
      <c r="E13" s="77" t="str">
        <f>'Test 4-Stats'!X11</f>
        <v>D-MAX 250 HO HI-RIDER D/CAB</v>
      </c>
      <c r="F13" s="77" t="str">
        <f t="array" ref="F13:G13">'Test 4-Stats'!Z11:AA11</f>
        <v>DIESEL</v>
      </c>
      <c r="G13" s="77">
        <v>2498.0</v>
      </c>
      <c r="H13" s="77" t="str">
        <f t="array" ref="H13:M13">'Test 4-Stats'!C11:H11</f>
        <v>Business Unit 1</v>
      </c>
      <c r="I13" s="77" t="s">
        <v>110</v>
      </c>
      <c r="J13" s="77" t="s">
        <v>111</v>
      </c>
      <c r="K13" s="77" t="s">
        <v>165</v>
      </c>
      <c r="L13" s="77" t="s">
        <v>128</v>
      </c>
      <c r="M13" s="77" t="s">
        <v>114</v>
      </c>
      <c r="N13" s="78">
        <f t="array" ref="N13:P13">'Test 4-Stats'!AL11:AN11</f>
        <v>43864</v>
      </c>
      <c r="O13" s="78">
        <v>45691.0</v>
      </c>
      <c r="P13" s="77">
        <v>60.0</v>
      </c>
      <c r="Q13" s="77" t="str">
        <f>'Test 4-Stats'!CX11</f>
        <v>Active</v>
      </c>
      <c r="R13" s="77"/>
      <c r="S13" s="77"/>
      <c r="T13" s="77"/>
      <c r="U13" s="77"/>
      <c r="V13" s="77"/>
      <c r="W13" s="77"/>
      <c r="X13" s="77"/>
      <c r="Y13" s="77"/>
      <c r="Z13" s="77"/>
    </row>
    <row r="14" ht="14.25" customHeight="1">
      <c r="A14" s="76" t="str">
        <f>'Test 4-Stats'!S12</f>
        <v>Reg 11</v>
      </c>
      <c r="B14" s="77">
        <f>'Test 4-Stats'!Y12</f>
        <v>2023</v>
      </c>
      <c r="C14" s="77" t="str">
        <f>'Test 4-Stats'!W12</f>
        <v>ISUZU</v>
      </c>
      <c r="D14" s="77" t="str">
        <f>'Test 4-Stats'!V12</f>
        <v>ONE TON LDV DOUBLE CAB</v>
      </c>
      <c r="E14" s="77" t="str">
        <f>'Test 4-Stats'!X12</f>
        <v>D-MAX 250 HO HI-RIDER D/CAB</v>
      </c>
      <c r="F14" s="77" t="str">
        <f t="array" ref="F14:G14">'Test 4-Stats'!Z12:AA12</f>
        <v>DIESEL</v>
      </c>
      <c r="G14" s="77">
        <v>2498.0</v>
      </c>
      <c r="H14" s="77" t="str">
        <f t="array" ref="H14:M14">'Test 4-Stats'!C12:H12</f>
        <v>Business Unit 2</v>
      </c>
      <c r="I14" s="77" t="s">
        <v>125</v>
      </c>
      <c r="J14" s="77" t="s">
        <v>126</v>
      </c>
      <c r="K14" s="77" t="s">
        <v>169</v>
      </c>
      <c r="L14" s="77" t="s">
        <v>128</v>
      </c>
      <c r="M14" s="77" t="s">
        <v>129</v>
      </c>
      <c r="N14" s="78">
        <f t="array" ref="N14:P14">'Test 4-Stats'!AL12:AN12</f>
        <v>43986</v>
      </c>
      <c r="O14" s="78">
        <v>45812.0</v>
      </c>
      <c r="P14" s="77">
        <v>60.0</v>
      </c>
      <c r="Q14" s="77" t="str">
        <f>'Test 4-Stats'!CX12</f>
        <v>Active</v>
      </c>
      <c r="R14" s="77"/>
      <c r="S14" s="77"/>
      <c r="T14" s="77"/>
      <c r="U14" s="77"/>
      <c r="V14" s="77"/>
      <c r="W14" s="77"/>
      <c r="X14" s="77"/>
      <c r="Y14" s="77"/>
      <c r="Z14" s="77"/>
    </row>
    <row r="15" ht="14.25" customHeight="1">
      <c r="A15" s="76" t="str">
        <f>'Test 4-Stats'!S13</f>
        <v>Reg 12</v>
      </c>
      <c r="B15" s="77">
        <f>'Test 4-Stats'!Y13</f>
        <v>2023</v>
      </c>
      <c r="C15" s="77" t="str">
        <f>'Test 4-Stats'!W13</f>
        <v>ISUZU</v>
      </c>
      <c r="D15" s="77" t="str">
        <f>'Test 4-Stats'!V13</f>
        <v>ONE TON LDV DOUBLE CAB</v>
      </c>
      <c r="E15" s="77" t="str">
        <f>'Test 4-Stats'!X13</f>
        <v>D-MAX 250 HO HI-RIDER D/CAB</v>
      </c>
      <c r="F15" s="77" t="str">
        <f t="array" ref="F15:G15">'Test 4-Stats'!Z13:AA13</f>
        <v>DIESEL</v>
      </c>
      <c r="G15" s="77">
        <v>2498.0</v>
      </c>
      <c r="H15" s="77" t="str">
        <f t="array" ref="H15:M15">'Test 4-Stats'!C13:H13</f>
        <v>Business Unit 3</v>
      </c>
      <c r="I15" s="77" t="s">
        <v>137</v>
      </c>
      <c r="J15" s="77" t="s">
        <v>138</v>
      </c>
      <c r="K15" s="77" t="s">
        <v>172</v>
      </c>
      <c r="L15" s="77" t="s">
        <v>140</v>
      </c>
      <c r="M15" s="77" t="s">
        <v>141</v>
      </c>
      <c r="N15" s="78">
        <f t="array" ref="N15:P15">'Test 4-Stats'!AL13:AN13</f>
        <v>43866</v>
      </c>
      <c r="O15" s="78">
        <v>45693.0</v>
      </c>
      <c r="P15" s="77">
        <v>60.0</v>
      </c>
      <c r="Q15" s="77" t="str">
        <f>'Test 4-Stats'!CX13</f>
        <v>Active</v>
      </c>
      <c r="R15" s="77"/>
      <c r="S15" s="77"/>
      <c r="T15" s="77"/>
      <c r="U15" s="77"/>
      <c r="V15" s="77"/>
      <c r="W15" s="77"/>
      <c r="X15" s="77"/>
      <c r="Y15" s="77"/>
      <c r="Z15" s="77"/>
    </row>
    <row r="16" ht="14.25" customHeight="1">
      <c r="A16" s="76" t="str">
        <f>'Test 4-Stats'!S14</f>
        <v>Reg 13</v>
      </c>
      <c r="B16" s="77">
        <f>'Test 4-Stats'!Y14</f>
        <v>2023</v>
      </c>
      <c r="C16" s="77" t="str">
        <f>'Test 4-Stats'!W14</f>
        <v>ISUZU</v>
      </c>
      <c r="D16" s="77" t="str">
        <f>'Test 4-Stats'!V14</f>
        <v>ONE TON LDV DOUBLE CAB</v>
      </c>
      <c r="E16" s="77" t="str">
        <f>'Test 4-Stats'!X14</f>
        <v>D-MAX 250 HO HI-RIDER D/CAB</v>
      </c>
      <c r="F16" s="77" t="str">
        <f t="array" ref="F16:G16">'Test 4-Stats'!Z14:AA14</f>
        <v>DIESEL</v>
      </c>
      <c r="G16" s="77">
        <v>2498.0</v>
      </c>
      <c r="H16" s="77" t="str">
        <f t="array" ref="H16:M16">'Test 4-Stats'!C14:H14</f>
        <v>Business Unit 1</v>
      </c>
      <c r="I16" s="77" t="s">
        <v>110</v>
      </c>
      <c r="J16" s="77" t="s">
        <v>111</v>
      </c>
      <c r="K16" s="77" t="s">
        <v>176</v>
      </c>
      <c r="L16" s="77" t="s">
        <v>140</v>
      </c>
      <c r="M16" s="77" t="s">
        <v>114</v>
      </c>
      <c r="N16" s="78">
        <f t="array" ref="N16:P16">'Test 4-Stats'!AL14:AN14</f>
        <v>43867</v>
      </c>
      <c r="O16" s="78">
        <v>45694.0</v>
      </c>
      <c r="P16" s="77">
        <v>60.0</v>
      </c>
      <c r="Q16" s="77" t="str">
        <f>'Test 4-Stats'!CX14</f>
        <v>Active</v>
      </c>
      <c r="R16" s="77"/>
      <c r="S16" s="77"/>
      <c r="T16" s="77"/>
      <c r="U16" s="77"/>
      <c r="V16" s="77"/>
      <c r="W16" s="77"/>
      <c r="X16" s="77"/>
      <c r="Y16" s="77"/>
      <c r="Z16" s="77"/>
    </row>
    <row r="17" ht="14.25" customHeight="1">
      <c r="A17" s="76" t="str">
        <f>'Test 4-Stats'!S15</f>
        <v>Reg 14</v>
      </c>
      <c r="B17" s="77">
        <f>'Test 4-Stats'!Y15</f>
        <v>2024</v>
      </c>
      <c r="C17" s="77" t="str">
        <f>'Test 4-Stats'!W15</f>
        <v>FORD</v>
      </c>
      <c r="D17" s="77" t="str">
        <f>'Test 4-Stats'!V15</f>
        <v>ONE TON LDV DOUBLE CAB</v>
      </c>
      <c r="E17" s="77" t="str">
        <f>'Test 4-Stats'!X15</f>
        <v>RANGER 2.0 SiT D CAB BASE 4X4</v>
      </c>
      <c r="F17" s="77" t="str">
        <f t="array" ref="F17:G17">'Test 4-Stats'!Z15:AA15</f>
        <v>DIESEL</v>
      </c>
      <c r="G17" s="77">
        <v>1998.0</v>
      </c>
      <c r="H17" s="77" t="str">
        <f t="array" ref="H17:M17">'Test 4-Stats'!C15:H15</f>
        <v>Business Unit 2</v>
      </c>
      <c r="I17" s="77" t="s">
        <v>125</v>
      </c>
      <c r="J17" s="77" t="s">
        <v>126</v>
      </c>
      <c r="K17" s="77" t="s">
        <v>179</v>
      </c>
      <c r="L17" s="77" t="s">
        <v>140</v>
      </c>
      <c r="M17" s="77" t="s">
        <v>129</v>
      </c>
      <c r="N17" s="78">
        <f t="array" ref="N17:P17">'Test 4-Stats'!AL15:AN15</f>
        <v>43868</v>
      </c>
      <c r="O17" s="78">
        <v>45695.0</v>
      </c>
      <c r="P17" s="77">
        <v>60.0</v>
      </c>
      <c r="Q17" s="77" t="str">
        <f>'Test 4-Stats'!CX15</f>
        <v>Active</v>
      </c>
      <c r="R17" s="77"/>
      <c r="S17" s="77"/>
      <c r="T17" s="77"/>
      <c r="U17" s="77"/>
      <c r="V17" s="77"/>
      <c r="W17" s="77"/>
      <c r="X17" s="77"/>
      <c r="Y17" s="77"/>
      <c r="Z17" s="77"/>
    </row>
    <row r="18" ht="14.25" customHeight="1">
      <c r="A18" s="76" t="str">
        <f>'Test 4-Stats'!S16</f>
        <v>Reg 15</v>
      </c>
      <c r="B18" s="77">
        <f>'Test 4-Stats'!Y16</f>
        <v>2024</v>
      </c>
      <c r="C18" s="77" t="str">
        <f>'Test 4-Stats'!W16</f>
        <v>FORD</v>
      </c>
      <c r="D18" s="77" t="str">
        <f>'Test 4-Stats'!V16</f>
        <v>ONE TON LDV DOUBLE CAB</v>
      </c>
      <c r="E18" s="77" t="str">
        <f>'Test 4-Stats'!X16</f>
        <v>RANGER 2.0 SiT D CAB BASE 4X4</v>
      </c>
      <c r="F18" s="77" t="str">
        <f t="array" ref="F18:G18">'Test 4-Stats'!Z16:AA16</f>
        <v>DIESEL</v>
      </c>
      <c r="G18" s="77">
        <v>1998.0</v>
      </c>
      <c r="H18" s="77" t="str">
        <f t="array" ref="H18:M18">'Test 4-Stats'!C16:H16</f>
        <v>Business Unit 3</v>
      </c>
      <c r="I18" s="77" t="s">
        <v>137</v>
      </c>
      <c r="J18" s="77" t="s">
        <v>138</v>
      </c>
      <c r="K18" s="77" t="s">
        <v>172</v>
      </c>
      <c r="L18" s="77" t="s">
        <v>140</v>
      </c>
      <c r="M18" s="77" t="s">
        <v>141</v>
      </c>
      <c r="N18" s="78">
        <f t="array" ref="N18:P18">'Test 4-Stats'!AL16:AN16</f>
        <v>43869</v>
      </c>
      <c r="O18" s="78">
        <v>45696.0</v>
      </c>
      <c r="P18" s="77">
        <v>60.0</v>
      </c>
      <c r="Q18" s="77" t="str">
        <f>'Test 4-Stats'!CX16</f>
        <v>Active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14.25" customHeight="1">
      <c r="A19" s="76" t="str">
        <f>'Test 4-Stats'!S17</f>
        <v>Reg 16</v>
      </c>
      <c r="B19" s="77">
        <f>'Test 4-Stats'!Y17</f>
        <v>2024</v>
      </c>
      <c r="C19" s="77" t="str">
        <f>'Test 4-Stats'!W17</f>
        <v>FORD</v>
      </c>
      <c r="D19" s="77" t="str">
        <f>'Test 4-Stats'!V17</f>
        <v>ONE TON LDV DOUBLE CAB</v>
      </c>
      <c r="E19" s="77" t="str">
        <f>'Test 4-Stats'!X17</f>
        <v>RANGER 2.0 SiT D CAB BASE 4X4</v>
      </c>
      <c r="F19" s="77" t="str">
        <f t="array" ref="F19:G19">'Test 4-Stats'!Z17:AA17</f>
        <v>DIESEL</v>
      </c>
      <c r="G19" s="77">
        <v>1998.0</v>
      </c>
      <c r="H19" s="77" t="str">
        <f t="array" ref="H19:M19">'Test 4-Stats'!C17:H17</f>
        <v>Business Unit 1</v>
      </c>
      <c r="I19" s="77" t="s">
        <v>110</v>
      </c>
      <c r="J19" s="77" t="s">
        <v>111</v>
      </c>
      <c r="K19" s="77" t="s">
        <v>172</v>
      </c>
      <c r="L19" s="77" t="s">
        <v>161</v>
      </c>
      <c r="M19" s="77" t="s">
        <v>114</v>
      </c>
      <c r="N19" s="78">
        <f t="array" ref="N19:P19">'Test 4-Stats'!AL17:AN17</f>
        <v>44113</v>
      </c>
      <c r="O19" s="78">
        <v>45939.0</v>
      </c>
      <c r="P19" s="77">
        <v>60.0</v>
      </c>
      <c r="Q19" s="77" t="str">
        <f>'Test 4-Stats'!CX17</f>
        <v>Active</v>
      </c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A20" s="76" t="str">
        <f>'Test 4-Stats'!S18</f>
        <v>Reg 17</v>
      </c>
      <c r="B20" s="77">
        <f>'Test 4-Stats'!Y18</f>
        <v>2020</v>
      </c>
      <c r="C20" s="77" t="str">
        <f>'Test 4-Stats'!W18</f>
        <v>NISSAN</v>
      </c>
      <c r="D20" s="77" t="str">
        <f>'Test 4-Stats'!V18</f>
        <v>SEDAN</v>
      </c>
      <c r="E20" s="77" t="str">
        <f>'Test 4-Stats'!X18</f>
        <v>ALMERA 1.5 ACENTA</v>
      </c>
      <c r="F20" s="77" t="str">
        <f t="array" ref="F20:G20">'Test 4-Stats'!Z18:AA18</f>
        <v>PETROL</v>
      </c>
      <c r="G20" s="77">
        <v>1498.0</v>
      </c>
      <c r="H20" s="77" t="str">
        <f t="array" ref="H20:M20">'Test 4-Stats'!C18:H18</f>
        <v>Business Unit 2</v>
      </c>
      <c r="I20" s="77" t="s">
        <v>125</v>
      </c>
      <c r="J20" s="77" t="s">
        <v>126</v>
      </c>
      <c r="K20" s="77" t="s">
        <v>176</v>
      </c>
      <c r="L20" s="77" t="s">
        <v>140</v>
      </c>
      <c r="M20" s="77" t="s">
        <v>129</v>
      </c>
      <c r="N20" s="78">
        <f t="array" ref="N20:P20">'Test 4-Stats'!AL18:AN18</f>
        <v>43871</v>
      </c>
      <c r="O20" s="78">
        <v>45698.0</v>
      </c>
      <c r="P20" s="77">
        <v>60.0</v>
      </c>
      <c r="Q20" s="77" t="str">
        <f>'Test 4-Stats'!CX18</f>
        <v>Active</v>
      </c>
      <c r="R20" s="79"/>
      <c r="S20" s="79"/>
      <c r="T20" s="79"/>
      <c r="U20" s="79"/>
      <c r="V20" s="79"/>
      <c r="W20" s="79"/>
      <c r="X20" s="79"/>
      <c r="Y20" s="79"/>
      <c r="Z20" s="79"/>
    </row>
    <row r="21" ht="14.25" customHeight="1">
      <c r="A21" s="76" t="str">
        <f>'Test 4-Stats'!S19</f>
        <v>Reg 18</v>
      </c>
      <c r="B21" s="77">
        <f>'Test 4-Stats'!Y19</f>
        <v>2024</v>
      </c>
      <c r="C21" s="77" t="str">
        <f>'Test 4-Stats'!W19</f>
        <v>SUZUKI</v>
      </c>
      <c r="D21" s="77" t="str">
        <f>'Test 4-Stats'!V19</f>
        <v>SEDAN</v>
      </c>
      <c r="E21" s="77" t="str">
        <f>'Test 4-Stats'!X19</f>
        <v>DZIRE 1.2I GA</v>
      </c>
      <c r="F21" s="77" t="str">
        <f t="array" ref="F21:G21">'Test 4-Stats'!Z19:AA19</f>
        <v>PETROL</v>
      </c>
      <c r="G21" s="77">
        <v>1198.0</v>
      </c>
      <c r="H21" s="77" t="str">
        <f t="array" ref="H21:M21">'Test 4-Stats'!C19:H19</f>
        <v>Business Unit 1</v>
      </c>
      <c r="I21" s="77" t="s">
        <v>137</v>
      </c>
      <c r="J21" s="77" t="s">
        <v>138</v>
      </c>
      <c r="K21" s="77" t="s">
        <v>179</v>
      </c>
      <c r="L21" s="77" t="s">
        <v>140</v>
      </c>
      <c r="M21" s="77" t="s">
        <v>141</v>
      </c>
      <c r="N21" s="78">
        <f t="array" ref="N21:P21">'Test 4-Stats'!AL19:AN19</f>
        <v>43872</v>
      </c>
      <c r="O21" s="78">
        <v>45699.0</v>
      </c>
      <c r="P21" s="77">
        <v>60.0</v>
      </c>
      <c r="Q21" s="77" t="str">
        <f>'Test 4-Stats'!CX19</f>
        <v>Active</v>
      </c>
      <c r="R21" s="79"/>
      <c r="S21" s="79"/>
      <c r="T21" s="79"/>
      <c r="U21" s="79"/>
      <c r="V21" s="79"/>
      <c r="W21" s="79"/>
      <c r="X21" s="79"/>
      <c r="Y21" s="79"/>
      <c r="Z21" s="79"/>
    </row>
    <row r="22" ht="14.25" customHeight="1">
      <c r="A22" s="76" t="str">
        <f>'Test 4-Stats'!S20</f>
        <v>Reg 19</v>
      </c>
      <c r="B22" s="77">
        <f>'Test 4-Stats'!Y20</f>
        <v>2024</v>
      </c>
      <c r="C22" s="77" t="str">
        <f>'Test 4-Stats'!W20</f>
        <v>TOYOTA</v>
      </c>
      <c r="D22" s="77" t="str">
        <f>'Test 4-Stats'!V20</f>
        <v>ONE TON LDV SINGLE CAB</v>
      </c>
      <c r="E22" s="77" t="str">
        <f>'Test 4-Stats'!X20</f>
        <v>HILUX 2.4 GD S AC 5MT</v>
      </c>
      <c r="F22" s="77" t="str">
        <f t="array" ref="F22:G22">'Test 4-Stats'!Z20:AA20</f>
        <v>DIESEL</v>
      </c>
      <c r="G22" s="77">
        <v>2398.0</v>
      </c>
      <c r="H22" s="77" t="str">
        <f t="array" ref="H22:M22">'Test 4-Stats'!C20:H20</f>
        <v>Business Unit 2</v>
      </c>
      <c r="I22" s="77" t="s">
        <v>110</v>
      </c>
      <c r="J22" s="77" t="s">
        <v>111</v>
      </c>
      <c r="K22" s="77" t="s">
        <v>196</v>
      </c>
      <c r="L22" s="77" t="s">
        <v>140</v>
      </c>
      <c r="M22" s="77" t="s">
        <v>114</v>
      </c>
      <c r="N22" s="78">
        <f t="array" ref="N22:P22">'Test 4-Stats'!AL20:AN20</f>
        <v>43873</v>
      </c>
      <c r="O22" s="78">
        <v>45700.0</v>
      </c>
      <c r="P22" s="77">
        <v>60.0</v>
      </c>
      <c r="Q22" s="77" t="str">
        <f>'Test 4-Stats'!CX20</f>
        <v>Active</v>
      </c>
      <c r="R22" s="79"/>
      <c r="S22" s="79"/>
      <c r="T22" s="79"/>
      <c r="U22" s="79"/>
      <c r="V22" s="79"/>
      <c r="W22" s="79"/>
      <c r="X22" s="79"/>
      <c r="Y22" s="79"/>
      <c r="Z22" s="79"/>
    </row>
    <row r="23" ht="14.25" customHeight="1">
      <c r="A23" s="76" t="str">
        <f>'Test 4-Stats'!S21</f>
        <v>Reg 20</v>
      </c>
      <c r="B23" s="77">
        <f>'Test 4-Stats'!Y21</f>
        <v>2024</v>
      </c>
      <c r="C23" s="77" t="str">
        <f>'Test 4-Stats'!W21</f>
        <v>TOYOTA</v>
      </c>
      <c r="D23" s="77" t="str">
        <f>'Test 4-Stats'!V21</f>
        <v>ONE TON LDV SINGLE CAB</v>
      </c>
      <c r="E23" s="77" t="str">
        <f>'Test 4-Stats'!X21</f>
        <v>HILUX 2.4 GD S AC 5MT</v>
      </c>
      <c r="F23" s="77" t="str">
        <f t="array" ref="F23:G23">'Test 4-Stats'!Z21:AA21</f>
        <v>DIESEL</v>
      </c>
      <c r="G23" s="77">
        <v>2398.0</v>
      </c>
      <c r="H23" s="77" t="str">
        <f t="array" ref="H23:M23">'Test 4-Stats'!C21:H21</f>
        <v>Business Unit 3</v>
      </c>
      <c r="I23" s="77" t="s">
        <v>125</v>
      </c>
      <c r="J23" s="77" t="s">
        <v>126</v>
      </c>
      <c r="K23" s="77" t="s">
        <v>196</v>
      </c>
      <c r="L23" s="77" t="s">
        <v>140</v>
      </c>
      <c r="M23" s="77" t="s">
        <v>129</v>
      </c>
      <c r="N23" s="78">
        <f t="array" ref="N23:P23">'Test 4-Stats'!AL21:AN21</f>
        <v>43874</v>
      </c>
      <c r="O23" s="78">
        <v>45701.0</v>
      </c>
      <c r="P23" s="77">
        <v>60.0</v>
      </c>
      <c r="Q23" s="77" t="str">
        <f>'Test 4-Stats'!CX21</f>
        <v>Active</v>
      </c>
      <c r="R23" s="79"/>
      <c r="S23" s="79"/>
      <c r="T23" s="79"/>
      <c r="U23" s="79"/>
      <c r="V23" s="79"/>
      <c r="W23" s="79"/>
      <c r="X23" s="79"/>
      <c r="Y23" s="79"/>
      <c r="Z23" s="79"/>
    </row>
    <row r="24" ht="14.25" customHeight="1">
      <c r="A24" s="76" t="str">
        <f>'Test 4-Stats'!S22</f>
        <v>Reg 21</v>
      </c>
      <c r="B24" s="77">
        <f>'Test 4-Stats'!Y22</f>
        <v>2024</v>
      </c>
      <c r="C24" s="77" t="str">
        <f>'Test 4-Stats'!W22</f>
        <v>VOLKSWAGEN</v>
      </c>
      <c r="D24" s="77" t="str">
        <f>'Test 4-Stats'!V22</f>
        <v>MINIBUS</v>
      </c>
      <c r="E24" s="77" t="str">
        <f>'Test 4-Stats'!X22</f>
        <v>T6.1 KOMBI 2.0 TDI TRENDLINE DSG</v>
      </c>
      <c r="F24" s="77" t="str">
        <f t="array" ref="F24:G24">'Test 4-Stats'!Z22:AA22</f>
        <v>DIESEL</v>
      </c>
      <c r="G24" s="77">
        <v>1998.0</v>
      </c>
      <c r="H24" s="77" t="str">
        <f t="array" ref="H24:M24">'Test 4-Stats'!C22:H22</f>
        <v>Business Unit 1</v>
      </c>
      <c r="I24" s="77" t="s">
        <v>137</v>
      </c>
      <c r="J24" s="77" t="s">
        <v>138</v>
      </c>
      <c r="K24" s="77" t="s">
        <v>204</v>
      </c>
      <c r="L24" s="77" t="s">
        <v>161</v>
      </c>
      <c r="M24" s="77" t="s">
        <v>141</v>
      </c>
      <c r="N24" s="78">
        <f t="array" ref="N24:P24">'Test 4-Stats'!AL22:AN22</f>
        <v>43875</v>
      </c>
      <c r="O24" s="78">
        <v>45702.0</v>
      </c>
      <c r="P24" s="77">
        <v>60.0</v>
      </c>
      <c r="Q24" s="77" t="str">
        <f>'Test 4-Stats'!CX22</f>
        <v>Active</v>
      </c>
      <c r="R24" s="79"/>
      <c r="S24" s="79"/>
      <c r="T24" s="79"/>
      <c r="U24" s="79"/>
      <c r="V24" s="79"/>
      <c r="W24" s="79"/>
      <c r="X24" s="79"/>
      <c r="Y24" s="79"/>
      <c r="Z24" s="79"/>
    </row>
    <row r="25" ht="14.25" customHeight="1">
      <c r="A25" s="76" t="str">
        <f>'Test 4-Stats'!S23</f>
        <v>Reg 22</v>
      </c>
      <c r="B25" s="77">
        <f>'Test 4-Stats'!Y23</f>
        <v>2024</v>
      </c>
      <c r="C25" s="77" t="str">
        <f>'Test 4-Stats'!W23</f>
        <v>VOLKSWAGEN</v>
      </c>
      <c r="D25" s="77" t="str">
        <f>'Test 4-Stats'!V23</f>
        <v>MINIBUS</v>
      </c>
      <c r="E25" s="77" t="str">
        <f>'Test 4-Stats'!X23</f>
        <v>T6.1 KOMBI 2.0 TDI TRENDLINE DSG</v>
      </c>
      <c r="F25" s="77" t="str">
        <f t="array" ref="F25:G25">'Test 4-Stats'!Z23:AA23</f>
        <v>DIESEL</v>
      </c>
      <c r="G25" s="77">
        <v>1998.0</v>
      </c>
      <c r="H25" s="77" t="str">
        <f t="array" ref="H25:M25">'Test 4-Stats'!C23:H23</f>
        <v>Business Unit 2</v>
      </c>
      <c r="I25" s="77" t="s">
        <v>110</v>
      </c>
      <c r="J25" s="77" t="s">
        <v>111</v>
      </c>
      <c r="K25" s="77" t="s">
        <v>210</v>
      </c>
      <c r="L25" s="77" t="s">
        <v>140</v>
      </c>
      <c r="M25" s="77" t="s">
        <v>114</v>
      </c>
      <c r="N25" s="78">
        <f t="array" ref="N25:P25">'Test 4-Stats'!AL23:AN23</f>
        <v>43876</v>
      </c>
      <c r="O25" s="78">
        <v>45703.0</v>
      </c>
      <c r="P25" s="77">
        <v>60.0</v>
      </c>
      <c r="Q25" s="77" t="str">
        <f>'Test 4-Stats'!CX23</f>
        <v>Active</v>
      </c>
      <c r="R25" s="79"/>
      <c r="S25" s="79"/>
      <c r="T25" s="79"/>
      <c r="U25" s="79"/>
      <c r="V25" s="79"/>
      <c r="W25" s="79"/>
      <c r="X25" s="79"/>
      <c r="Y25" s="79"/>
      <c r="Z25" s="79"/>
    </row>
    <row r="26" ht="14.25" customHeight="1">
      <c r="A26" s="76" t="str">
        <f>'Test 4-Stats'!S24</f>
        <v>Reg 23</v>
      </c>
      <c r="B26" s="77">
        <f>'Test 4-Stats'!Y24</f>
        <v>2024</v>
      </c>
      <c r="C26" s="77" t="str">
        <f>'Test 4-Stats'!W24</f>
        <v>ISUZU</v>
      </c>
      <c r="D26" s="77" t="str">
        <f>'Test 4-Stats'!V24</f>
        <v>ONE TON LDV DOUBLE CAB</v>
      </c>
      <c r="E26" s="77" t="str">
        <f>'Test 4-Stats'!X24</f>
        <v>D-MAX 1.9 DDI D CAB HR L AT</v>
      </c>
      <c r="F26" s="77" t="str">
        <f t="array" ref="F26:G26">'Test 4-Stats'!Z24:AA24</f>
        <v>DIESEL</v>
      </c>
      <c r="G26" s="77">
        <v>1898.0</v>
      </c>
      <c r="H26" s="77" t="str">
        <f t="array" ref="H26:M26">'Test 4-Stats'!C24:H24</f>
        <v>Business Unit 3</v>
      </c>
      <c r="I26" s="77" t="s">
        <v>125</v>
      </c>
      <c r="J26" s="77" t="s">
        <v>126</v>
      </c>
      <c r="K26" s="77" t="s">
        <v>169</v>
      </c>
      <c r="L26" s="77" t="s">
        <v>128</v>
      </c>
      <c r="M26" s="77" t="s">
        <v>129</v>
      </c>
      <c r="N26" s="78">
        <f t="array" ref="N26:P26">'Test 4-Stats'!AL24:AN24</f>
        <v>43877</v>
      </c>
      <c r="O26" s="78">
        <v>45704.0</v>
      </c>
      <c r="P26" s="77">
        <v>60.0</v>
      </c>
      <c r="Q26" s="77" t="str">
        <f>'Test 4-Stats'!CX24</f>
        <v>Active</v>
      </c>
      <c r="R26" s="79"/>
      <c r="S26" s="79"/>
      <c r="T26" s="79"/>
      <c r="U26" s="79"/>
      <c r="V26" s="79"/>
      <c r="W26" s="79"/>
      <c r="X26" s="79"/>
      <c r="Y26" s="79"/>
      <c r="Z26" s="79"/>
    </row>
    <row r="27" ht="14.25" customHeight="1">
      <c r="A27" s="76" t="str">
        <f>'Test 4-Stats'!S25</f>
        <v>Reg 24</v>
      </c>
      <c r="B27" s="77">
        <f>'Test 4-Stats'!Y25</f>
        <v>2024</v>
      </c>
      <c r="C27" s="77" t="str">
        <f>'Test 4-Stats'!W25</f>
        <v>ISUZU</v>
      </c>
      <c r="D27" s="77" t="str">
        <f>'Test 4-Stats'!V25</f>
        <v>ONE TON LDV SINGLE CAB</v>
      </c>
      <c r="E27" s="77" t="str">
        <f>'Test 4-Stats'!X25</f>
        <v>D-MAX 250 HO FLEETSIDE (SAFETY)</v>
      </c>
      <c r="F27" s="77" t="str">
        <f t="array" ref="F27:G27">'Test 4-Stats'!Z25:AA25</f>
        <v>DIESEL</v>
      </c>
      <c r="G27" s="77">
        <v>2498.0</v>
      </c>
      <c r="H27" s="77" t="str">
        <f t="array" ref="H27:M27">'Test 4-Stats'!C25:H25</f>
        <v>Business Unit 1</v>
      </c>
      <c r="I27" s="77" t="s">
        <v>137</v>
      </c>
      <c r="J27" s="77" t="s">
        <v>138</v>
      </c>
      <c r="K27" s="77" t="s">
        <v>172</v>
      </c>
      <c r="L27" s="77" t="s">
        <v>140</v>
      </c>
      <c r="M27" s="77" t="s">
        <v>141</v>
      </c>
      <c r="N27" s="78">
        <f t="array" ref="N27:P27">'Test 4-Stats'!AL25:AN25</f>
        <v>43878</v>
      </c>
      <c r="O27" s="78">
        <v>45705.0</v>
      </c>
      <c r="P27" s="77">
        <v>60.0</v>
      </c>
      <c r="Q27" s="77" t="str">
        <f>'Test 4-Stats'!CX25</f>
        <v>Active</v>
      </c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A28" s="76" t="str">
        <f>'Test 4-Stats'!S26</f>
        <v>Reg 25</v>
      </c>
      <c r="B28" s="77">
        <f>'Test 4-Stats'!Y26</f>
        <v>2023</v>
      </c>
      <c r="C28" s="77" t="str">
        <f>'Test 4-Stats'!W26</f>
        <v>HYUNDAI</v>
      </c>
      <c r="D28" s="77" t="str">
        <f>'Test 4-Stats'!V26</f>
        <v>MINIBUS</v>
      </c>
      <c r="E28" s="77" t="str">
        <f>'Test 4-Stats'!X26</f>
        <v>STARIA 2.2D EXECUTIVE 9 SEATER AT</v>
      </c>
      <c r="F28" s="77" t="str">
        <f t="array" ref="F28:G28">'Test 4-Stats'!Z26:AA26</f>
        <v>DIESEL</v>
      </c>
      <c r="G28" s="77">
        <v>2198.0</v>
      </c>
      <c r="H28" s="77" t="str">
        <f t="array" ref="H28:M28">'Test 4-Stats'!C26:H26</f>
        <v>Business Unit 2</v>
      </c>
      <c r="I28" s="77" t="s">
        <v>110</v>
      </c>
      <c r="J28" s="77" t="s">
        <v>111</v>
      </c>
      <c r="K28" s="77" t="s">
        <v>218</v>
      </c>
      <c r="L28" s="77" t="s">
        <v>140</v>
      </c>
      <c r="M28" s="77" t="s">
        <v>114</v>
      </c>
      <c r="N28" s="78">
        <f t="array" ref="N28:P28">'Test 4-Stats'!AL26:AN26</f>
        <v>43879</v>
      </c>
      <c r="O28" s="78">
        <v>45706.0</v>
      </c>
      <c r="P28" s="77">
        <v>60.0</v>
      </c>
      <c r="Q28" s="77" t="str">
        <f>'Test 4-Stats'!CX26</f>
        <v>Active</v>
      </c>
      <c r="R28" s="79"/>
      <c r="S28" s="79"/>
      <c r="T28" s="79"/>
      <c r="U28" s="79"/>
      <c r="V28" s="79"/>
      <c r="W28" s="79"/>
      <c r="X28" s="79"/>
      <c r="Y28" s="79"/>
      <c r="Z28" s="79"/>
    </row>
    <row r="29" ht="14.25" customHeight="1">
      <c r="A29" s="76" t="str">
        <f>'Test 4-Stats'!S27</f>
        <v>Reg 26</v>
      </c>
      <c r="B29" s="77">
        <f>'Test 4-Stats'!Y27</f>
        <v>2024</v>
      </c>
      <c r="C29" s="77" t="str">
        <f>'Test 4-Stats'!W27</f>
        <v>TOYOTA</v>
      </c>
      <c r="D29" s="77" t="str">
        <f>'Test 4-Stats'!V27</f>
        <v>MINIBUS</v>
      </c>
      <c r="E29" s="77" t="str">
        <f>'Test 4-Stats'!X27</f>
        <v>QUANTUM 2.5 D-4D 14-SEATER BUS</v>
      </c>
      <c r="F29" s="77" t="str">
        <f t="array" ref="F29:G29">'Test 4-Stats'!Z27:AA27</f>
        <v>DIESEL</v>
      </c>
      <c r="G29" s="77">
        <v>2498.0</v>
      </c>
      <c r="H29" s="77" t="str">
        <f t="array" ref="H29:M29">'Test 4-Stats'!C27:H27</f>
        <v>Business Unit 3</v>
      </c>
      <c r="I29" s="77" t="s">
        <v>125</v>
      </c>
      <c r="J29" s="77" t="s">
        <v>126</v>
      </c>
      <c r="K29" s="77" t="s">
        <v>176</v>
      </c>
      <c r="L29" s="77" t="s">
        <v>140</v>
      </c>
      <c r="M29" s="77" t="s">
        <v>129</v>
      </c>
      <c r="N29" s="78">
        <f t="array" ref="N29:P29">'Test 4-Stats'!AL27:AN27</f>
        <v>43880</v>
      </c>
      <c r="O29" s="78">
        <v>45707.0</v>
      </c>
      <c r="P29" s="77">
        <v>60.0</v>
      </c>
      <c r="Q29" s="77" t="str">
        <f>'Test 4-Stats'!CX27</f>
        <v>Active</v>
      </c>
      <c r="R29" s="79"/>
      <c r="S29" s="79"/>
      <c r="T29" s="79"/>
      <c r="U29" s="79"/>
      <c r="V29" s="79"/>
      <c r="W29" s="79"/>
      <c r="X29" s="79"/>
      <c r="Y29" s="79"/>
      <c r="Z29" s="79"/>
    </row>
    <row r="30" ht="14.25" customHeight="1">
      <c r="A30" s="76" t="str">
        <f>'Test 4-Stats'!S28</f>
        <v>Reg 27</v>
      </c>
      <c r="B30" s="77">
        <f>'Test 4-Stats'!Y28</f>
        <v>2024</v>
      </c>
      <c r="C30" s="77" t="str">
        <f>'Test 4-Stats'!W28</f>
        <v>TOYOTA</v>
      </c>
      <c r="D30" s="77" t="str">
        <f>'Test 4-Stats'!V28</f>
        <v>MINIBUS</v>
      </c>
      <c r="E30" s="77" t="str">
        <f>'Test 4-Stats'!X28</f>
        <v>QUANTUM 2.5 D-4D 14-SEATER BUS</v>
      </c>
      <c r="F30" s="77" t="str">
        <f t="array" ref="F30:G30">'Test 4-Stats'!Z28:AA28</f>
        <v>DIESEL</v>
      </c>
      <c r="G30" s="77">
        <v>2498.0</v>
      </c>
      <c r="H30" s="77" t="str">
        <f t="array" ref="H30:M30">'Test 4-Stats'!C28:H28</f>
        <v>Business Unit 1</v>
      </c>
      <c r="I30" s="77" t="s">
        <v>137</v>
      </c>
      <c r="J30" s="77" t="s">
        <v>138</v>
      </c>
      <c r="K30" s="77" t="s">
        <v>176</v>
      </c>
      <c r="L30" s="77" t="s">
        <v>140</v>
      </c>
      <c r="M30" s="77" t="s">
        <v>141</v>
      </c>
      <c r="N30" s="78">
        <f t="array" ref="N30:P30">'Test 4-Stats'!AL28:AN28</f>
        <v>43881</v>
      </c>
      <c r="O30" s="78">
        <v>45708.0</v>
      </c>
      <c r="P30" s="77">
        <v>60.0</v>
      </c>
      <c r="Q30" s="77" t="str">
        <f>'Test 4-Stats'!CX28</f>
        <v>Active</v>
      </c>
      <c r="R30" s="79"/>
      <c r="S30" s="79"/>
      <c r="T30" s="79"/>
      <c r="U30" s="79"/>
      <c r="V30" s="79"/>
      <c r="W30" s="79"/>
      <c r="X30" s="79"/>
      <c r="Y30" s="79"/>
      <c r="Z30" s="79"/>
    </row>
    <row r="31" ht="14.25" customHeight="1">
      <c r="A31" s="76" t="str">
        <f>'Test 4-Stats'!S29</f>
        <v>Reg 28</v>
      </c>
      <c r="B31" s="77">
        <f>'Test 4-Stats'!Y29</f>
        <v>2024</v>
      </c>
      <c r="C31" s="77" t="str">
        <f>'Test 4-Stats'!W29</f>
        <v>TOYOTA</v>
      </c>
      <c r="D31" s="77" t="str">
        <f>'Test 4-Stats'!V29</f>
        <v>MINIBUS</v>
      </c>
      <c r="E31" s="77" t="str">
        <f>'Test 4-Stats'!X29</f>
        <v>QUANTUM 2.5 D-4D 14-SEATER BUS</v>
      </c>
      <c r="F31" s="77" t="str">
        <f t="array" ref="F31:G31">'Test 4-Stats'!Z29:AA29</f>
        <v>DIESEL</v>
      </c>
      <c r="G31" s="77">
        <v>2498.0</v>
      </c>
      <c r="H31" s="77" t="str">
        <f t="array" ref="H31:M31">'Test 4-Stats'!C29:H29</f>
        <v>Business Unit 2</v>
      </c>
      <c r="I31" s="77" t="s">
        <v>110</v>
      </c>
      <c r="J31" s="77" t="s">
        <v>111</v>
      </c>
      <c r="K31" s="77" t="s">
        <v>176</v>
      </c>
      <c r="L31" s="77" t="s">
        <v>161</v>
      </c>
      <c r="M31" s="77" t="s">
        <v>114</v>
      </c>
      <c r="N31" s="78">
        <f t="array" ref="N31:P31">'Test 4-Stats'!AL29:AN29</f>
        <v>43972</v>
      </c>
      <c r="O31" s="78">
        <v>45798.0</v>
      </c>
      <c r="P31" s="77">
        <v>60.0</v>
      </c>
      <c r="Q31" s="77" t="str">
        <f>'Test 4-Stats'!CX29</f>
        <v>Active</v>
      </c>
      <c r="R31" s="79"/>
      <c r="S31" s="79"/>
      <c r="T31" s="79"/>
      <c r="U31" s="79"/>
      <c r="V31" s="79"/>
      <c r="W31" s="79"/>
      <c r="X31" s="79"/>
      <c r="Y31" s="79"/>
      <c r="Z31" s="79"/>
    </row>
    <row r="32" ht="14.25" customHeight="1">
      <c r="A32" s="76" t="str">
        <f>'Test 4-Stats'!S30</f>
        <v>Reg 29</v>
      </c>
      <c r="B32" s="77">
        <f>'Test 4-Stats'!Y30</f>
        <v>2024</v>
      </c>
      <c r="C32" s="77" t="str">
        <f>'Test 4-Stats'!W30</f>
        <v>TOYOTA</v>
      </c>
      <c r="D32" s="77" t="str">
        <f>'Test 4-Stats'!V30</f>
        <v>ONE TON LDV SINGLE CAB</v>
      </c>
      <c r="E32" s="77" t="str">
        <f>'Test 4-Stats'!X30</f>
        <v>HILUX 2.4 GD S 5MT</v>
      </c>
      <c r="F32" s="77" t="str">
        <f t="array" ref="F32:G32">'Test 4-Stats'!Z30:AA30</f>
        <v>DIESEL</v>
      </c>
      <c r="G32" s="77">
        <v>2398.0</v>
      </c>
      <c r="H32" s="77" t="str">
        <f t="array" ref="H32:M32">'Test 4-Stats'!C30:H30</f>
        <v>Business Unit 3</v>
      </c>
      <c r="I32" s="77" t="s">
        <v>125</v>
      </c>
      <c r="J32" s="77" t="s">
        <v>126</v>
      </c>
      <c r="K32" s="77" t="s">
        <v>231</v>
      </c>
      <c r="L32" s="77" t="s">
        <v>113</v>
      </c>
      <c r="M32" s="77" t="s">
        <v>129</v>
      </c>
      <c r="N32" s="78">
        <f t="array" ref="N32:P32">'Test 4-Stats'!AL30:AN30</f>
        <v>43883</v>
      </c>
      <c r="O32" s="78">
        <v>45710.0</v>
      </c>
      <c r="P32" s="77">
        <v>60.0</v>
      </c>
      <c r="Q32" s="77" t="str">
        <f>'Test 4-Stats'!CX30</f>
        <v>Active</v>
      </c>
      <c r="R32" s="79"/>
      <c r="S32" s="79"/>
      <c r="T32" s="79"/>
      <c r="U32" s="79"/>
      <c r="V32" s="79"/>
      <c r="W32" s="79"/>
      <c r="X32" s="79"/>
      <c r="Y32" s="79"/>
      <c r="Z32" s="79"/>
    </row>
    <row r="33" ht="14.25" customHeight="1">
      <c r="A33" s="76" t="str">
        <f>'Test 4-Stats'!S31</f>
        <v>Reg 32</v>
      </c>
      <c r="B33" s="77">
        <f>'Test 4-Stats'!Y31</f>
        <v>2024</v>
      </c>
      <c r="C33" s="77" t="str">
        <f>'Test 4-Stats'!W31</f>
        <v>VOLKSWAGEN</v>
      </c>
      <c r="D33" s="77" t="str">
        <f>'Test 4-Stats'!V31</f>
        <v>SEDAN</v>
      </c>
      <c r="E33" s="77" t="str">
        <f>'Test 4-Stats'!X31</f>
        <v>POLO SEDAN 1.6 LIFE</v>
      </c>
      <c r="F33" s="77" t="str">
        <f t="array" ref="F33:G33">'Test 4-Stats'!Z31:AA31</f>
        <v>PETROL</v>
      </c>
      <c r="G33" s="77">
        <v>1598.0</v>
      </c>
      <c r="H33" s="77" t="str">
        <f t="array" ref="H33:M33">'Test 4-Stats'!C31:H31</f>
        <v>Business Unit 3</v>
      </c>
      <c r="I33" s="77" t="s">
        <v>125</v>
      </c>
      <c r="J33" s="77" t="s">
        <v>126</v>
      </c>
      <c r="K33" s="77" t="s">
        <v>235</v>
      </c>
      <c r="L33" s="77" t="s">
        <v>128</v>
      </c>
      <c r="M33" s="77" t="s">
        <v>129</v>
      </c>
      <c r="N33" s="78">
        <f t="array" ref="N33:P33">'Test 4-Stats'!AL31:AN31</f>
        <v>43886</v>
      </c>
      <c r="O33" s="78">
        <v>45713.0</v>
      </c>
      <c r="P33" s="77">
        <v>60.0</v>
      </c>
      <c r="Q33" s="77" t="str">
        <f>'Test 4-Stats'!CX31</f>
        <v>Active</v>
      </c>
      <c r="R33" s="79"/>
      <c r="S33" s="79"/>
      <c r="T33" s="79"/>
      <c r="U33" s="79"/>
      <c r="V33" s="79"/>
      <c r="W33" s="79"/>
      <c r="X33" s="79"/>
      <c r="Y33" s="79"/>
      <c r="Z33" s="79"/>
    </row>
    <row r="34" ht="14.25" customHeight="1">
      <c r="A34" s="76" t="str">
        <f>'Test 4-Stats'!S32</f>
        <v>Reg 33</v>
      </c>
      <c r="B34" s="77">
        <f>'Test 4-Stats'!Y32</f>
        <v>2024</v>
      </c>
      <c r="C34" s="77" t="str">
        <f>'Test 4-Stats'!W32</f>
        <v>ISUZU</v>
      </c>
      <c r="D34" s="77" t="str">
        <f>'Test 4-Stats'!V32</f>
        <v>ONE TON LDV SINGLE CAB</v>
      </c>
      <c r="E34" s="77" t="str">
        <f>'Test 4-Stats'!X32</f>
        <v>D-MAX 250 HO FLEETSIDE (SAFETY)</v>
      </c>
      <c r="F34" s="77" t="str">
        <f t="array" ref="F34:G34">'Test 4-Stats'!Z32:AA32</f>
        <v>DIESEL</v>
      </c>
      <c r="G34" s="77">
        <v>2498.0</v>
      </c>
      <c r="H34" s="77" t="str">
        <f t="array" ref="H34:M34">'Test 4-Stats'!C32:H32</f>
        <v>Business Unit 1</v>
      </c>
      <c r="I34" s="77" t="s">
        <v>137</v>
      </c>
      <c r="J34" s="77" t="s">
        <v>138</v>
      </c>
      <c r="K34" s="77" t="s">
        <v>179</v>
      </c>
      <c r="L34" s="77" t="s">
        <v>140</v>
      </c>
      <c r="M34" s="77" t="s">
        <v>141</v>
      </c>
      <c r="N34" s="78">
        <f t="array" ref="N34:P34">'Test 4-Stats'!AL32:AN32</f>
        <v>43887</v>
      </c>
      <c r="O34" s="78">
        <v>45714.0</v>
      </c>
      <c r="P34" s="77">
        <v>60.0</v>
      </c>
      <c r="Q34" s="77" t="str">
        <f>'Test 4-Stats'!CX32</f>
        <v>Active</v>
      </c>
      <c r="R34" s="79"/>
      <c r="S34" s="79"/>
      <c r="T34" s="79"/>
      <c r="U34" s="79"/>
      <c r="V34" s="79"/>
      <c r="W34" s="79"/>
      <c r="X34" s="79"/>
      <c r="Y34" s="79"/>
      <c r="Z34" s="79"/>
    </row>
    <row r="35" ht="14.25" customHeight="1">
      <c r="A35" s="76" t="str">
        <f>'Test 4-Stats'!S33</f>
        <v>Reg 34</v>
      </c>
      <c r="B35" s="77">
        <f>'Test 4-Stats'!Y33</f>
        <v>2024</v>
      </c>
      <c r="C35" s="77" t="str">
        <f>'Test 4-Stats'!W33</f>
        <v>TOYOTA</v>
      </c>
      <c r="D35" s="77" t="str">
        <f>'Test 4-Stats'!V33</f>
        <v>MINIBUS</v>
      </c>
      <c r="E35" s="77" t="str">
        <f>'Test 4-Stats'!X33</f>
        <v>QUANTUM 2.5 D-4D 14-SEATER BUS</v>
      </c>
      <c r="F35" s="77" t="str">
        <f t="array" ref="F35:G35">'Test 4-Stats'!Z33:AA33</f>
        <v>DIESEL</v>
      </c>
      <c r="G35" s="77">
        <v>2498.0</v>
      </c>
      <c r="H35" s="77" t="str">
        <f t="array" ref="H35:M35">'Test 4-Stats'!C33:H33</f>
        <v>Business Unit 2</v>
      </c>
      <c r="I35" s="77" t="s">
        <v>110</v>
      </c>
      <c r="J35" s="77" t="s">
        <v>111</v>
      </c>
      <c r="K35" s="77" t="s">
        <v>176</v>
      </c>
      <c r="L35" s="77" t="s">
        <v>140</v>
      </c>
      <c r="M35" s="77" t="s">
        <v>114</v>
      </c>
      <c r="N35" s="78">
        <f t="array" ref="N35:P35">'Test 4-Stats'!AL33:AN33</f>
        <v>44101</v>
      </c>
      <c r="O35" s="78">
        <v>45927.0</v>
      </c>
      <c r="P35" s="77">
        <v>60.0</v>
      </c>
      <c r="Q35" s="77" t="str">
        <f>'Test 4-Stats'!CX33</f>
        <v>Active</v>
      </c>
      <c r="R35" s="79"/>
      <c r="S35" s="79"/>
      <c r="T35" s="79"/>
      <c r="U35" s="79"/>
      <c r="V35" s="79"/>
      <c r="W35" s="79"/>
      <c r="X35" s="79"/>
      <c r="Y35" s="79"/>
      <c r="Z35" s="79"/>
    </row>
    <row r="36" ht="14.25" customHeight="1">
      <c r="A36" s="76" t="str">
        <f>'Test 4-Stats'!S34</f>
        <v>Reg 35</v>
      </c>
      <c r="B36" s="77">
        <f>'Test 4-Stats'!Y34</f>
        <v>2024</v>
      </c>
      <c r="C36" s="77" t="str">
        <f>'Test 4-Stats'!W34</f>
        <v>TOYOTA</v>
      </c>
      <c r="D36" s="77" t="str">
        <f>'Test 4-Stats'!V34</f>
        <v>MINIBUS</v>
      </c>
      <c r="E36" s="77" t="str">
        <f>'Test 4-Stats'!X34</f>
        <v>QUANTUM 2.5 D-4D 14-SEATER BUS</v>
      </c>
      <c r="F36" s="77" t="str">
        <f t="array" ref="F36:G36">'Test 4-Stats'!Z34:AA34</f>
        <v>DIESEL</v>
      </c>
      <c r="G36" s="77">
        <v>2498.0</v>
      </c>
      <c r="H36" s="77" t="str">
        <f t="array" ref="H36:M36">'Test 4-Stats'!C34:H34</f>
        <v>Business Unit 3</v>
      </c>
      <c r="I36" s="77" t="s">
        <v>125</v>
      </c>
      <c r="J36" s="77" t="s">
        <v>126</v>
      </c>
      <c r="K36" s="77" t="s">
        <v>176</v>
      </c>
      <c r="L36" s="77" t="s">
        <v>140</v>
      </c>
      <c r="M36" s="77" t="s">
        <v>129</v>
      </c>
      <c r="N36" s="78">
        <f t="array" ref="N36:P36">'Test 4-Stats'!AL34:AN34</f>
        <v>43889</v>
      </c>
      <c r="O36" s="78">
        <v>45716.0</v>
      </c>
      <c r="P36" s="77">
        <v>60.0</v>
      </c>
      <c r="Q36" s="77" t="str">
        <f>'Test 4-Stats'!CX34</f>
        <v>Active</v>
      </c>
      <c r="R36" s="79"/>
      <c r="S36" s="79"/>
      <c r="T36" s="79"/>
      <c r="U36" s="79"/>
      <c r="V36" s="79"/>
      <c r="W36" s="79"/>
      <c r="X36" s="79"/>
      <c r="Y36" s="79"/>
      <c r="Z36" s="79"/>
    </row>
    <row r="37" ht="14.25" customHeight="1">
      <c r="A37" s="76" t="str">
        <f>'Test 4-Stats'!S35</f>
        <v>Reg 36</v>
      </c>
      <c r="B37" s="77">
        <f>'Test 4-Stats'!Y35</f>
        <v>2024</v>
      </c>
      <c r="C37" s="77" t="str">
        <f>'Test 4-Stats'!W35</f>
        <v>TOYOTA</v>
      </c>
      <c r="D37" s="77" t="str">
        <f>'Test 4-Stats'!V35</f>
        <v>MINIBUS</v>
      </c>
      <c r="E37" s="77" t="str">
        <f>'Test 4-Stats'!X35</f>
        <v>QUANTUM 2.5 D-4D 14-SEATER BUS</v>
      </c>
      <c r="F37" s="77" t="str">
        <f t="array" ref="F37:G37">'Test 4-Stats'!Z35:AA35</f>
        <v>DIESEL</v>
      </c>
      <c r="G37" s="77">
        <v>2498.0</v>
      </c>
      <c r="H37" s="77" t="str">
        <f t="array" ref="H37:M37">'Test 4-Stats'!C35:H35</f>
        <v>Business Unit 1</v>
      </c>
      <c r="I37" s="77" t="s">
        <v>110</v>
      </c>
      <c r="J37" s="77" t="s">
        <v>111</v>
      </c>
      <c r="K37" s="77" t="s">
        <v>176</v>
      </c>
      <c r="L37" s="77" t="s">
        <v>140</v>
      </c>
      <c r="M37" s="77" t="s">
        <v>141</v>
      </c>
      <c r="N37" s="78">
        <f t="array" ref="N37:P37">'Test 4-Stats'!AL35:AN35</f>
        <v>43890</v>
      </c>
      <c r="O37" s="78" t="s">
        <v>247</v>
      </c>
      <c r="P37" s="77">
        <v>60.0</v>
      </c>
      <c r="Q37" s="77" t="str">
        <f>'Test 4-Stats'!CX35</f>
        <v>Active</v>
      </c>
      <c r="R37" s="79"/>
      <c r="S37" s="79"/>
      <c r="T37" s="79"/>
      <c r="U37" s="79"/>
      <c r="V37" s="79"/>
      <c r="W37" s="79"/>
      <c r="X37" s="79"/>
      <c r="Y37" s="79"/>
      <c r="Z37" s="79"/>
    </row>
    <row r="38" ht="14.25" customHeight="1">
      <c r="A38" s="76" t="str">
        <f>'Test 4-Stats'!S36</f>
        <v>Reg 37</v>
      </c>
      <c r="B38" s="77">
        <f>'Test 4-Stats'!Y36</f>
        <v>2024</v>
      </c>
      <c r="C38" s="77" t="str">
        <f>'Test 4-Stats'!W36</f>
        <v>TOYOTA</v>
      </c>
      <c r="D38" s="77" t="str">
        <f>'Test 4-Stats'!V36</f>
        <v>MINIBUS</v>
      </c>
      <c r="E38" s="77" t="str">
        <f>'Test 4-Stats'!X36</f>
        <v>QUANTUM 2.5 D-4D 14-SEATER BUS</v>
      </c>
      <c r="F38" s="77" t="str">
        <f t="array" ref="F38:G38">'Test 4-Stats'!Z36:AA36</f>
        <v>DIESEL</v>
      </c>
      <c r="G38" s="77">
        <v>2498.0</v>
      </c>
      <c r="H38" s="77" t="str">
        <f t="array" ref="H38:M38">'Test 4-Stats'!C36:H36</f>
        <v>Business Unit 2</v>
      </c>
      <c r="I38" s="77" t="s">
        <v>125</v>
      </c>
      <c r="J38" s="77" t="s">
        <v>126</v>
      </c>
      <c r="K38" s="77" t="s">
        <v>176</v>
      </c>
      <c r="L38" s="77" t="s">
        <v>140</v>
      </c>
      <c r="M38" s="77" t="s">
        <v>114</v>
      </c>
      <c r="N38" s="78">
        <f t="array" ref="N38:P38">'Test 4-Stats'!AL36:AN36</f>
        <v>43891</v>
      </c>
      <c r="O38" s="78">
        <v>45717.0</v>
      </c>
      <c r="P38" s="77">
        <v>60.0</v>
      </c>
      <c r="Q38" s="77" t="str">
        <f>'Test 4-Stats'!CX36</f>
        <v>Active</v>
      </c>
      <c r="R38" s="79"/>
      <c r="S38" s="79"/>
      <c r="T38" s="79"/>
      <c r="U38" s="79"/>
      <c r="V38" s="79"/>
      <c r="W38" s="79"/>
      <c r="X38" s="79"/>
      <c r="Y38" s="79"/>
      <c r="Z38" s="79"/>
    </row>
    <row r="39" ht="14.25" customHeight="1">
      <c r="A39" s="76" t="str">
        <f>'Test 4-Stats'!S37</f>
        <v>Reg 38</v>
      </c>
      <c r="B39" s="77">
        <f>'Test 4-Stats'!Y37</f>
        <v>2024</v>
      </c>
      <c r="C39" s="77" t="str">
        <f>'Test 4-Stats'!W37</f>
        <v>HYUNDAI</v>
      </c>
      <c r="D39" s="77" t="str">
        <f>'Test 4-Stats'!V37</f>
        <v>MINIBUS</v>
      </c>
      <c r="E39" s="77" t="str">
        <f>'Test 4-Stats'!X37</f>
        <v>STARIA 2.2D EXECUTIVE 11 SEATER AT</v>
      </c>
      <c r="F39" s="77" t="str">
        <f t="array" ref="F39:G39">'Test 4-Stats'!Z37:AA37</f>
        <v>DIESEL</v>
      </c>
      <c r="G39" s="77">
        <v>2198.0</v>
      </c>
      <c r="H39" s="77" t="str">
        <f t="array" ref="H39:M39">'Test 4-Stats'!C37:H37</f>
        <v>Business Unit 3</v>
      </c>
      <c r="I39" s="77" t="s">
        <v>137</v>
      </c>
      <c r="J39" s="77" t="s">
        <v>138</v>
      </c>
      <c r="K39" s="77" t="s">
        <v>172</v>
      </c>
      <c r="L39" s="77" t="s">
        <v>140</v>
      </c>
      <c r="M39" s="77" t="s">
        <v>129</v>
      </c>
      <c r="N39" s="78">
        <f t="array" ref="N39:P39">'Test 4-Stats'!AL37:AN37</f>
        <v>43892</v>
      </c>
      <c r="O39" s="78">
        <v>45718.0</v>
      </c>
      <c r="P39" s="77">
        <v>60.0</v>
      </c>
      <c r="Q39" s="77" t="str">
        <f>'Test 4-Stats'!CX37</f>
        <v>Active</v>
      </c>
      <c r="R39" s="79"/>
      <c r="S39" s="79"/>
      <c r="T39" s="79"/>
      <c r="U39" s="79"/>
      <c r="V39" s="79"/>
      <c r="W39" s="79"/>
      <c r="X39" s="79"/>
      <c r="Y39" s="79"/>
      <c r="Z39" s="79"/>
    </row>
    <row r="40" ht="14.25" customHeight="1">
      <c r="A40" s="76" t="str">
        <f>'Test 4-Stats'!S38</f>
        <v>Reg 39</v>
      </c>
      <c r="B40" s="77">
        <f>'Test 4-Stats'!Y38</f>
        <v>2024</v>
      </c>
      <c r="C40" s="77" t="str">
        <f>'Test 4-Stats'!W38</f>
        <v>TOYOTA</v>
      </c>
      <c r="D40" s="77" t="str">
        <f>'Test 4-Stats'!V38</f>
        <v>MINIBUS</v>
      </c>
      <c r="E40" s="77" t="str">
        <f>'Test 4-Stats'!X38</f>
        <v>QUANTUM 2.5 D-4D 14-SEATER BUS</v>
      </c>
      <c r="F40" s="77" t="str">
        <f t="array" ref="F40:G40">'Test 4-Stats'!Z38:AA38</f>
        <v>DIESEL</v>
      </c>
      <c r="G40" s="77">
        <v>2498.0</v>
      </c>
      <c r="H40" s="77" t="str">
        <f t="array" ref="H40:M40">'Test 4-Stats'!C38:H38</f>
        <v>Business Unit 1</v>
      </c>
      <c r="I40" s="77" t="s">
        <v>110</v>
      </c>
      <c r="J40" s="77" t="s">
        <v>111</v>
      </c>
      <c r="K40" s="77" t="s">
        <v>176</v>
      </c>
      <c r="L40" s="77" t="s">
        <v>140</v>
      </c>
      <c r="M40" s="77" t="s">
        <v>141</v>
      </c>
      <c r="N40" s="78">
        <f t="array" ref="N40:P40">'Test 4-Stats'!AL38:AN38</f>
        <v>43893</v>
      </c>
      <c r="O40" s="78">
        <v>45719.0</v>
      </c>
      <c r="P40" s="77">
        <v>60.0</v>
      </c>
      <c r="Q40" s="77" t="str">
        <f>'Test 4-Stats'!CX38</f>
        <v>Active</v>
      </c>
      <c r="R40" s="79"/>
      <c r="S40" s="79"/>
      <c r="T40" s="79"/>
      <c r="U40" s="79"/>
      <c r="V40" s="79"/>
      <c r="W40" s="79"/>
      <c r="X40" s="79"/>
      <c r="Y40" s="79"/>
      <c r="Z40" s="79"/>
    </row>
    <row r="41" ht="14.25" customHeight="1">
      <c r="A41" s="76" t="str">
        <f>'Test 4-Stats'!S39</f>
        <v>Reg 40</v>
      </c>
      <c r="B41" s="77">
        <f>'Test 4-Stats'!Y39</f>
        <v>2024</v>
      </c>
      <c r="C41" s="77" t="str">
        <f>'Test 4-Stats'!W39</f>
        <v>ISUZU</v>
      </c>
      <c r="D41" s="77" t="str">
        <f>'Test 4-Stats'!V39</f>
        <v>ONE TON LDV SINGLE CAB</v>
      </c>
      <c r="E41" s="77" t="str">
        <f>'Test 4-Stats'!X39</f>
        <v>D-MAX 250 HO FLEETSIDE (SAFETY)</v>
      </c>
      <c r="F41" s="77" t="str">
        <f t="array" ref="F41:G41">'Test 4-Stats'!Z39:AA39</f>
        <v>DIESEL</v>
      </c>
      <c r="G41" s="77">
        <v>2498.0</v>
      </c>
      <c r="H41" s="77" t="str">
        <f t="array" ref="H41:M41">'Test 4-Stats'!C39:H39</f>
        <v>Business Unit 2</v>
      </c>
      <c r="I41" s="77" t="s">
        <v>125</v>
      </c>
      <c r="J41" s="77" t="s">
        <v>126</v>
      </c>
      <c r="K41" s="77" t="s">
        <v>176</v>
      </c>
      <c r="L41" s="77" t="s">
        <v>140</v>
      </c>
      <c r="M41" s="77" t="s">
        <v>114</v>
      </c>
      <c r="N41" s="78">
        <f t="array" ref="N41:P41">'Test 4-Stats'!AL39:AN39</f>
        <v>43986</v>
      </c>
      <c r="O41" s="78">
        <v>45812.0</v>
      </c>
      <c r="P41" s="77">
        <v>60.0</v>
      </c>
      <c r="Q41" s="77" t="str">
        <f>'Test 4-Stats'!CX39</f>
        <v>Active</v>
      </c>
      <c r="R41" s="79"/>
      <c r="S41" s="79"/>
      <c r="T41" s="79"/>
      <c r="U41" s="79"/>
      <c r="V41" s="79"/>
      <c r="W41" s="79"/>
      <c r="X41" s="79"/>
      <c r="Y41" s="79"/>
      <c r="Z41" s="79"/>
    </row>
    <row r="42" ht="14.25" customHeight="1">
      <c r="A42" s="76" t="str">
        <f>'Test 4-Stats'!S40</f>
        <v>Reg 41</v>
      </c>
      <c r="B42" s="77">
        <f>'Test 4-Stats'!Y40</f>
        <v>2024</v>
      </c>
      <c r="C42" s="77" t="str">
        <f>'Test 4-Stats'!W40</f>
        <v>FORD</v>
      </c>
      <c r="D42" s="77" t="str">
        <f>'Test 4-Stats'!V40</f>
        <v>ONE TON LDV DOUBLE CAB</v>
      </c>
      <c r="E42" s="77" t="str">
        <f>'Test 4-Stats'!X40</f>
        <v>RANGER 2.0 SiT D CAB BASE 4X2</v>
      </c>
      <c r="F42" s="77" t="str">
        <f t="array" ref="F42:G42">'Test 4-Stats'!Z40:AA40</f>
        <v>DIESEL</v>
      </c>
      <c r="G42" s="77">
        <v>1998.0</v>
      </c>
      <c r="H42" s="77" t="str">
        <f t="array" ref="H42:M42">'Test 4-Stats'!C40:H40</f>
        <v>Business Unit 3</v>
      </c>
      <c r="I42" s="77" t="s">
        <v>137</v>
      </c>
      <c r="J42" s="77" t="s">
        <v>138</v>
      </c>
      <c r="K42" s="77" t="s">
        <v>196</v>
      </c>
      <c r="L42" s="77" t="s">
        <v>140</v>
      </c>
      <c r="M42" s="77" t="s">
        <v>129</v>
      </c>
      <c r="N42" s="78">
        <f t="array" ref="N42:P42">'Test 4-Stats'!AL40:AN40</f>
        <v>43895</v>
      </c>
      <c r="O42" s="78">
        <v>45721.0</v>
      </c>
      <c r="P42" s="77">
        <v>60.0</v>
      </c>
      <c r="Q42" s="77" t="str">
        <f>'Test 4-Stats'!CX40</f>
        <v>Active</v>
      </c>
      <c r="R42" s="79"/>
      <c r="S42" s="79"/>
      <c r="T42" s="79"/>
      <c r="U42" s="79"/>
      <c r="V42" s="79"/>
      <c r="W42" s="79"/>
      <c r="X42" s="79"/>
      <c r="Y42" s="79"/>
      <c r="Z42" s="79"/>
    </row>
    <row r="43" ht="14.25" customHeight="1">
      <c r="A43" s="76" t="str">
        <f>'Test 4-Stats'!S41</f>
        <v>Reg 42</v>
      </c>
      <c r="B43" s="77">
        <f>'Test 4-Stats'!Y41</f>
        <v>2024</v>
      </c>
      <c r="C43" s="77" t="str">
        <f>'Test 4-Stats'!W41</f>
        <v>FORD</v>
      </c>
      <c r="D43" s="77" t="str">
        <f>'Test 4-Stats'!V41</f>
        <v>ONE TON LDV DOUBLE CAB</v>
      </c>
      <c r="E43" s="77" t="str">
        <f>'Test 4-Stats'!X41</f>
        <v>RANGER 2.0 SiT D CAB BASE 4X2</v>
      </c>
      <c r="F43" s="77" t="str">
        <f t="array" ref="F43:G43">'Test 4-Stats'!Z41:AA41</f>
        <v>DIESEL</v>
      </c>
      <c r="G43" s="77">
        <v>1998.0</v>
      </c>
      <c r="H43" s="77" t="str">
        <f t="array" ref="H43:M43">'Test 4-Stats'!C41:H41</f>
        <v>Business Unit 1</v>
      </c>
      <c r="I43" s="77" t="s">
        <v>110</v>
      </c>
      <c r="J43" s="77" t="s">
        <v>111</v>
      </c>
      <c r="K43" s="77" t="s">
        <v>196</v>
      </c>
      <c r="L43" s="77" t="s">
        <v>140</v>
      </c>
      <c r="M43" s="77" t="s">
        <v>141</v>
      </c>
      <c r="N43" s="78">
        <f t="array" ref="N43:P43">'Test 4-Stats'!AL41:AN41</f>
        <v>43896</v>
      </c>
      <c r="O43" s="78">
        <v>45722.0</v>
      </c>
      <c r="P43" s="77">
        <v>60.0</v>
      </c>
      <c r="Q43" s="77" t="str">
        <f>'Test 4-Stats'!CX41</f>
        <v>Active</v>
      </c>
      <c r="R43" s="79"/>
      <c r="S43" s="79"/>
      <c r="T43" s="79"/>
      <c r="U43" s="79"/>
      <c r="V43" s="79"/>
      <c r="W43" s="79"/>
      <c r="X43" s="79"/>
      <c r="Y43" s="79"/>
      <c r="Z43" s="79"/>
    </row>
    <row r="44" ht="14.25" customHeight="1">
      <c r="A44" s="76" t="str">
        <f>'Test 4-Stats'!S42</f>
        <v>Reg 43</v>
      </c>
      <c r="B44" s="77">
        <f>'Test 4-Stats'!Y42</f>
        <v>2024</v>
      </c>
      <c r="C44" s="77" t="str">
        <f>'Test 4-Stats'!W42</f>
        <v>FORD</v>
      </c>
      <c r="D44" s="77" t="str">
        <f>'Test 4-Stats'!V42</f>
        <v>ONE TON LDV DOUBLE CAB</v>
      </c>
      <c r="E44" s="77" t="str">
        <f>'Test 4-Stats'!X42</f>
        <v>RANGER 2.0 SiT D CAB BASE 4X2</v>
      </c>
      <c r="F44" s="77" t="str">
        <f t="array" ref="F44:G44">'Test 4-Stats'!Z42:AA42</f>
        <v>DIESEL</v>
      </c>
      <c r="G44" s="77">
        <v>1998.0</v>
      </c>
      <c r="H44" s="77" t="str">
        <f t="array" ref="H44:M44">'Test 4-Stats'!C42:H42</f>
        <v>Business Unit 2</v>
      </c>
      <c r="I44" s="77" t="s">
        <v>125</v>
      </c>
      <c r="J44" s="77" t="s">
        <v>126</v>
      </c>
      <c r="K44" s="77" t="s">
        <v>196</v>
      </c>
      <c r="L44" s="77" t="s">
        <v>140</v>
      </c>
      <c r="M44" s="77" t="s">
        <v>114</v>
      </c>
      <c r="N44" s="78">
        <f t="array" ref="N44:P44">'Test 4-Stats'!AL42:AN42</f>
        <v>43897</v>
      </c>
      <c r="O44" s="78">
        <v>45723.0</v>
      </c>
      <c r="P44" s="77">
        <v>60.0</v>
      </c>
      <c r="Q44" s="77" t="str">
        <f>'Test 4-Stats'!CX42</f>
        <v>Active</v>
      </c>
      <c r="R44" s="79"/>
      <c r="S44" s="79"/>
      <c r="T44" s="79"/>
      <c r="U44" s="79"/>
      <c r="V44" s="79"/>
      <c r="W44" s="79"/>
      <c r="X44" s="79"/>
      <c r="Y44" s="79"/>
      <c r="Z44" s="79"/>
    </row>
    <row r="45" ht="14.25" customHeight="1">
      <c r="A45" s="76" t="str">
        <f>'Test 4-Stats'!S43</f>
        <v>Reg 44</v>
      </c>
      <c r="B45" s="77">
        <f>'Test 4-Stats'!Y43</f>
        <v>2024</v>
      </c>
      <c r="C45" s="77" t="str">
        <f>'Test 4-Stats'!W43</f>
        <v>FORD</v>
      </c>
      <c r="D45" s="77" t="str">
        <f>'Test 4-Stats'!V43</f>
        <v>ONE TON LDV DOUBLE CAB</v>
      </c>
      <c r="E45" s="77" t="str">
        <f>'Test 4-Stats'!X43</f>
        <v>RANGER 2.0 SiT D CAB BASE 4X2</v>
      </c>
      <c r="F45" s="77" t="str">
        <f t="array" ref="F45:G45">'Test 4-Stats'!Z43:AA43</f>
        <v>DIESEL</v>
      </c>
      <c r="G45" s="77">
        <v>1998.0</v>
      </c>
      <c r="H45" s="77" t="str">
        <f t="array" ref="H45:M45">'Test 4-Stats'!C43:H43</f>
        <v>Business Unit 3</v>
      </c>
      <c r="I45" s="77" t="s">
        <v>137</v>
      </c>
      <c r="J45" s="77" t="s">
        <v>138</v>
      </c>
      <c r="K45" s="77" t="s">
        <v>196</v>
      </c>
      <c r="L45" s="77" t="s">
        <v>140</v>
      </c>
      <c r="M45" s="77" t="s">
        <v>129</v>
      </c>
      <c r="N45" s="78">
        <f t="array" ref="N45:P45">'Test 4-Stats'!AL43:AN43</f>
        <v>43898</v>
      </c>
      <c r="O45" s="78">
        <v>45724.0</v>
      </c>
      <c r="P45" s="77">
        <v>60.0</v>
      </c>
      <c r="Q45" s="77" t="str">
        <f>'Test 4-Stats'!CX43</f>
        <v>Active</v>
      </c>
      <c r="R45" s="79"/>
      <c r="S45" s="79"/>
      <c r="T45" s="79"/>
      <c r="U45" s="79"/>
      <c r="V45" s="79"/>
      <c r="W45" s="79"/>
      <c r="X45" s="79"/>
      <c r="Y45" s="79"/>
      <c r="Z45" s="79"/>
    </row>
    <row r="46" ht="14.25" customHeight="1">
      <c r="A46" s="76" t="str">
        <f>'Test 4-Stats'!S44</f>
        <v>Reg 45</v>
      </c>
      <c r="B46" s="77">
        <f>'Test 4-Stats'!Y44</f>
        <v>2024</v>
      </c>
      <c r="C46" s="77" t="str">
        <f>'Test 4-Stats'!W44</f>
        <v>FORD</v>
      </c>
      <c r="D46" s="77" t="str">
        <f>'Test 4-Stats'!V44</f>
        <v>ONE TON LDV DOUBLE CAB</v>
      </c>
      <c r="E46" s="77" t="str">
        <f>'Test 4-Stats'!X44</f>
        <v>RANGER 2.0 SiT D CAB BASE 4X2</v>
      </c>
      <c r="F46" s="77" t="str">
        <f t="array" ref="F46:G46">'Test 4-Stats'!Z44:AA44</f>
        <v>DIESEL</v>
      </c>
      <c r="G46" s="77">
        <v>1998.0</v>
      </c>
      <c r="H46" s="77" t="str">
        <f t="array" ref="H46:M46">'Test 4-Stats'!C44:H44</f>
        <v>Business Unit 1</v>
      </c>
      <c r="I46" s="77" t="s">
        <v>110</v>
      </c>
      <c r="J46" s="77" t="s">
        <v>111</v>
      </c>
      <c r="K46" s="77" t="s">
        <v>196</v>
      </c>
      <c r="L46" s="77" t="s">
        <v>140</v>
      </c>
      <c r="M46" s="77" t="s">
        <v>141</v>
      </c>
      <c r="N46" s="78">
        <f t="array" ref="N46:P46">'Test 4-Stats'!AL44:AN44</f>
        <v>43899</v>
      </c>
      <c r="O46" s="78">
        <v>45725.0</v>
      </c>
      <c r="P46" s="77">
        <v>60.0</v>
      </c>
      <c r="Q46" s="77" t="str">
        <f>'Test 4-Stats'!CX44</f>
        <v>Active</v>
      </c>
      <c r="R46" s="79"/>
      <c r="S46" s="79"/>
      <c r="T46" s="79"/>
      <c r="U46" s="79"/>
      <c r="V46" s="79"/>
      <c r="W46" s="79"/>
      <c r="X46" s="79"/>
      <c r="Y46" s="79"/>
      <c r="Z46" s="79"/>
    </row>
    <row r="47" ht="14.25" customHeight="1">
      <c r="A47" s="76" t="str">
        <f>'Test 4-Stats'!S45</f>
        <v>Reg 46</v>
      </c>
      <c r="B47" s="77">
        <f>'Test 4-Stats'!Y45</f>
        <v>2024</v>
      </c>
      <c r="C47" s="77" t="str">
        <f>'Test 4-Stats'!W45</f>
        <v>FORD</v>
      </c>
      <c r="D47" s="77" t="str">
        <f>'Test 4-Stats'!V45</f>
        <v>ONE TON LDV DOUBLE CAB</v>
      </c>
      <c r="E47" s="77" t="str">
        <f>'Test 4-Stats'!X45</f>
        <v>RANGER 2.0 SiT D CAB BASE 4X2</v>
      </c>
      <c r="F47" s="77" t="str">
        <f t="array" ref="F47:G47">'Test 4-Stats'!Z45:AA45</f>
        <v>DIESEL</v>
      </c>
      <c r="G47" s="77">
        <v>1998.0</v>
      </c>
      <c r="H47" s="77" t="str">
        <f t="array" ref="H47:M47">'Test 4-Stats'!C45:H45</f>
        <v>Business Unit 2</v>
      </c>
      <c r="I47" s="77" t="s">
        <v>125</v>
      </c>
      <c r="J47" s="77" t="s">
        <v>126</v>
      </c>
      <c r="K47" s="77" t="s">
        <v>196</v>
      </c>
      <c r="L47" s="77" t="s">
        <v>140</v>
      </c>
      <c r="M47" s="77" t="s">
        <v>114</v>
      </c>
      <c r="N47" s="78">
        <f t="array" ref="N47:P47">'Test 4-Stats'!AL45:AN45</f>
        <v>43900</v>
      </c>
      <c r="O47" s="78">
        <v>45726.0</v>
      </c>
      <c r="P47" s="77">
        <v>60.0</v>
      </c>
      <c r="Q47" s="77" t="str">
        <f>'Test 4-Stats'!CX45</f>
        <v>Active</v>
      </c>
      <c r="R47" s="79"/>
      <c r="S47" s="79"/>
      <c r="T47" s="79"/>
      <c r="U47" s="79"/>
      <c r="V47" s="79"/>
      <c r="W47" s="79"/>
      <c r="X47" s="79"/>
      <c r="Y47" s="79"/>
      <c r="Z47" s="79"/>
    </row>
    <row r="48" ht="14.25" customHeight="1">
      <c r="A48" s="76" t="str">
        <f>'Test 4-Stats'!S46</f>
        <v>Reg 47</v>
      </c>
      <c r="B48" s="77">
        <f>'Test 4-Stats'!Y46</f>
        <v>2024</v>
      </c>
      <c r="C48" s="77" t="str">
        <f>'Test 4-Stats'!W46</f>
        <v>ISUZU</v>
      </c>
      <c r="D48" s="77" t="str">
        <f>'Test 4-Stats'!V46</f>
        <v>ONE TON LDV SINGLE CAB</v>
      </c>
      <c r="E48" s="77" t="str">
        <f>'Test 4-Stats'!X46</f>
        <v>D-MAX 250 HO FLEETSIDE (SAFETY)</v>
      </c>
      <c r="F48" s="77" t="str">
        <f t="array" ref="F48:G48">'Test 4-Stats'!Z46:AA46</f>
        <v>DIESEL</v>
      </c>
      <c r="G48" s="77">
        <v>2498.0</v>
      </c>
      <c r="H48" s="77" t="str">
        <f t="array" ref="H48:M48">'Test 4-Stats'!C46:H46</f>
        <v>Business Unit 3</v>
      </c>
      <c r="I48" s="77" t="s">
        <v>137</v>
      </c>
      <c r="J48" s="77" t="s">
        <v>138</v>
      </c>
      <c r="K48" s="77" t="s">
        <v>172</v>
      </c>
      <c r="L48" s="77" t="s">
        <v>140</v>
      </c>
      <c r="M48" s="77" t="s">
        <v>129</v>
      </c>
      <c r="N48" s="78">
        <f t="array" ref="N48:P48">'Test 4-Stats'!AL46:AN46</f>
        <v>44023</v>
      </c>
      <c r="O48" s="78">
        <v>45849.0</v>
      </c>
      <c r="P48" s="77">
        <v>60.0</v>
      </c>
      <c r="Q48" s="77" t="str">
        <f>'Test 4-Stats'!CX46</f>
        <v>Active</v>
      </c>
      <c r="R48" s="79"/>
      <c r="S48" s="79"/>
      <c r="T48" s="79"/>
      <c r="U48" s="79"/>
      <c r="V48" s="79"/>
      <c r="W48" s="79"/>
      <c r="X48" s="79"/>
      <c r="Y48" s="79"/>
      <c r="Z48" s="79"/>
    </row>
    <row r="49" ht="14.25" customHeight="1">
      <c r="A49" s="76" t="str">
        <f>'Test 4-Stats'!S47</f>
        <v>Reg 48</v>
      </c>
      <c r="B49" s="77">
        <f>'Test 4-Stats'!Y47</f>
        <v>2024</v>
      </c>
      <c r="C49" s="77" t="str">
        <f>'Test 4-Stats'!W47</f>
        <v>ISUZU</v>
      </c>
      <c r="D49" s="77" t="str">
        <f>'Test 4-Stats'!V47</f>
        <v>ONE TON LDV SINGLE CAB</v>
      </c>
      <c r="E49" s="77" t="str">
        <f>'Test 4-Stats'!X47</f>
        <v>D-MAX 250 HO FLEETSIDE (SAFETY)</v>
      </c>
      <c r="F49" s="77" t="str">
        <f t="array" ref="F49:G49">'Test 4-Stats'!Z47:AA47</f>
        <v>DIESEL</v>
      </c>
      <c r="G49" s="77">
        <v>2498.0</v>
      </c>
      <c r="H49" s="77" t="str">
        <f t="array" ref="H49:M49">'Test 4-Stats'!C47:H47</f>
        <v>Business Unit 1</v>
      </c>
      <c r="I49" s="77" t="s">
        <v>110</v>
      </c>
      <c r="J49" s="77" t="s">
        <v>111</v>
      </c>
      <c r="K49" s="77" t="s">
        <v>172</v>
      </c>
      <c r="L49" s="77" t="s">
        <v>140</v>
      </c>
      <c r="M49" s="77" t="s">
        <v>141</v>
      </c>
      <c r="N49" s="78">
        <f t="array" ref="N49:P49">'Test 4-Stats'!AL47:AN47</f>
        <v>43902</v>
      </c>
      <c r="O49" s="78">
        <v>45728.0</v>
      </c>
      <c r="P49" s="77">
        <v>60.0</v>
      </c>
      <c r="Q49" s="77" t="str">
        <f>'Test 4-Stats'!CX47</f>
        <v>Active</v>
      </c>
      <c r="R49" s="79"/>
      <c r="S49" s="79"/>
      <c r="T49" s="79"/>
      <c r="U49" s="79"/>
      <c r="V49" s="79"/>
      <c r="W49" s="79"/>
      <c r="X49" s="79"/>
      <c r="Y49" s="79"/>
      <c r="Z49" s="79"/>
    </row>
    <row r="50" ht="14.25" customHeight="1">
      <c r="A50" s="76" t="str">
        <f>'Test 4-Stats'!S48</f>
        <v>Reg 49</v>
      </c>
      <c r="B50" s="77">
        <f>'Test 4-Stats'!Y48</f>
        <v>2024</v>
      </c>
      <c r="C50" s="77" t="str">
        <f>'Test 4-Stats'!W48</f>
        <v>ISUZU</v>
      </c>
      <c r="D50" s="77" t="str">
        <f>'Test 4-Stats'!V48</f>
        <v>ONE TON LDV SINGLE CAB</v>
      </c>
      <c r="E50" s="77" t="str">
        <f>'Test 4-Stats'!X48</f>
        <v>D-MAX 250 HO FLEETSIDE (SAFETY)</v>
      </c>
      <c r="F50" s="77" t="str">
        <f t="array" ref="F50:G50">'Test 4-Stats'!Z48:AA48</f>
        <v>DIESEL</v>
      </c>
      <c r="G50" s="77">
        <v>2498.0</v>
      </c>
      <c r="H50" s="77" t="str">
        <f t="array" ref="H50:M50">'Test 4-Stats'!C48:H48</f>
        <v>Business Unit 2</v>
      </c>
      <c r="I50" s="77" t="s">
        <v>125</v>
      </c>
      <c r="J50" s="77" t="s">
        <v>126</v>
      </c>
      <c r="K50" s="77" t="s">
        <v>172</v>
      </c>
      <c r="L50" s="77" t="s">
        <v>140</v>
      </c>
      <c r="M50" s="77" t="s">
        <v>114</v>
      </c>
      <c r="N50" s="78">
        <f t="array" ref="N50:P50">'Test 4-Stats'!AL48:AN48</f>
        <v>43903</v>
      </c>
      <c r="O50" s="78">
        <v>45729.0</v>
      </c>
      <c r="P50" s="77">
        <v>60.0</v>
      </c>
      <c r="Q50" s="77" t="str">
        <f>'Test 4-Stats'!CX48</f>
        <v>Active</v>
      </c>
      <c r="R50" s="79"/>
      <c r="S50" s="79"/>
      <c r="T50" s="79"/>
      <c r="U50" s="79"/>
      <c r="V50" s="79"/>
      <c r="W50" s="79"/>
      <c r="X50" s="79"/>
      <c r="Y50" s="79"/>
      <c r="Z50" s="79"/>
    </row>
    <row r="51" ht="14.25" customHeight="1">
      <c r="A51" s="76" t="str">
        <f>'Test 4-Stats'!S49</f>
        <v>Reg 50</v>
      </c>
      <c r="B51" s="77">
        <f>'Test 4-Stats'!Y49</f>
        <v>2024</v>
      </c>
      <c r="C51" s="77" t="str">
        <f>'Test 4-Stats'!W49</f>
        <v>ISUZU</v>
      </c>
      <c r="D51" s="77" t="str">
        <f>'Test 4-Stats'!V49</f>
        <v>ONE TON LDV SINGLE CAB</v>
      </c>
      <c r="E51" s="77" t="str">
        <f>'Test 4-Stats'!X49</f>
        <v>D-MAX 250 HO FLEETSIDE (SAFETY)</v>
      </c>
      <c r="F51" s="77" t="str">
        <f t="array" ref="F51:G51">'Test 4-Stats'!Z49:AA49</f>
        <v>DIESEL</v>
      </c>
      <c r="G51" s="77">
        <v>2498.0</v>
      </c>
      <c r="H51" s="77" t="str">
        <f t="array" ref="H51:M51">'Test 4-Stats'!C49:H49</f>
        <v>Business Unit 3</v>
      </c>
      <c r="I51" s="77" t="s">
        <v>137</v>
      </c>
      <c r="J51" s="77" t="s">
        <v>138</v>
      </c>
      <c r="K51" s="77" t="s">
        <v>172</v>
      </c>
      <c r="L51" s="77" t="s">
        <v>140</v>
      </c>
      <c r="M51" s="77" t="s">
        <v>129</v>
      </c>
      <c r="N51" s="78">
        <f t="array" ref="N51:P51">'Test 4-Stats'!AL49:AN49</f>
        <v>43904</v>
      </c>
      <c r="O51" s="78">
        <v>45730.0</v>
      </c>
      <c r="P51" s="77">
        <v>60.0</v>
      </c>
      <c r="Q51" s="77" t="str">
        <f>'Test 4-Stats'!CX49</f>
        <v>Active</v>
      </c>
      <c r="R51" s="79"/>
      <c r="S51" s="79"/>
      <c r="T51" s="79"/>
      <c r="U51" s="79"/>
      <c r="V51" s="79"/>
      <c r="W51" s="79"/>
      <c r="X51" s="79"/>
      <c r="Y51" s="79"/>
      <c r="Z51" s="79"/>
    </row>
    <row r="52" ht="14.25" customHeight="1">
      <c r="A52" s="76" t="str">
        <f>'Test 4-Stats'!S50</f>
        <v>Reg 51</v>
      </c>
      <c r="B52" s="77">
        <f>'Test 4-Stats'!Y50</f>
        <v>2024</v>
      </c>
      <c r="C52" s="77" t="str">
        <f>'Test 4-Stats'!W50</f>
        <v>FORD</v>
      </c>
      <c r="D52" s="77" t="str">
        <f>'Test 4-Stats'!V50</f>
        <v>ONE TON LDV DOUBLE CAB</v>
      </c>
      <c r="E52" s="77" t="str">
        <f>'Test 4-Stats'!X50</f>
        <v>RANGER 2.0 SiT D CAB BASE 4X4</v>
      </c>
      <c r="F52" s="77" t="str">
        <f t="array" ref="F52:G52">'Test 4-Stats'!Z50:AA50</f>
        <v>DIESEL</v>
      </c>
      <c r="G52" s="77">
        <v>1998.0</v>
      </c>
      <c r="H52" s="77" t="str">
        <f t="array" ref="H52:M52">'Test 4-Stats'!C50:H50</f>
        <v>Business Unit 1</v>
      </c>
      <c r="I52" s="77" t="s">
        <v>110</v>
      </c>
      <c r="J52" s="77" t="s">
        <v>111</v>
      </c>
      <c r="K52" s="77" t="s">
        <v>172</v>
      </c>
      <c r="L52" s="77" t="s">
        <v>140</v>
      </c>
      <c r="M52" s="77" t="s">
        <v>141</v>
      </c>
      <c r="N52" s="78">
        <f t="array" ref="N52:P52">'Test 4-Stats'!AL50:AN50</f>
        <v>43905</v>
      </c>
      <c r="O52" s="78">
        <v>45731.0</v>
      </c>
      <c r="P52" s="77">
        <v>60.0</v>
      </c>
      <c r="Q52" s="77" t="str">
        <f>'Test 4-Stats'!CX50</f>
        <v>Active</v>
      </c>
      <c r="R52" s="79"/>
      <c r="S52" s="79"/>
      <c r="T52" s="79"/>
      <c r="U52" s="79"/>
      <c r="V52" s="79"/>
      <c r="W52" s="79"/>
      <c r="X52" s="79"/>
      <c r="Y52" s="79"/>
      <c r="Z52" s="79"/>
    </row>
    <row r="53" ht="14.25" customHeight="1">
      <c r="A53" s="76" t="str">
        <f>'Test 4-Stats'!S51</f>
        <v>Reg 52</v>
      </c>
      <c r="B53" s="77">
        <f>'Test 4-Stats'!Y51</f>
        <v>2024</v>
      </c>
      <c r="C53" s="77" t="str">
        <f>'Test 4-Stats'!W51</f>
        <v>ISUZU</v>
      </c>
      <c r="D53" s="77" t="str">
        <f>'Test 4-Stats'!V51</f>
        <v>ONE TON LDV SINGLE CAB</v>
      </c>
      <c r="E53" s="77" t="str">
        <f>'Test 4-Stats'!X51</f>
        <v>D-MAX 250 HO FLEETSIDE (SAFETY)</v>
      </c>
      <c r="F53" s="77" t="str">
        <f t="array" ref="F53:G53">'Test 4-Stats'!Z51:AA51</f>
        <v>DIESEL</v>
      </c>
      <c r="G53" s="77">
        <v>2498.0</v>
      </c>
      <c r="H53" s="77" t="str">
        <f t="array" ref="H53:M53">'Test 4-Stats'!C51:H51</f>
        <v>Business Unit 2</v>
      </c>
      <c r="I53" s="77" t="s">
        <v>125</v>
      </c>
      <c r="J53" s="77" t="s">
        <v>126</v>
      </c>
      <c r="K53" s="77" t="s">
        <v>172</v>
      </c>
      <c r="L53" s="77" t="s">
        <v>140</v>
      </c>
      <c r="M53" s="77" t="s">
        <v>114</v>
      </c>
      <c r="N53" s="78">
        <f t="array" ref="N53:P53">'Test 4-Stats'!AL51:AN51</f>
        <v>43906</v>
      </c>
      <c r="O53" s="78">
        <v>45732.0</v>
      </c>
      <c r="P53" s="77">
        <v>60.0</v>
      </c>
      <c r="Q53" s="77" t="str">
        <f>'Test 4-Stats'!CX51</f>
        <v>Active</v>
      </c>
      <c r="R53" s="79"/>
      <c r="S53" s="79"/>
      <c r="T53" s="79"/>
      <c r="U53" s="79"/>
      <c r="V53" s="79"/>
      <c r="W53" s="79"/>
      <c r="X53" s="79"/>
      <c r="Y53" s="79"/>
      <c r="Z53" s="79"/>
    </row>
    <row r="54" ht="14.25" customHeight="1">
      <c r="A54" s="76" t="str">
        <f>'Test 4-Stats'!S52</f>
        <v>Reg 53</v>
      </c>
      <c r="B54" s="77">
        <f>'Test 4-Stats'!Y52</f>
        <v>2024</v>
      </c>
      <c r="C54" s="77" t="str">
        <f>'Test 4-Stats'!W52</f>
        <v>FORD</v>
      </c>
      <c r="D54" s="77" t="str">
        <f>'Test 4-Stats'!V52</f>
        <v>MINIBUS</v>
      </c>
      <c r="E54" s="77" t="str">
        <f>'Test 4-Stats'!X52</f>
        <v>TOURNEO CUSTOM 2.2 TDCI AMBIENTE LWB</v>
      </c>
      <c r="F54" s="77" t="str">
        <f t="array" ref="F54:G54">'Test 4-Stats'!Z52:AA52</f>
        <v>DIESEL</v>
      </c>
      <c r="G54" s="77">
        <v>2198.0</v>
      </c>
      <c r="H54" s="77" t="str">
        <f t="array" ref="H54:M54">'Test 4-Stats'!C52:H52</f>
        <v>Business Unit 1</v>
      </c>
      <c r="I54" s="77" t="s">
        <v>137</v>
      </c>
      <c r="J54" s="77" t="s">
        <v>138</v>
      </c>
      <c r="K54" s="77" t="s">
        <v>172</v>
      </c>
      <c r="L54" s="77" t="s">
        <v>140</v>
      </c>
      <c r="M54" s="77" t="s">
        <v>129</v>
      </c>
      <c r="N54" s="78">
        <f t="array" ref="N54:P54">'Test 4-Stats'!AL52:AN52</f>
        <v>43907</v>
      </c>
      <c r="O54" s="78">
        <v>45733.0</v>
      </c>
      <c r="P54" s="77">
        <v>60.0</v>
      </c>
      <c r="Q54" s="77" t="str">
        <f>'Test 4-Stats'!CX52</f>
        <v>Active</v>
      </c>
      <c r="R54" s="79"/>
      <c r="S54" s="79"/>
      <c r="T54" s="79"/>
      <c r="U54" s="79"/>
      <c r="V54" s="79"/>
      <c r="W54" s="79"/>
      <c r="X54" s="79"/>
      <c r="Y54" s="79"/>
      <c r="Z54" s="79"/>
    </row>
    <row r="55" ht="14.25" customHeight="1">
      <c r="A55" s="76" t="str">
        <f>'Test 4-Stats'!S53</f>
        <v>Reg 54</v>
      </c>
      <c r="B55" s="77">
        <f>'Test 4-Stats'!Y53</f>
        <v>2021</v>
      </c>
      <c r="C55" s="77" t="str">
        <f>'Test 4-Stats'!W53</f>
        <v>ISUZU</v>
      </c>
      <c r="D55" s="77" t="str">
        <f>'Test 4-Stats'!V53</f>
        <v>ONE TON LDV SINGLE CAB</v>
      </c>
      <c r="E55" s="77" t="str">
        <f>'Test 4-Stats'!X53</f>
        <v>D-MAX 250 HO FLEETSIDE (SAFETY)</v>
      </c>
      <c r="F55" s="77" t="str">
        <f t="array" ref="F55:G55">'Test 4-Stats'!Z53:AA53</f>
        <v>DIESEL</v>
      </c>
      <c r="G55" s="77">
        <v>2498.0</v>
      </c>
      <c r="H55" s="77" t="str">
        <f t="array" ref="H55:M55">'Test 4-Stats'!C53:H53</f>
        <v>Business Unit 2</v>
      </c>
      <c r="I55" s="77" t="s">
        <v>110</v>
      </c>
      <c r="J55" s="77" t="s">
        <v>111</v>
      </c>
      <c r="K55" s="77" t="s">
        <v>176</v>
      </c>
      <c r="L55" s="77" t="s">
        <v>140</v>
      </c>
      <c r="M55" s="77" t="s">
        <v>141</v>
      </c>
      <c r="N55" s="78">
        <f t="array" ref="N55:P55">'Test 4-Stats'!AL53:AN53</f>
        <v>43908</v>
      </c>
      <c r="O55" s="78">
        <v>45734.0</v>
      </c>
      <c r="P55" s="77">
        <v>60.0</v>
      </c>
      <c r="Q55" s="77" t="str">
        <f>'Test 4-Stats'!CX53</f>
        <v>Active</v>
      </c>
      <c r="R55" s="79"/>
      <c r="S55" s="79"/>
      <c r="T55" s="79"/>
      <c r="U55" s="79"/>
      <c r="V55" s="79"/>
      <c r="W55" s="79"/>
      <c r="X55" s="79"/>
      <c r="Y55" s="79"/>
      <c r="Z55" s="79"/>
    </row>
    <row r="56" ht="14.25" customHeight="1">
      <c r="A56" s="76" t="str">
        <f>'Test 4-Stats'!S54</f>
        <v>Reg 55</v>
      </c>
      <c r="B56" s="77">
        <f>'Test 4-Stats'!Y54</f>
        <v>2024</v>
      </c>
      <c r="C56" s="77" t="str">
        <f>'Test 4-Stats'!W54</f>
        <v>HYUNDAI</v>
      </c>
      <c r="D56" s="77" t="str">
        <f>'Test 4-Stats'!V54</f>
        <v>MINIBUS</v>
      </c>
      <c r="E56" s="77" t="str">
        <f>'Test 4-Stats'!X54</f>
        <v>STARIA 2.2D EXECUTIVE 9 SEATER AT</v>
      </c>
      <c r="F56" s="77" t="str">
        <f t="array" ref="F56:G56">'Test 4-Stats'!Z54:AA54</f>
        <v>DIESEL</v>
      </c>
      <c r="G56" s="77">
        <v>2198.0</v>
      </c>
      <c r="H56" s="77" t="str">
        <f t="array" ref="H56:M56">'Test 4-Stats'!C54:H54</f>
        <v>Business Unit 3</v>
      </c>
      <c r="I56" s="77" t="s">
        <v>125</v>
      </c>
      <c r="J56" s="77" t="s">
        <v>126</v>
      </c>
      <c r="K56" s="77" t="s">
        <v>287</v>
      </c>
      <c r="L56" s="77" t="s">
        <v>140</v>
      </c>
      <c r="M56" s="77" t="s">
        <v>114</v>
      </c>
      <c r="N56" s="78">
        <f t="array" ref="N56:P56">'Test 4-Stats'!AL54:AN54</f>
        <v>43909</v>
      </c>
      <c r="O56" s="78">
        <v>45735.0</v>
      </c>
      <c r="P56" s="77">
        <v>60.0</v>
      </c>
      <c r="Q56" s="77" t="str">
        <f>'Test 4-Stats'!CX54</f>
        <v>Active</v>
      </c>
      <c r="R56" s="79"/>
      <c r="S56" s="79"/>
      <c r="T56" s="79"/>
      <c r="U56" s="79"/>
      <c r="V56" s="79"/>
      <c r="W56" s="79"/>
      <c r="X56" s="79"/>
      <c r="Y56" s="79"/>
      <c r="Z56" s="79"/>
    </row>
    <row r="57" ht="14.25" customHeight="1">
      <c r="A57" s="76" t="str">
        <f>'Test 4-Stats'!S55</f>
        <v>Reg 56</v>
      </c>
      <c r="B57" s="77">
        <f>'Test 4-Stats'!Y55</f>
        <v>2024</v>
      </c>
      <c r="C57" s="77" t="str">
        <f>'Test 4-Stats'!W55</f>
        <v>NISSAN</v>
      </c>
      <c r="D57" s="77" t="str">
        <f>'Test 4-Stats'!V55</f>
        <v>HALF TON LDV</v>
      </c>
      <c r="E57" s="77" t="str">
        <f>'Test 4-Stats'!X55</f>
        <v>NP200 1.6 8V AC SAFETY PACK</v>
      </c>
      <c r="F57" s="77" t="str">
        <f t="array" ref="F57:G57">'Test 4-Stats'!Z55:AA55</f>
        <v>PETROL</v>
      </c>
      <c r="G57" s="77">
        <v>1598.0</v>
      </c>
      <c r="H57" s="77" t="str">
        <f t="array" ref="H57:M57">'Test 4-Stats'!C55:H55</f>
        <v>Business Unit 1</v>
      </c>
      <c r="I57" s="77" t="s">
        <v>137</v>
      </c>
      <c r="J57" s="77" t="s">
        <v>138</v>
      </c>
      <c r="K57" s="77" t="s">
        <v>176</v>
      </c>
      <c r="L57" s="77" t="s">
        <v>140</v>
      </c>
      <c r="M57" s="77" t="s">
        <v>129</v>
      </c>
      <c r="N57" s="78">
        <f t="array" ref="N57:P57">'Test 4-Stats'!AL55:AN55</f>
        <v>43910</v>
      </c>
      <c r="O57" s="78">
        <v>45736.0</v>
      </c>
      <c r="P57" s="77">
        <v>60.0</v>
      </c>
      <c r="Q57" s="77" t="str">
        <f>'Test 4-Stats'!CX55</f>
        <v>Active</v>
      </c>
      <c r="R57" s="79"/>
      <c r="S57" s="79"/>
      <c r="T57" s="79"/>
      <c r="U57" s="79"/>
      <c r="V57" s="79"/>
      <c r="W57" s="79"/>
      <c r="X57" s="79"/>
      <c r="Y57" s="79"/>
      <c r="Z57" s="79"/>
    </row>
    <row r="58" ht="14.25" customHeight="1">
      <c r="A58" s="76" t="str">
        <f>'Test 4-Stats'!S56</f>
        <v>Reg 57</v>
      </c>
      <c r="B58" s="77">
        <f>'Test 4-Stats'!Y56</f>
        <v>2024</v>
      </c>
      <c r="C58" s="77" t="str">
        <f>'Test 4-Stats'!W56</f>
        <v>NISSAN</v>
      </c>
      <c r="D58" s="77" t="str">
        <f>'Test 4-Stats'!V56</f>
        <v>HALF TON LDV</v>
      </c>
      <c r="E58" s="77" t="str">
        <f>'Test 4-Stats'!X56</f>
        <v>NP200 1.6 8V AC SAFETY PACK</v>
      </c>
      <c r="F58" s="77" t="str">
        <f t="array" ref="F58:G58">'Test 4-Stats'!Z56:AA56</f>
        <v>PETROL</v>
      </c>
      <c r="G58" s="77">
        <v>1598.0</v>
      </c>
      <c r="H58" s="77" t="str">
        <f t="array" ref="H58:M58">'Test 4-Stats'!C56:H56</f>
        <v>Business Unit 2</v>
      </c>
      <c r="I58" s="77" t="s">
        <v>110</v>
      </c>
      <c r="J58" s="77" t="s">
        <v>111</v>
      </c>
      <c r="K58" s="77" t="s">
        <v>176</v>
      </c>
      <c r="L58" s="77" t="s">
        <v>140</v>
      </c>
      <c r="M58" s="77" t="s">
        <v>141</v>
      </c>
      <c r="N58" s="78">
        <f t="array" ref="N58:P58">'Test 4-Stats'!AL56:AN56</f>
        <v>44064</v>
      </c>
      <c r="O58" s="78">
        <v>45890.0</v>
      </c>
      <c r="P58" s="77">
        <v>60.0</v>
      </c>
      <c r="Q58" s="77" t="str">
        <f>'Test 4-Stats'!CX56</f>
        <v>Active</v>
      </c>
      <c r="R58" s="79"/>
      <c r="S58" s="79"/>
      <c r="T58" s="79"/>
      <c r="U58" s="79"/>
      <c r="V58" s="79"/>
      <c r="W58" s="79"/>
      <c r="X58" s="79"/>
      <c r="Y58" s="79"/>
      <c r="Z58" s="79"/>
    </row>
    <row r="59" ht="14.25" customHeight="1">
      <c r="A59" s="76" t="str">
        <f>'Test 4-Stats'!S57</f>
        <v>Reg 58</v>
      </c>
      <c r="B59" s="77">
        <f>'Test 4-Stats'!Y57</f>
        <v>2024</v>
      </c>
      <c r="C59" s="77" t="str">
        <f>'Test 4-Stats'!W57</f>
        <v>ISUZU</v>
      </c>
      <c r="D59" s="77" t="str">
        <f>'Test 4-Stats'!V57</f>
        <v>ONE TON LDV DOUBLE CAB</v>
      </c>
      <c r="E59" s="77" t="str">
        <f>'Test 4-Stats'!X57</f>
        <v>D-MAX 1.9 DDI D CAB 4X4 L</v>
      </c>
      <c r="F59" s="77" t="str">
        <f t="array" ref="F59:G59">'Test 4-Stats'!Z57:AA57</f>
        <v>DIESEL</v>
      </c>
      <c r="G59" s="77">
        <v>1898.0</v>
      </c>
      <c r="H59" s="77" t="str">
        <f t="array" ref="H59:M59">'Test 4-Stats'!C57:H57</f>
        <v>Business Unit 3</v>
      </c>
      <c r="I59" s="77" t="s">
        <v>125</v>
      </c>
      <c r="J59" s="77" t="s">
        <v>126</v>
      </c>
      <c r="K59" s="77" t="s">
        <v>172</v>
      </c>
      <c r="L59" s="77" t="s">
        <v>140</v>
      </c>
      <c r="M59" s="77" t="s">
        <v>114</v>
      </c>
      <c r="N59" s="78">
        <f t="array" ref="N59:P59">'Test 4-Stats'!AL57:AN57</f>
        <v>43912</v>
      </c>
      <c r="O59" s="78">
        <v>45738.0</v>
      </c>
      <c r="P59" s="77">
        <v>60.0</v>
      </c>
      <c r="Q59" s="77" t="str">
        <f>'Test 4-Stats'!CX57</f>
        <v>Active</v>
      </c>
      <c r="R59" s="79"/>
      <c r="S59" s="79"/>
      <c r="T59" s="79"/>
      <c r="U59" s="79"/>
      <c r="V59" s="79"/>
      <c r="W59" s="79"/>
      <c r="X59" s="79"/>
      <c r="Y59" s="79"/>
      <c r="Z59" s="79"/>
    </row>
    <row r="60" ht="14.25" customHeight="1">
      <c r="A60" s="76" t="str">
        <f>'Test 4-Stats'!S58</f>
        <v>Reg 59</v>
      </c>
      <c r="B60" s="77">
        <f>'Test 4-Stats'!Y58</f>
        <v>2024</v>
      </c>
      <c r="C60" s="77" t="str">
        <f>'Test 4-Stats'!W58</f>
        <v>FORD</v>
      </c>
      <c r="D60" s="77" t="str">
        <f>'Test 4-Stats'!V58</f>
        <v>ONE TON LDV DOUBLE CAB</v>
      </c>
      <c r="E60" s="77" t="str">
        <f>'Test 4-Stats'!X58</f>
        <v>RANGER 2.0 SiT D CAB BASE 4X2</v>
      </c>
      <c r="F60" s="77" t="str">
        <f t="array" ref="F60:G60">'Test 4-Stats'!Z58:AA58</f>
        <v>DIESEL</v>
      </c>
      <c r="G60" s="77">
        <v>1998.0</v>
      </c>
      <c r="H60" s="77" t="str">
        <f t="array" ref="H60:M60">'Test 4-Stats'!C58:H58</f>
        <v>Business Unit 1</v>
      </c>
      <c r="I60" s="77" t="s">
        <v>137</v>
      </c>
      <c r="J60" s="77" t="s">
        <v>138</v>
      </c>
      <c r="K60" s="77" t="s">
        <v>196</v>
      </c>
      <c r="L60" s="77" t="s">
        <v>140</v>
      </c>
      <c r="M60" s="77" t="s">
        <v>129</v>
      </c>
      <c r="N60" s="78">
        <f t="array" ref="N60:P60">'Test 4-Stats'!AL58:AN58</f>
        <v>43913</v>
      </c>
      <c r="O60" s="78">
        <v>45739.0</v>
      </c>
      <c r="P60" s="77">
        <v>60.0</v>
      </c>
      <c r="Q60" s="77" t="str">
        <f>'Test 4-Stats'!CX58</f>
        <v>Active</v>
      </c>
      <c r="R60" s="79"/>
      <c r="S60" s="79"/>
      <c r="T60" s="79"/>
      <c r="U60" s="79"/>
      <c r="V60" s="79"/>
      <c r="W60" s="79"/>
      <c r="X60" s="79"/>
      <c r="Y60" s="79"/>
      <c r="Z60" s="79"/>
    </row>
    <row r="61" ht="14.25" customHeight="1">
      <c r="A61" s="76" t="str">
        <f>'Test 4-Stats'!S59</f>
        <v>Reg 60</v>
      </c>
      <c r="B61" s="77">
        <f>'Test 4-Stats'!Y59</f>
        <v>2024</v>
      </c>
      <c r="C61" s="77" t="str">
        <f>'Test 4-Stats'!W59</f>
        <v>FORD</v>
      </c>
      <c r="D61" s="77" t="str">
        <f>'Test 4-Stats'!V59</f>
        <v>ONE TON LDV DOUBLE CAB</v>
      </c>
      <c r="E61" s="77" t="str">
        <f>'Test 4-Stats'!X59</f>
        <v>RANGER 2.0 SiT D CAB BASE 4X2</v>
      </c>
      <c r="F61" s="77" t="str">
        <f t="array" ref="F61:G61">'Test 4-Stats'!Z59:AA59</f>
        <v>DIESEL</v>
      </c>
      <c r="G61" s="77">
        <v>1998.0</v>
      </c>
      <c r="H61" s="77" t="str">
        <f t="array" ref="H61:M61">'Test 4-Stats'!C59:H59</f>
        <v>Business Unit 2</v>
      </c>
      <c r="I61" s="77" t="s">
        <v>110</v>
      </c>
      <c r="J61" s="77" t="s">
        <v>111</v>
      </c>
      <c r="K61" s="77" t="s">
        <v>196</v>
      </c>
      <c r="L61" s="77" t="s">
        <v>140</v>
      </c>
      <c r="M61" s="77" t="s">
        <v>141</v>
      </c>
      <c r="N61" s="78">
        <f t="array" ref="N61:P61">'Test 4-Stats'!AL59:AN59</f>
        <v>43914</v>
      </c>
      <c r="O61" s="78">
        <v>45740.0</v>
      </c>
      <c r="P61" s="77">
        <v>60.0</v>
      </c>
      <c r="Q61" s="77" t="str">
        <f>'Test 4-Stats'!CX59</f>
        <v>Active</v>
      </c>
      <c r="R61" s="79"/>
      <c r="S61" s="79"/>
      <c r="T61" s="79"/>
      <c r="U61" s="79"/>
      <c r="V61" s="79"/>
      <c r="W61" s="79"/>
      <c r="X61" s="79"/>
      <c r="Y61" s="79"/>
      <c r="Z61" s="79"/>
    </row>
    <row r="62" ht="14.25" customHeight="1">
      <c r="A62" s="76" t="str">
        <f>'Test 4-Stats'!S60</f>
        <v>Reg 61</v>
      </c>
      <c r="B62" s="77">
        <f>'Test 4-Stats'!Y60</f>
        <v>2024</v>
      </c>
      <c r="C62" s="77" t="str">
        <f>'Test 4-Stats'!W60</f>
        <v>FORD</v>
      </c>
      <c r="D62" s="77" t="str">
        <f>'Test 4-Stats'!V60</f>
        <v>ONE TON LDV DOUBLE CAB</v>
      </c>
      <c r="E62" s="77" t="str">
        <f>'Test 4-Stats'!X60</f>
        <v>RANGER 2.0 SiT D CAB BASE 4X2</v>
      </c>
      <c r="F62" s="77" t="str">
        <f t="array" ref="F62:G62">'Test 4-Stats'!Z60:AA60</f>
        <v>DIESEL</v>
      </c>
      <c r="G62" s="77">
        <v>1998.0</v>
      </c>
      <c r="H62" s="77" t="str">
        <f t="array" ref="H62:M62">'Test 4-Stats'!C60:H60</f>
        <v>Business Unit 3</v>
      </c>
      <c r="I62" s="77" t="s">
        <v>125</v>
      </c>
      <c r="J62" s="77" t="s">
        <v>126</v>
      </c>
      <c r="K62" s="77" t="s">
        <v>196</v>
      </c>
      <c r="L62" s="77" t="s">
        <v>140</v>
      </c>
      <c r="M62" s="77" t="s">
        <v>114</v>
      </c>
      <c r="N62" s="78">
        <f t="array" ref="N62:P62">'Test 4-Stats'!AL60:AN60</f>
        <v>43915</v>
      </c>
      <c r="O62" s="78">
        <v>45741.0</v>
      </c>
      <c r="P62" s="77">
        <v>60.0</v>
      </c>
      <c r="Q62" s="77" t="str">
        <f>'Test 4-Stats'!CX60</f>
        <v>Active</v>
      </c>
      <c r="R62" s="79"/>
      <c r="S62" s="79"/>
      <c r="T62" s="79"/>
      <c r="U62" s="79"/>
      <c r="V62" s="79"/>
      <c r="W62" s="79"/>
      <c r="X62" s="79"/>
      <c r="Y62" s="79"/>
      <c r="Z62" s="79"/>
    </row>
    <row r="63" ht="14.25" customHeight="1">
      <c r="A63" s="76" t="str">
        <f>'Test 4-Stats'!S61</f>
        <v>Reg 62</v>
      </c>
      <c r="B63" s="77">
        <f>'Test 4-Stats'!Y61</f>
        <v>2024</v>
      </c>
      <c r="C63" s="77" t="str">
        <f>'Test 4-Stats'!W61</f>
        <v>FORD</v>
      </c>
      <c r="D63" s="77" t="str">
        <f>'Test 4-Stats'!V61</f>
        <v>ONE TON LDV DOUBLE CAB</v>
      </c>
      <c r="E63" s="77" t="str">
        <f>'Test 4-Stats'!X61</f>
        <v>RANGER 2.0 SiT D CAB BASE 4X2</v>
      </c>
      <c r="F63" s="77" t="str">
        <f t="array" ref="F63:G63">'Test 4-Stats'!Z61:AA61</f>
        <v>DIESEL</v>
      </c>
      <c r="G63" s="77">
        <v>1998.0</v>
      </c>
      <c r="H63" s="77" t="str">
        <f t="array" ref="H63:M63">'Test 4-Stats'!C61:H61</f>
        <v>Business Unit 1</v>
      </c>
      <c r="I63" s="77" t="s">
        <v>110</v>
      </c>
      <c r="J63" s="77" t="s">
        <v>111</v>
      </c>
      <c r="K63" s="77" t="s">
        <v>196</v>
      </c>
      <c r="L63" s="77" t="s">
        <v>140</v>
      </c>
      <c r="M63" s="77" t="s">
        <v>129</v>
      </c>
      <c r="N63" s="78">
        <f t="array" ref="N63:P63">'Test 4-Stats'!AL61:AN61</f>
        <v>43916</v>
      </c>
      <c r="O63" s="78">
        <v>45742.0</v>
      </c>
      <c r="P63" s="77">
        <v>60.0</v>
      </c>
      <c r="Q63" s="77" t="str">
        <f>'Test 4-Stats'!CX61</f>
        <v>Active</v>
      </c>
      <c r="R63" s="79"/>
      <c r="S63" s="79"/>
      <c r="T63" s="79"/>
      <c r="U63" s="79"/>
      <c r="V63" s="79"/>
      <c r="W63" s="79"/>
      <c r="X63" s="79"/>
      <c r="Y63" s="79"/>
      <c r="Z63" s="79"/>
    </row>
    <row r="64" ht="14.25" customHeight="1">
      <c r="A64" s="76" t="str">
        <f>'Test 4-Stats'!S62</f>
        <v>Reg 63</v>
      </c>
      <c r="B64" s="77">
        <f>'Test 4-Stats'!Y62</f>
        <v>2024</v>
      </c>
      <c r="C64" s="77" t="str">
        <f>'Test 4-Stats'!W62</f>
        <v>FORD</v>
      </c>
      <c r="D64" s="77" t="str">
        <f>'Test 4-Stats'!V62</f>
        <v>ONE TON LDV DOUBLE CAB</v>
      </c>
      <c r="E64" s="77" t="str">
        <f>'Test 4-Stats'!X62</f>
        <v>RANGER 2.0 SiT D CAB BASE 4X2</v>
      </c>
      <c r="F64" s="77" t="str">
        <f t="array" ref="F64:G64">'Test 4-Stats'!Z62:AA62</f>
        <v>DIESEL</v>
      </c>
      <c r="G64" s="77">
        <v>1998.0</v>
      </c>
      <c r="H64" s="77" t="str">
        <f t="array" ref="H64:M64">'Test 4-Stats'!C62:H62</f>
        <v>Business Unit 2</v>
      </c>
      <c r="I64" s="77" t="s">
        <v>125</v>
      </c>
      <c r="J64" s="77" t="s">
        <v>126</v>
      </c>
      <c r="K64" s="77" t="s">
        <v>196</v>
      </c>
      <c r="L64" s="77" t="s">
        <v>140</v>
      </c>
      <c r="M64" s="77" t="s">
        <v>141</v>
      </c>
      <c r="N64" s="78">
        <f t="array" ref="N64:P64">'Test 4-Stats'!AL62:AN62</f>
        <v>43917</v>
      </c>
      <c r="O64" s="78">
        <v>45743.0</v>
      </c>
      <c r="P64" s="77">
        <v>60.0</v>
      </c>
      <c r="Q64" s="77" t="str">
        <f>'Test 4-Stats'!CX62</f>
        <v>Active</v>
      </c>
      <c r="R64" s="79"/>
      <c r="S64" s="79"/>
      <c r="T64" s="79"/>
      <c r="U64" s="79"/>
      <c r="V64" s="79"/>
      <c r="W64" s="79"/>
      <c r="X64" s="79"/>
      <c r="Y64" s="79"/>
      <c r="Z64" s="79"/>
    </row>
    <row r="65" ht="14.25" customHeight="1">
      <c r="A65" s="76" t="str">
        <f>'Test 4-Stats'!S63</f>
        <v>Reg 64</v>
      </c>
      <c r="B65" s="77">
        <f>'Test 4-Stats'!Y63</f>
        <v>2024</v>
      </c>
      <c r="C65" s="77" t="str">
        <f>'Test 4-Stats'!W63</f>
        <v>FORD</v>
      </c>
      <c r="D65" s="77" t="str">
        <f>'Test 4-Stats'!V63</f>
        <v>ONE TON LDV DOUBLE CAB</v>
      </c>
      <c r="E65" s="77" t="str">
        <f>'Test 4-Stats'!X63</f>
        <v>RANGER 2.0 SiT D CAB BASE 4X2</v>
      </c>
      <c r="F65" s="77" t="str">
        <f t="array" ref="F65:G65">'Test 4-Stats'!Z63:AA63</f>
        <v>DIESEL</v>
      </c>
      <c r="G65" s="77">
        <v>1998.0</v>
      </c>
      <c r="H65" s="77" t="str">
        <f t="array" ref="H65:M65">'Test 4-Stats'!C63:H63</f>
        <v>Business Unit 3</v>
      </c>
      <c r="I65" s="77" t="s">
        <v>137</v>
      </c>
      <c r="J65" s="77" t="s">
        <v>138</v>
      </c>
      <c r="K65" s="77" t="s">
        <v>196</v>
      </c>
      <c r="L65" s="77" t="s">
        <v>140</v>
      </c>
      <c r="M65" s="77" t="s">
        <v>114</v>
      </c>
      <c r="N65" s="78">
        <f t="array" ref="N65:P65">'Test 4-Stats'!AL63:AN63</f>
        <v>43918</v>
      </c>
      <c r="O65" s="78">
        <v>45744.0</v>
      </c>
      <c r="P65" s="77">
        <v>60.0</v>
      </c>
      <c r="Q65" s="77" t="str">
        <f>'Test 4-Stats'!CX63</f>
        <v>Active</v>
      </c>
      <c r="R65" s="79"/>
      <c r="S65" s="79"/>
      <c r="T65" s="79"/>
      <c r="U65" s="79"/>
      <c r="V65" s="79"/>
      <c r="W65" s="79"/>
      <c r="X65" s="79"/>
      <c r="Y65" s="79"/>
      <c r="Z65" s="79"/>
    </row>
    <row r="66" ht="14.25" customHeight="1">
      <c r="A66" s="76" t="str">
        <f>'Test 4-Stats'!S64</f>
        <v>Reg 65</v>
      </c>
      <c r="B66" s="77">
        <f>'Test 4-Stats'!Y64</f>
        <v>2024</v>
      </c>
      <c r="C66" s="77" t="str">
        <f>'Test 4-Stats'!W64</f>
        <v>FORD</v>
      </c>
      <c r="D66" s="77" t="str">
        <f>'Test 4-Stats'!V64</f>
        <v>ONE TON LDV DOUBLE CAB</v>
      </c>
      <c r="E66" s="77" t="str">
        <f>'Test 4-Stats'!X64</f>
        <v>RANGER 2.0 SiT D CAB BASE 4X2</v>
      </c>
      <c r="F66" s="77" t="str">
        <f t="array" ref="F66:G66">'Test 4-Stats'!Z64:AA64</f>
        <v>DIESEL</v>
      </c>
      <c r="G66" s="77">
        <v>1998.0</v>
      </c>
      <c r="H66" s="77" t="str">
        <f t="array" ref="H66:M66">'Test 4-Stats'!C64:H64</f>
        <v>Business Unit 1</v>
      </c>
      <c r="I66" s="77" t="s">
        <v>110</v>
      </c>
      <c r="J66" s="77" t="s">
        <v>111</v>
      </c>
      <c r="K66" s="77" t="s">
        <v>196</v>
      </c>
      <c r="L66" s="77" t="s">
        <v>140</v>
      </c>
      <c r="M66" s="77" t="s">
        <v>129</v>
      </c>
      <c r="N66" s="78">
        <f t="array" ref="N66:P66">'Test 4-Stats'!AL64:AN64</f>
        <v>43919</v>
      </c>
      <c r="O66" s="78">
        <v>45745.0</v>
      </c>
      <c r="P66" s="77">
        <v>60.0</v>
      </c>
      <c r="Q66" s="77" t="str">
        <f>'Test 4-Stats'!CX64</f>
        <v>Active</v>
      </c>
      <c r="R66" s="79"/>
      <c r="S66" s="79"/>
      <c r="T66" s="79"/>
      <c r="U66" s="79"/>
      <c r="V66" s="79"/>
      <c r="W66" s="79"/>
      <c r="X66" s="79"/>
      <c r="Y66" s="79"/>
      <c r="Z66" s="79"/>
    </row>
    <row r="67" ht="14.25" customHeight="1">
      <c r="A67" s="76" t="str">
        <f>'Test 4-Stats'!S65</f>
        <v>Reg 66</v>
      </c>
      <c r="B67" s="77">
        <f>'Test 4-Stats'!Y65</f>
        <v>2024</v>
      </c>
      <c r="C67" s="77" t="str">
        <f>'Test 4-Stats'!W65</f>
        <v>FORD</v>
      </c>
      <c r="D67" s="77" t="str">
        <f>'Test 4-Stats'!V65</f>
        <v>ONE TON LDV DOUBLE CAB</v>
      </c>
      <c r="E67" s="77" t="str">
        <f>'Test 4-Stats'!X65</f>
        <v>RANGER 2.0 SiT D CAB BASE 4X2</v>
      </c>
      <c r="F67" s="77" t="str">
        <f t="array" ref="F67:G67">'Test 4-Stats'!Z65:AA65</f>
        <v>DIESEL</v>
      </c>
      <c r="G67" s="77">
        <v>1998.0</v>
      </c>
      <c r="H67" s="77" t="str">
        <f t="array" ref="H67:M67">'Test 4-Stats'!C65:H65</f>
        <v>Business Unit 2</v>
      </c>
      <c r="I67" s="77" t="s">
        <v>125</v>
      </c>
      <c r="J67" s="77" t="s">
        <v>126</v>
      </c>
      <c r="K67" s="77" t="s">
        <v>196</v>
      </c>
      <c r="L67" s="77" t="s">
        <v>140</v>
      </c>
      <c r="M67" s="77" t="s">
        <v>141</v>
      </c>
      <c r="N67" s="78">
        <f t="array" ref="N67:P67">'Test 4-Stats'!AL65:AN65</f>
        <v>43920</v>
      </c>
      <c r="O67" s="78">
        <v>45746.0</v>
      </c>
      <c r="P67" s="77">
        <v>60.0</v>
      </c>
      <c r="Q67" s="77" t="str">
        <f>'Test 4-Stats'!CX65</f>
        <v>Active</v>
      </c>
      <c r="R67" s="79"/>
      <c r="S67" s="79"/>
      <c r="T67" s="79"/>
      <c r="U67" s="79"/>
      <c r="V67" s="79"/>
      <c r="W67" s="79"/>
      <c r="X67" s="79"/>
      <c r="Y67" s="79"/>
      <c r="Z67" s="79"/>
    </row>
    <row r="68" ht="14.25" customHeight="1">
      <c r="A68" s="76" t="str">
        <f>'Test 4-Stats'!S66</f>
        <v>Reg 67</v>
      </c>
      <c r="B68" s="77">
        <f>'Test 4-Stats'!Y66</f>
        <v>2024</v>
      </c>
      <c r="C68" s="77" t="str">
        <f>'Test 4-Stats'!W66</f>
        <v>FORD</v>
      </c>
      <c r="D68" s="77" t="str">
        <f>'Test 4-Stats'!V66</f>
        <v>ONE TON LDV DOUBLE CAB</v>
      </c>
      <c r="E68" s="77" t="str">
        <f>'Test 4-Stats'!X66</f>
        <v>RANGER 2.0 SiT D CAB BASE 4X2</v>
      </c>
      <c r="F68" s="77" t="str">
        <f t="array" ref="F68:G68">'Test 4-Stats'!Z66:AA66</f>
        <v>DIESEL</v>
      </c>
      <c r="G68" s="77">
        <v>1998.0</v>
      </c>
      <c r="H68" s="77" t="str">
        <f t="array" ref="H68:M68">'Test 4-Stats'!C66:H66</f>
        <v>Business Unit 3</v>
      </c>
      <c r="I68" s="77" t="s">
        <v>137</v>
      </c>
      <c r="J68" s="77" t="s">
        <v>138</v>
      </c>
      <c r="K68" s="77" t="s">
        <v>196</v>
      </c>
      <c r="L68" s="77" t="s">
        <v>140</v>
      </c>
      <c r="M68" s="77" t="s">
        <v>114</v>
      </c>
      <c r="N68" s="78">
        <f t="array" ref="N68:P68">'Test 4-Stats'!AL66:AN66</f>
        <v>43921</v>
      </c>
      <c r="O68" s="78">
        <v>45747.0</v>
      </c>
      <c r="P68" s="77">
        <v>60.0</v>
      </c>
      <c r="Q68" s="77" t="str">
        <f>'Test 4-Stats'!CX66</f>
        <v>Active</v>
      </c>
      <c r="R68" s="79"/>
      <c r="S68" s="79"/>
      <c r="T68" s="79"/>
      <c r="U68" s="79"/>
      <c r="V68" s="79"/>
      <c r="W68" s="79"/>
      <c r="X68" s="79"/>
      <c r="Y68" s="79"/>
      <c r="Z68" s="79"/>
    </row>
    <row r="69" ht="14.25" customHeight="1">
      <c r="A69" s="76" t="str">
        <f>'Test 4-Stats'!S67</f>
        <v>Reg 68</v>
      </c>
      <c r="B69" s="77">
        <f>'Test 4-Stats'!Y67</f>
        <v>2024</v>
      </c>
      <c r="C69" s="77" t="str">
        <f>'Test 4-Stats'!W67</f>
        <v>SUZUKI</v>
      </c>
      <c r="D69" s="77" t="str">
        <f>'Test 4-Stats'!V67</f>
        <v>SEDAN</v>
      </c>
      <c r="E69" s="77" t="str">
        <f>'Test 4-Stats'!X67</f>
        <v>DZIRE 1.2I GA</v>
      </c>
      <c r="F69" s="77" t="str">
        <f t="array" ref="F69:G69">'Test 4-Stats'!Z67:AA67</f>
        <v>PETROL</v>
      </c>
      <c r="G69" s="77">
        <v>1198.0</v>
      </c>
      <c r="H69" s="77" t="str">
        <f t="array" ref="H69:M69">'Test 4-Stats'!C67:H67</f>
        <v>Business Unit 1</v>
      </c>
      <c r="I69" s="77" t="s">
        <v>110</v>
      </c>
      <c r="J69" s="77" t="s">
        <v>111</v>
      </c>
      <c r="K69" s="77" t="s">
        <v>176</v>
      </c>
      <c r="L69" s="77" t="s">
        <v>140</v>
      </c>
      <c r="M69" s="77" t="s">
        <v>129</v>
      </c>
      <c r="N69" s="78">
        <f t="array" ref="N69:P69">'Test 4-Stats'!AL67:AN67</f>
        <v>43936</v>
      </c>
      <c r="O69" s="78">
        <v>45762.0</v>
      </c>
      <c r="P69" s="77">
        <v>60.0</v>
      </c>
      <c r="Q69" s="77" t="str">
        <f>'Test 4-Stats'!CX67</f>
        <v>Active</v>
      </c>
      <c r="R69" s="79"/>
      <c r="S69" s="79"/>
      <c r="T69" s="79"/>
      <c r="U69" s="79"/>
      <c r="V69" s="79"/>
      <c r="W69" s="79"/>
      <c r="X69" s="79"/>
      <c r="Y69" s="79"/>
      <c r="Z69" s="79"/>
    </row>
    <row r="70" ht="14.25" customHeight="1">
      <c r="A70" s="76" t="str">
        <f>'Test 4-Stats'!S68</f>
        <v>Reg 69</v>
      </c>
      <c r="B70" s="77">
        <f>'Test 4-Stats'!Y68</f>
        <v>2024</v>
      </c>
      <c r="C70" s="77" t="str">
        <f>'Test 4-Stats'!W68</f>
        <v>SUZUKI</v>
      </c>
      <c r="D70" s="77" t="str">
        <f>'Test 4-Stats'!V68</f>
        <v>SEDAN</v>
      </c>
      <c r="E70" s="77" t="str">
        <f>'Test 4-Stats'!X68</f>
        <v>DZIRE 1.2I GA</v>
      </c>
      <c r="F70" s="77" t="str">
        <f t="array" ref="F70:G70">'Test 4-Stats'!Z68:AA68</f>
        <v>PETROL</v>
      </c>
      <c r="G70" s="77">
        <v>1198.0</v>
      </c>
      <c r="H70" s="77" t="str">
        <f t="array" ref="H70:M70">'Test 4-Stats'!C68:H68</f>
        <v>Business Unit 2</v>
      </c>
      <c r="I70" s="77" t="s">
        <v>125</v>
      </c>
      <c r="J70" s="77" t="s">
        <v>126</v>
      </c>
      <c r="K70" s="77" t="s">
        <v>176</v>
      </c>
      <c r="L70" s="77" t="s">
        <v>140</v>
      </c>
      <c r="M70" s="77" t="s">
        <v>141</v>
      </c>
      <c r="N70" s="78">
        <f t="array" ref="N70:P70">'Test 4-Stats'!AL68:AN68</f>
        <v>43937</v>
      </c>
      <c r="O70" s="78">
        <v>45763.0</v>
      </c>
      <c r="P70" s="77">
        <v>60.0</v>
      </c>
      <c r="Q70" s="77" t="str">
        <f>'Test 4-Stats'!CX68</f>
        <v>Active</v>
      </c>
      <c r="R70" s="79"/>
      <c r="S70" s="79"/>
      <c r="T70" s="79"/>
      <c r="U70" s="79"/>
      <c r="V70" s="79"/>
      <c r="W70" s="79"/>
      <c r="X70" s="79"/>
      <c r="Y70" s="79"/>
      <c r="Z70" s="79"/>
    </row>
    <row r="71" ht="14.25" customHeight="1">
      <c r="A71" s="76" t="str">
        <f>'Test 4-Stats'!S69</f>
        <v>Reg 70</v>
      </c>
      <c r="B71" s="77">
        <f>'Test 4-Stats'!Y69</f>
        <v>2024</v>
      </c>
      <c r="C71" s="77" t="str">
        <f>'Test 4-Stats'!W69</f>
        <v>SUZUKI</v>
      </c>
      <c r="D71" s="77" t="str">
        <f>'Test 4-Stats'!V69</f>
        <v>SEDAN</v>
      </c>
      <c r="E71" s="77" t="str">
        <f>'Test 4-Stats'!X69</f>
        <v>DZIRE 1.2I GA</v>
      </c>
      <c r="F71" s="77" t="str">
        <f t="array" ref="F71:G71">'Test 4-Stats'!Z69:AA69</f>
        <v>PETROL</v>
      </c>
      <c r="G71" s="77">
        <v>1198.0</v>
      </c>
      <c r="H71" s="77" t="str">
        <f t="array" ref="H71:M71">'Test 4-Stats'!C69:H69</f>
        <v>Business Unit 3</v>
      </c>
      <c r="I71" s="77" t="s">
        <v>137</v>
      </c>
      <c r="J71" s="77" t="s">
        <v>138</v>
      </c>
      <c r="K71" s="77" t="s">
        <v>172</v>
      </c>
      <c r="L71" s="77" t="s">
        <v>140</v>
      </c>
      <c r="M71" s="77" t="s">
        <v>114</v>
      </c>
      <c r="N71" s="78">
        <f t="array" ref="N71:P71">'Test 4-Stats'!AL69:AN69</f>
        <v>43938</v>
      </c>
      <c r="O71" s="78">
        <v>45764.0</v>
      </c>
      <c r="P71" s="77">
        <v>60.0</v>
      </c>
      <c r="Q71" s="77" t="str">
        <f>'Test 4-Stats'!CX69</f>
        <v>Active</v>
      </c>
      <c r="R71" s="79"/>
      <c r="S71" s="79"/>
      <c r="T71" s="79"/>
      <c r="U71" s="79"/>
      <c r="V71" s="79"/>
      <c r="W71" s="79"/>
      <c r="X71" s="79"/>
      <c r="Y71" s="79"/>
      <c r="Z71" s="79"/>
    </row>
    <row r="72" ht="14.25" customHeight="1">
      <c r="A72" s="76" t="str">
        <f>'Test 4-Stats'!S70</f>
        <v>Reg 71</v>
      </c>
      <c r="B72" s="77">
        <f>'Test 4-Stats'!Y70</f>
        <v>2024</v>
      </c>
      <c r="C72" s="77" t="str">
        <f>'Test 4-Stats'!W70</f>
        <v>FORD</v>
      </c>
      <c r="D72" s="77" t="str">
        <f>'Test 4-Stats'!V70</f>
        <v>MINIBUS</v>
      </c>
      <c r="E72" s="77" t="str">
        <f>'Test 4-Stats'!X70</f>
        <v>TOURNEO CUSTOM 2.2 TDCI AMBIENTE LWB</v>
      </c>
      <c r="F72" s="77" t="str">
        <f t="array" ref="F72:G72">'Test 4-Stats'!Z70:AA70</f>
        <v>DIESEL</v>
      </c>
      <c r="G72" s="77">
        <v>2198.0</v>
      </c>
      <c r="H72" s="77" t="str">
        <f t="array" ref="H72:M72">'Test 4-Stats'!C70:H70</f>
        <v>Business Unit 1</v>
      </c>
      <c r="I72" s="77" t="s">
        <v>110</v>
      </c>
      <c r="J72" s="77" t="s">
        <v>111</v>
      </c>
      <c r="K72" s="77" t="s">
        <v>172</v>
      </c>
      <c r="L72" s="77" t="s">
        <v>140</v>
      </c>
      <c r="M72" s="77" t="s">
        <v>129</v>
      </c>
      <c r="N72" s="78">
        <f t="array" ref="N72:P72">'Test 4-Stats'!AL70:AN70</f>
        <v>43939</v>
      </c>
      <c r="O72" s="78">
        <v>45765.0</v>
      </c>
      <c r="P72" s="77">
        <v>60.0</v>
      </c>
      <c r="Q72" s="77" t="str">
        <f>'Test 4-Stats'!CX70</f>
        <v>Active</v>
      </c>
      <c r="R72" s="79"/>
      <c r="S72" s="79"/>
      <c r="T72" s="79"/>
      <c r="U72" s="79"/>
      <c r="V72" s="79"/>
      <c r="W72" s="79"/>
      <c r="X72" s="79"/>
      <c r="Y72" s="79"/>
      <c r="Z72" s="79"/>
    </row>
    <row r="73" ht="14.25" customHeight="1">
      <c r="A73" s="76" t="str">
        <f>'Test 4-Stats'!S71</f>
        <v>Reg 72</v>
      </c>
      <c r="B73" s="77">
        <f>'Test 4-Stats'!Y71</f>
        <v>2024</v>
      </c>
      <c r="C73" s="77" t="str">
        <f>'Test 4-Stats'!W71</f>
        <v>FORD</v>
      </c>
      <c r="D73" s="77" t="str">
        <f>'Test 4-Stats'!V71</f>
        <v>ONE TON LDV DOUBLE CAB</v>
      </c>
      <c r="E73" s="77" t="str">
        <f>'Test 4-Stats'!X71</f>
        <v>RANGER 2.0 SiT D CAB BASE 4X2</v>
      </c>
      <c r="F73" s="77" t="str">
        <f t="array" ref="F73:G73">'Test 4-Stats'!Z71:AA71</f>
        <v>DIESEL</v>
      </c>
      <c r="G73" s="77">
        <v>1998.0</v>
      </c>
      <c r="H73" s="77" t="str">
        <f t="array" ref="H73:M73">'Test 4-Stats'!C71:H71</f>
        <v>Business Unit 2</v>
      </c>
      <c r="I73" s="77" t="s">
        <v>125</v>
      </c>
      <c r="J73" s="77" t="s">
        <v>126</v>
      </c>
      <c r="K73" s="77" t="s">
        <v>176</v>
      </c>
      <c r="L73" s="77" t="s">
        <v>140</v>
      </c>
      <c r="M73" s="77" t="s">
        <v>141</v>
      </c>
      <c r="N73" s="78">
        <f t="array" ref="N73:P73">'Test 4-Stats'!AL71:AN71</f>
        <v>43970</v>
      </c>
      <c r="O73" s="78">
        <v>45796.0</v>
      </c>
      <c r="P73" s="77">
        <v>60.0</v>
      </c>
      <c r="Q73" s="77" t="str">
        <f>'Test 4-Stats'!CX71</f>
        <v>Active</v>
      </c>
      <c r="R73" s="79"/>
      <c r="S73" s="79"/>
      <c r="T73" s="79"/>
      <c r="U73" s="79"/>
      <c r="V73" s="79"/>
      <c r="W73" s="79"/>
      <c r="X73" s="79"/>
      <c r="Y73" s="79"/>
      <c r="Z73" s="79"/>
    </row>
    <row r="74" ht="14.25" customHeight="1">
      <c r="A74" s="76" t="str">
        <f>'Test 4-Stats'!S72</f>
        <v>Reg 73</v>
      </c>
      <c r="B74" s="77">
        <f>'Test 4-Stats'!Y72</f>
        <v>2024</v>
      </c>
      <c r="C74" s="77" t="str">
        <f>'Test 4-Stats'!W72</f>
        <v>GWM</v>
      </c>
      <c r="D74" s="77" t="str">
        <f>'Test 4-Stats'!V72</f>
        <v>ONE TON LDV SINGLE CAB</v>
      </c>
      <c r="E74" s="77" t="str">
        <f>'Test 4-Stats'!X72</f>
        <v>P SERIES 2.0 TD SX S CAB 4X2</v>
      </c>
      <c r="F74" s="77" t="str">
        <f t="array" ref="F74:G74">'Test 4-Stats'!Z72:AA72</f>
        <v>DIESEL</v>
      </c>
      <c r="G74" s="77">
        <v>1998.0</v>
      </c>
      <c r="H74" s="77" t="str">
        <f t="array" ref="H74:M74">'Test 4-Stats'!C72:H72</f>
        <v>Business Unit 3</v>
      </c>
      <c r="I74" s="77" t="s">
        <v>137</v>
      </c>
      <c r="J74" s="77" t="s">
        <v>138</v>
      </c>
      <c r="K74" s="77" t="s">
        <v>176</v>
      </c>
      <c r="L74" s="77" t="s">
        <v>140</v>
      </c>
      <c r="M74" s="77" t="s">
        <v>114</v>
      </c>
      <c r="N74" s="78">
        <f t="array" ref="N74:P74">'Test 4-Stats'!AL72:AN72</f>
        <v>44063</v>
      </c>
      <c r="O74" s="78">
        <v>45889.0</v>
      </c>
      <c r="P74" s="77">
        <v>60.0</v>
      </c>
      <c r="Q74" s="77" t="str">
        <f>'Test 4-Stats'!CX72</f>
        <v>Active</v>
      </c>
      <c r="R74" s="79"/>
      <c r="S74" s="79"/>
      <c r="T74" s="79"/>
      <c r="U74" s="79"/>
      <c r="V74" s="79"/>
      <c r="W74" s="79"/>
      <c r="X74" s="79"/>
      <c r="Y74" s="79"/>
      <c r="Z74" s="79"/>
    </row>
    <row r="75" ht="14.25" customHeight="1">
      <c r="A75" s="76" t="str">
        <f>'Test 4-Stats'!S73</f>
        <v>Reg 74</v>
      </c>
      <c r="B75" s="77">
        <f>'Test 4-Stats'!Y73</f>
        <v>2024</v>
      </c>
      <c r="C75" s="77" t="str">
        <f>'Test 4-Stats'!W73</f>
        <v>FORD</v>
      </c>
      <c r="D75" s="77" t="str">
        <f>'Test 4-Stats'!V73</f>
        <v>ONE TON LDV DOUBLE CAB</v>
      </c>
      <c r="E75" s="77" t="str">
        <f>'Test 4-Stats'!X73</f>
        <v>RANGER 2.0 SiT D CAB BASE 4X2</v>
      </c>
      <c r="F75" s="77" t="str">
        <f t="array" ref="F75:G75">'Test 4-Stats'!Z73:AA73</f>
        <v>DIESEL</v>
      </c>
      <c r="G75" s="77">
        <v>1998.0</v>
      </c>
      <c r="H75" s="77" t="str">
        <f t="array" ref="H75:M75">'Test 4-Stats'!C73:H73</f>
        <v>Business Unit 1</v>
      </c>
      <c r="I75" s="77" t="s">
        <v>110</v>
      </c>
      <c r="J75" s="77" t="s">
        <v>111</v>
      </c>
      <c r="K75" s="77" t="s">
        <v>329</v>
      </c>
      <c r="L75" s="77" t="s">
        <v>140</v>
      </c>
      <c r="M75" s="77" t="s">
        <v>129</v>
      </c>
      <c r="N75" s="78">
        <f t="array" ref="N75:P75">'Test 4-Stats'!AL73:AN73</f>
        <v>43942</v>
      </c>
      <c r="O75" s="78">
        <v>45768.0</v>
      </c>
      <c r="P75" s="77">
        <v>60.0</v>
      </c>
      <c r="Q75" s="77" t="str">
        <f>'Test 4-Stats'!CX73</f>
        <v>Active</v>
      </c>
      <c r="R75" s="79"/>
      <c r="S75" s="79"/>
      <c r="T75" s="79"/>
      <c r="U75" s="79"/>
      <c r="V75" s="79"/>
      <c r="W75" s="79"/>
      <c r="X75" s="79"/>
      <c r="Y75" s="79"/>
      <c r="Z75" s="79"/>
    </row>
    <row r="76" ht="14.25" customHeight="1">
      <c r="A76" s="76" t="str">
        <f>'Test 4-Stats'!S74</f>
        <v>Reg 75</v>
      </c>
      <c r="B76" s="77">
        <f>'Test 4-Stats'!Y74</f>
        <v>2024</v>
      </c>
      <c r="C76" s="77" t="str">
        <f>'Test 4-Stats'!W74</f>
        <v>NISSAN</v>
      </c>
      <c r="D76" s="77" t="str">
        <f>'Test 4-Stats'!V74</f>
        <v>ONE TON LDV DOUBLE CAB</v>
      </c>
      <c r="E76" s="77" t="str">
        <f>'Test 4-Stats'!X74</f>
        <v>NAVARA 2.5D SE 4X2 D CAB</v>
      </c>
      <c r="F76" s="77" t="str">
        <f t="array" ref="F76:G76">'Test 4-Stats'!Z74:AA74</f>
        <v>DIESEL</v>
      </c>
      <c r="G76" s="77">
        <v>2498.0</v>
      </c>
      <c r="H76" s="77" t="str">
        <f t="array" ref="H76:M76">'Test 4-Stats'!C74:H74</f>
        <v>Business Unit 2</v>
      </c>
      <c r="I76" s="77" t="s">
        <v>125</v>
      </c>
      <c r="J76" s="77" t="s">
        <v>126</v>
      </c>
      <c r="K76" s="77" t="s">
        <v>332</v>
      </c>
      <c r="L76" s="77" t="s">
        <v>140</v>
      </c>
      <c r="M76" s="77" t="s">
        <v>141</v>
      </c>
      <c r="N76" s="78">
        <f t="array" ref="N76:P76">'Test 4-Stats'!AL74:AN74</f>
        <v>43929</v>
      </c>
      <c r="O76" s="78">
        <v>45755.0</v>
      </c>
      <c r="P76" s="77">
        <v>60.0</v>
      </c>
      <c r="Q76" s="77" t="str">
        <f>'Test 4-Stats'!CX74</f>
        <v>Active</v>
      </c>
      <c r="R76" s="79"/>
      <c r="S76" s="79"/>
      <c r="T76" s="79"/>
      <c r="U76" s="79"/>
      <c r="V76" s="79"/>
      <c r="W76" s="79"/>
      <c r="X76" s="79"/>
      <c r="Y76" s="79"/>
      <c r="Z76" s="79"/>
    </row>
    <row r="77" ht="14.25" customHeight="1">
      <c r="A77" s="76" t="str">
        <f>'Test 4-Stats'!S75</f>
        <v>Reg 76</v>
      </c>
      <c r="B77" s="77">
        <f>'Test 4-Stats'!Y75</f>
        <v>2024</v>
      </c>
      <c r="C77" s="77" t="str">
        <f>'Test 4-Stats'!W75</f>
        <v>ISUZU</v>
      </c>
      <c r="D77" s="77" t="str">
        <f>'Test 4-Stats'!V75</f>
        <v>ONE TON LDV DOUBLE CAB</v>
      </c>
      <c r="E77" s="77" t="str">
        <f>'Test 4-Stats'!X75</f>
        <v>D-MAX 250 HO HI-RIDER D/CAB</v>
      </c>
      <c r="F77" s="77" t="str">
        <f t="array" ref="F77:G77">'Test 4-Stats'!Z75:AA75</f>
        <v>DIESEL</v>
      </c>
      <c r="G77" s="77">
        <v>2498.0</v>
      </c>
      <c r="H77" s="77" t="str">
        <f t="array" ref="H77:M77">'Test 4-Stats'!C75:H75</f>
        <v>Business Unit 3</v>
      </c>
      <c r="I77" s="77" t="s">
        <v>137</v>
      </c>
      <c r="J77" s="77" t="s">
        <v>138</v>
      </c>
      <c r="K77" s="77" t="s">
        <v>179</v>
      </c>
      <c r="L77" s="77" t="s">
        <v>140</v>
      </c>
      <c r="M77" s="77" t="s">
        <v>114</v>
      </c>
      <c r="N77" s="78">
        <f t="array" ref="N77:P77">'Test 4-Stats'!AL75:AN75</f>
        <v>43930</v>
      </c>
      <c r="O77" s="78">
        <v>45756.0</v>
      </c>
      <c r="P77" s="77">
        <v>60.0</v>
      </c>
      <c r="Q77" s="77" t="str">
        <f>'Test 4-Stats'!CX75</f>
        <v>Active</v>
      </c>
      <c r="R77" s="79"/>
      <c r="S77" s="79"/>
      <c r="T77" s="79"/>
      <c r="U77" s="79"/>
      <c r="V77" s="79"/>
      <c r="W77" s="79"/>
      <c r="X77" s="79"/>
      <c r="Y77" s="79"/>
      <c r="Z77" s="79"/>
    </row>
    <row r="78" ht="14.25" customHeight="1">
      <c r="A78" s="76" t="str">
        <f>'Test 4-Stats'!S76</f>
        <v>Reg 77</v>
      </c>
      <c r="B78" s="77">
        <f>'Test 4-Stats'!Y76</f>
        <v>2024</v>
      </c>
      <c r="C78" s="77" t="str">
        <f>'Test 4-Stats'!W76</f>
        <v>NISSAN</v>
      </c>
      <c r="D78" s="77" t="str">
        <f>'Test 4-Stats'!V76</f>
        <v>ONE TON LDV DOUBLE CAB</v>
      </c>
      <c r="E78" s="77" t="str">
        <f>'Test 4-Stats'!X76</f>
        <v>NAVARA 2.5D SE 4X2 D CAB</v>
      </c>
      <c r="F78" s="77" t="str">
        <f t="array" ref="F78:G78">'Test 4-Stats'!Z76:AA76</f>
        <v>DIESEL</v>
      </c>
      <c r="G78" s="77">
        <v>2498.0</v>
      </c>
      <c r="H78" s="77" t="str">
        <f t="array" ref="H78:M78">'Test 4-Stats'!C76:H76</f>
        <v>Business Unit 1</v>
      </c>
      <c r="I78" s="77" t="s">
        <v>110</v>
      </c>
      <c r="J78" s="77" t="s">
        <v>111</v>
      </c>
      <c r="K78" s="77" t="s">
        <v>332</v>
      </c>
      <c r="L78" s="77" t="s">
        <v>140</v>
      </c>
      <c r="M78" s="77" t="s">
        <v>129</v>
      </c>
      <c r="N78" s="78">
        <f t="array" ref="N78:P78">'Test 4-Stats'!AL76:AN76</f>
        <v>43931</v>
      </c>
      <c r="O78" s="78">
        <v>45757.0</v>
      </c>
      <c r="P78" s="77">
        <v>60.0</v>
      </c>
      <c r="Q78" s="77" t="str">
        <f>'Test 4-Stats'!CX76</f>
        <v>Active</v>
      </c>
      <c r="R78" s="79"/>
      <c r="S78" s="79"/>
      <c r="T78" s="79"/>
      <c r="U78" s="79"/>
      <c r="V78" s="79"/>
      <c r="W78" s="79"/>
      <c r="X78" s="79"/>
      <c r="Y78" s="79"/>
      <c r="Z78" s="79"/>
    </row>
    <row r="79" ht="14.25" customHeight="1">
      <c r="A79" s="76" t="str">
        <f>'Test 4-Stats'!S77</f>
        <v>Reg 78</v>
      </c>
      <c r="B79" s="77">
        <f>'Test 4-Stats'!Y77</f>
        <v>2024</v>
      </c>
      <c r="C79" s="77" t="str">
        <f>'Test 4-Stats'!W77</f>
        <v>NISSAN</v>
      </c>
      <c r="D79" s="77" t="str">
        <f>'Test 4-Stats'!V77</f>
        <v>ONE TON LDV DOUBLE CAB</v>
      </c>
      <c r="E79" s="77" t="str">
        <f>'Test 4-Stats'!X77</f>
        <v>NAVARA 2.5D SE 4X2 D CAB</v>
      </c>
      <c r="F79" s="77" t="str">
        <f t="array" ref="F79:G79">'Test 4-Stats'!Z77:AA77</f>
        <v>DIESEL</v>
      </c>
      <c r="G79" s="77">
        <v>2498.0</v>
      </c>
      <c r="H79" s="77" t="str">
        <f t="array" ref="H79:M79">'Test 4-Stats'!C77:H77</f>
        <v>Business Unit 2</v>
      </c>
      <c r="I79" s="77" t="s">
        <v>125</v>
      </c>
      <c r="J79" s="77" t="s">
        <v>126</v>
      </c>
      <c r="K79" s="77" t="s">
        <v>332</v>
      </c>
      <c r="L79" s="77" t="s">
        <v>140</v>
      </c>
      <c r="M79" s="77" t="s">
        <v>141</v>
      </c>
      <c r="N79" s="78">
        <f t="array" ref="N79:P79">'Test 4-Stats'!AL77:AN77</f>
        <v>44085</v>
      </c>
      <c r="O79" s="78">
        <v>45911.0</v>
      </c>
      <c r="P79" s="77">
        <v>60.0</v>
      </c>
      <c r="Q79" s="77" t="str">
        <f>'Test 4-Stats'!CX77</f>
        <v>Active</v>
      </c>
      <c r="R79" s="79"/>
      <c r="S79" s="79"/>
      <c r="T79" s="79"/>
      <c r="U79" s="79"/>
      <c r="V79" s="79"/>
      <c r="W79" s="79"/>
      <c r="X79" s="79"/>
      <c r="Y79" s="79"/>
      <c r="Z79" s="79"/>
    </row>
    <row r="80" ht="14.25" customHeight="1">
      <c r="A80" s="76" t="str">
        <f>'Test 4-Stats'!S78</f>
        <v>Reg 79</v>
      </c>
      <c r="B80" s="77">
        <f>'Test 4-Stats'!Y78</f>
        <v>2024</v>
      </c>
      <c r="C80" s="77" t="str">
        <f>'Test 4-Stats'!W78</f>
        <v>NISSAN</v>
      </c>
      <c r="D80" s="77" t="str">
        <f>'Test 4-Stats'!V78</f>
        <v>ONE TON LDV DOUBLE CAB</v>
      </c>
      <c r="E80" s="77" t="str">
        <f>'Test 4-Stats'!X78</f>
        <v>NAVARA 2.5D SE 4X2 D CAB</v>
      </c>
      <c r="F80" s="77" t="str">
        <f t="array" ref="F80:G80">'Test 4-Stats'!Z78:AA78</f>
        <v>DIESEL</v>
      </c>
      <c r="G80" s="77">
        <v>2498.0</v>
      </c>
      <c r="H80" s="77" t="str">
        <f t="array" ref="H80:M80">'Test 4-Stats'!C78:H78</f>
        <v>Business Unit 1</v>
      </c>
      <c r="I80" s="77" t="s">
        <v>137</v>
      </c>
      <c r="J80" s="77" t="s">
        <v>138</v>
      </c>
      <c r="K80" s="77" t="s">
        <v>332</v>
      </c>
      <c r="L80" s="77" t="s">
        <v>140</v>
      </c>
      <c r="M80" s="77" t="s">
        <v>114</v>
      </c>
      <c r="N80" s="78">
        <f t="array" ref="N80:P80">'Test 4-Stats'!AL78:AN78</f>
        <v>43933</v>
      </c>
      <c r="O80" s="78">
        <v>45759.0</v>
      </c>
      <c r="P80" s="77">
        <v>60.0</v>
      </c>
      <c r="Q80" s="77" t="str">
        <f>'Test 4-Stats'!CX78</f>
        <v>Active</v>
      </c>
      <c r="R80" s="79"/>
      <c r="S80" s="79"/>
      <c r="T80" s="79"/>
      <c r="U80" s="79"/>
      <c r="V80" s="79"/>
      <c r="W80" s="79"/>
      <c r="X80" s="79"/>
      <c r="Y80" s="79"/>
      <c r="Z80" s="79"/>
    </row>
    <row r="81" ht="14.25" customHeight="1">
      <c r="A81" s="76" t="str">
        <f>'Test 4-Stats'!S79</f>
        <v>Reg 80</v>
      </c>
      <c r="B81" s="77">
        <f>'Test 4-Stats'!Y79</f>
        <v>2024</v>
      </c>
      <c r="C81" s="77" t="str">
        <f>'Test 4-Stats'!W79</f>
        <v>NISSAN</v>
      </c>
      <c r="D81" s="77" t="str">
        <f>'Test 4-Stats'!V79</f>
        <v>ONE TON LDV DOUBLE CAB</v>
      </c>
      <c r="E81" s="77" t="str">
        <f>'Test 4-Stats'!X79</f>
        <v>NAVARA 2.5D SE 4X2 D CAB</v>
      </c>
      <c r="F81" s="77" t="str">
        <f t="array" ref="F81:G81">'Test 4-Stats'!Z79:AA79</f>
        <v>DIESEL</v>
      </c>
      <c r="G81" s="77">
        <v>2498.0</v>
      </c>
      <c r="H81" s="77" t="str">
        <f t="array" ref="H81:M81">'Test 4-Stats'!C79:H79</f>
        <v>Business Unit 2</v>
      </c>
      <c r="I81" s="77" t="s">
        <v>110</v>
      </c>
      <c r="J81" s="77" t="s">
        <v>111</v>
      </c>
      <c r="K81" s="77" t="s">
        <v>332</v>
      </c>
      <c r="L81" s="77" t="s">
        <v>140</v>
      </c>
      <c r="M81" s="77" t="s">
        <v>129</v>
      </c>
      <c r="N81" s="78">
        <f t="array" ref="N81:P81">'Test 4-Stats'!AL79:AN79</f>
        <v>43934</v>
      </c>
      <c r="O81" s="78">
        <v>45760.0</v>
      </c>
      <c r="P81" s="77">
        <v>60.0</v>
      </c>
      <c r="Q81" s="77" t="str">
        <f>'Test 4-Stats'!CX79</f>
        <v>Active</v>
      </c>
      <c r="R81" s="79"/>
      <c r="S81" s="79"/>
      <c r="T81" s="79"/>
      <c r="U81" s="79"/>
      <c r="V81" s="79"/>
      <c r="W81" s="79"/>
      <c r="X81" s="79"/>
      <c r="Y81" s="79"/>
      <c r="Z81" s="79"/>
    </row>
    <row r="82" ht="14.25" customHeight="1">
      <c r="A82" s="76" t="str">
        <f>'Test 4-Stats'!S80</f>
        <v>Reg 81</v>
      </c>
      <c r="B82" s="77">
        <f>'Test 4-Stats'!Y80</f>
        <v>2024</v>
      </c>
      <c r="C82" s="77" t="str">
        <f>'Test 4-Stats'!W80</f>
        <v>NISSAN</v>
      </c>
      <c r="D82" s="77" t="str">
        <f>'Test 4-Stats'!V80</f>
        <v>ONE TON LDV DOUBLE CAB</v>
      </c>
      <c r="E82" s="77" t="str">
        <f>'Test 4-Stats'!X80</f>
        <v>NAVARA 2.5D SE 4X2 D CAB</v>
      </c>
      <c r="F82" s="77" t="str">
        <f t="array" ref="F82:G82">'Test 4-Stats'!Z80:AA80</f>
        <v>DIESEL</v>
      </c>
      <c r="G82" s="77">
        <v>2498.0</v>
      </c>
      <c r="H82" s="77" t="str">
        <f t="array" ref="H82:M82">'Test 4-Stats'!C80:H80</f>
        <v>Business Unit 3</v>
      </c>
      <c r="I82" s="77" t="s">
        <v>125</v>
      </c>
      <c r="J82" s="77" t="s">
        <v>126</v>
      </c>
      <c r="K82" s="77" t="s">
        <v>332</v>
      </c>
      <c r="L82" s="77" t="s">
        <v>140</v>
      </c>
      <c r="M82" s="77" t="s">
        <v>141</v>
      </c>
      <c r="N82" s="78">
        <f t="array" ref="N82:P82">'Test 4-Stats'!AL80:AN80</f>
        <v>43935</v>
      </c>
      <c r="O82" s="78">
        <v>45761.0</v>
      </c>
      <c r="P82" s="77">
        <v>60.0</v>
      </c>
      <c r="Q82" s="77" t="str">
        <f>'Test 4-Stats'!CX80</f>
        <v>Active</v>
      </c>
      <c r="R82" s="79"/>
      <c r="S82" s="79"/>
      <c r="T82" s="79"/>
      <c r="U82" s="79"/>
      <c r="V82" s="79"/>
      <c r="W82" s="79"/>
      <c r="X82" s="79"/>
      <c r="Y82" s="79"/>
      <c r="Z82" s="79"/>
    </row>
    <row r="83" ht="14.25" customHeight="1">
      <c r="A83" s="76" t="str">
        <f>'Test 4-Stats'!S81</f>
        <v>Reg 82</v>
      </c>
      <c r="B83" s="77">
        <f>'Test 4-Stats'!Y81</f>
        <v>2024</v>
      </c>
      <c r="C83" s="77" t="str">
        <f>'Test 4-Stats'!W81</f>
        <v>HYUNDAI</v>
      </c>
      <c r="D83" s="77" t="str">
        <f>'Test 4-Stats'!V81</f>
        <v>MINIBUS</v>
      </c>
      <c r="E83" s="77" t="str">
        <f>'Test 4-Stats'!X81</f>
        <v>STARIA 2.2D EXECUTIVE 11 SEATER AT</v>
      </c>
      <c r="F83" s="77" t="str">
        <f t="array" ref="F83:G83">'Test 4-Stats'!Z81:AA81</f>
        <v>DIESEL</v>
      </c>
      <c r="G83" s="77">
        <v>2198.0</v>
      </c>
      <c r="H83" s="77" t="str">
        <f t="array" ref="H83:M83">'Test 4-Stats'!C81:H81</f>
        <v>Business Unit 1</v>
      </c>
      <c r="I83" s="77" t="s">
        <v>137</v>
      </c>
      <c r="J83" s="77" t="s">
        <v>138</v>
      </c>
      <c r="K83" s="77" t="s">
        <v>176</v>
      </c>
      <c r="L83" s="77" t="s">
        <v>140</v>
      </c>
      <c r="M83" s="77" t="s">
        <v>114</v>
      </c>
      <c r="N83" s="78">
        <f t="array" ref="N83:P83">'Test 4-Stats'!AL81:AN81</f>
        <v>43997</v>
      </c>
      <c r="O83" s="78">
        <v>45823.0</v>
      </c>
      <c r="P83" s="77">
        <v>60.0</v>
      </c>
      <c r="Q83" s="77" t="str">
        <f>'Test 4-Stats'!CX81</f>
        <v>Active</v>
      </c>
      <c r="R83" s="79"/>
      <c r="S83" s="79"/>
      <c r="T83" s="79"/>
      <c r="U83" s="79"/>
      <c r="V83" s="79"/>
      <c r="W83" s="79"/>
      <c r="X83" s="79"/>
      <c r="Y83" s="79"/>
      <c r="Z83" s="79"/>
    </row>
    <row r="84" ht="14.25" customHeight="1">
      <c r="A84" s="76" t="str">
        <f>'Test 4-Stats'!S82</f>
        <v>Reg 83</v>
      </c>
      <c r="B84" s="77">
        <f>'Test 4-Stats'!Y82</f>
        <v>2024</v>
      </c>
      <c r="C84" s="77" t="str">
        <f>'Test 4-Stats'!W82</f>
        <v>ISUZU</v>
      </c>
      <c r="D84" s="77" t="str">
        <f>'Test 4-Stats'!V82</f>
        <v>ONE TON LDV DOUBLE CAB</v>
      </c>
      <c r="E84" s="77" t="str">
        <f>'Test 4-Stats'!X82</f>
        <v>D-MAX 250 HO HI-RIDER D/CAB</v>
      </c>
      <c r="F84" s="77" t="str">
        <f t="array" ref="F84:G84">'Test 4-Stats'!Z82:AA82</f>
        <v>DIESEL</v>
      </c>
      <c r="G84" s="77">
        <v>2498.0</v>
      </c>
      <c r="H84" s="77" t="str">
        <f t="array" ref="H84:M84">'Test 4-Stats'!C82:H82</f>
        <v>Business Unit 2</v>
      </c>
      <c r="I84" s="77" t="s">
        <v>110</v>
      </c>
      <c r="J84" s="77" t="s">
        <v>111</v>
      </c>
      <c r="K84" s="77" t="s">
        <v>179</v>
      </c>
      <c r="L84" s="77" t="s">
        <v>140</v>
      </c>
      <c r="M84" s="77" t="s">
        <v>129</v>
      </c>
      <c r="N84" s="78">
        <f t="array" ref="N84:P84">'Test 4-Stats'!AL82:AN82</f>
        <v>43937</v>
      </c>
      <c r="O84" s="78">
        <v>45763.0</v>
      </c>
      <c r="P84" s="77">
        <v>60.0</v>
      </c>
      <c r="Q84" s="77" t="str">
        <f>'Test 4-Stats'!CX82</f>
        <v>Active</v>
      </c>
      <c r="R84" s="79"/>
      <c r="S84" s="79"/>
      <c r="T84" s="79"/>
      <c r="U84" s="79"/>
      <c r="V84" s="79"/>
      <c r="W84" s="79"/>
      <c r="X84" s="79"/>
      <c r="Y84" s="79"/>
      <c r="Z84" s="79"/>
    </row>
    <row r="85" ht="14.25" customHeight="1">
      <c r="A85" s="76" t="str">
        <f>'Test 4-Stats'!S83</f>
        <v>Reg 84</v>
      </c>
      <c r="B85" s="77">
        <f>'Test 4-Stats'!Y83</f>
        <v>2024</v>
      </c>
      <c r="C85" s="77" t="str">
        <f>'Test 4-Stats'!W83</f>
        <v>ISUZU</v>
      </c>
      <c r="D85" s="77" t="str">
        <f>'Test 4-Stats'!V83</f>
        <v>ONE TON LDV DOUBLE CAB</v>
      </c>
      <c r="E85" s="77" t="str">
        <f>'Test 4-Stats'!X83</f>
        <v>D-MAX 250 HO HI-RIDER D/CAB</v>
      </c>
      <c r="F85" s="77" t="str">
        <f t="array" ref="F85:G85">'Test 4-Stats'!Z83:AA83</f>
        <v>DIESEL</v>
      </c>
      <c r="G85" s="77">
        <v>2498.0</v>
      </c>
      <c r="H85" s="77" t="str">
        <f t="array" ref="H85:M85">'Test 4-Stats'!C83:H83</f>
        <v>Business Unit 3</v>
      </c>
      <c r="I85" s="77" t="s">
        <v>125</v>
      </c>
      <c r="J85" s="77" t="s">
        <v>126</v>
      </c>
      <c r="K85" s="77" t="s">
        <v>179</v>
      </c>
      <c r="L85" s="77" t="s">
        <v>140</v>
      </c>
      <c r="M85" s="77" t="s">
        <v>141</v>
      </c>
      <c r="N85" s="78">
        <f t="array" ref="N85:P85">'Test 4-Stats'!AL83:AN83</f>
        <v>43938</v>
      </c>
      <c r="O85" s="78">
        <v>45764.0</v>
      </c>
      <c r="P85" s="77">
        <v>60.0</v>
      </c>
      <c r="Q85" s="77" t="str">
        <f>'Test 4-Stats'!CX83</f>
        <v>Active</v>
      </c>
      <c r="R85" s="79"/>
      <c r="S85" s="79"/>
      <c r="T85" s="79"/>
      <c r="U85" s="79"/>
      <c r="V85" s="79"/>
      <c r="W85" s="79"/>
      <c r="X85" s="79"/>
      <c r="Y85" s="79"/>
      <c r="Z85" s="79"/>
    </row>
    <row r="86" ht="14.25" customHeight="1">
      <c r="A86" s="76" t="str">
        <f>'Test 4-Stats'!S84</f>
        <v>Reg 85</v>
      </c>
      <c r="B86" s="77">
        <f>'Test 4-Stats'!Y84</f>
        <v>2024</v>
      </c>
      <c r="C86" s="77" t="str">
        <f>'Test 4-Stats'!W84</f>
        <v>SUZUKI</v>
      </c>
      <c r="D86" s="77" t="str">
        <f>'Test 4-Stats'!V84</f>
        <v>SEDAN</v>
      </c>
      <c r="E86" s="77" t="str">
        <f>'Test 4-Stats'!X84</f>
        <v>DZIRE 1.2I GA</v>
      </c>
      <c r="F86" s="77" t="str">
        <f t="array" ref="F86:G86">'Test 4-Stats'!Z84:AA84</f>
        <v>PETROL</v>
      </c>
      <c r="G86" s="77">
        <v>1198.0</v>
      </c>
      <c r="H86" s="77" t="str">
        <f t="array" ref="H86:M86">'Test 4-Stats'!C84:H84</f>
        <v>Business Unit 1</v>
      </c>
      <c r="I86" s="77" t="s">
        <v>137</v>
      </c>
      <c r="J86" s="77" t="s">
        <v>138</v>
      </c>
      <c r="K86" s="77" t="s">
        <v>172</v>
      </c>
      <c r="L86" s="77" t="s">
        <v>140</v>
      </c>
      <c r="M86" s="77" t="s">
        <v>114</v>
      </c>
      <c r="N86" s="78">
        <f t="array" ref="N86:P86">'Test 4-Stats'!AL84:AN84</f>
        <v>43939</v>
      </c>
      <c r="O86" s="78">
        <v>45765.0</v>
      </c>
      <c r="P86" s="77">
        <v>60.0</v>
      </c>
      <c r="Q86" s="77" t="str">
        <f>'Test 4-Stats'!CX84</f>
        <v>Active</v>
      </c>
      <c r="R86" s="79"/>
      <c r="S86" s="79"/>
      <c r="T86" s="79"/>
      <c r="U86" s="79"/>
      <c r="V86" s="79"/>
      <c r="W86" s="79"/>
      <c r="X86" s="79"/>
      <c r="Y86" s="79"/>
      <c r="Z86" s="79"/>
    </row>
    <row r="87" ht="14.25" customHeight="1">
      <c r="A87" s="76" t="str">
        <f>'Test 4-Stats'!S85</f>
        <v>Reg 86</v>
      </c>
      <c r="B87" s="77">
        <f>'Test 4-Stats'!Y85</f>
        <v>2024</v>
      </c>
      <c r="C87" s="77" t="str">
        <f>'Test 4-Stats'!W85</f>
        <v>FORD</v>
      </c>
      <c r="D87" s="77" t="str">
        <f>'Test 4-Stats'!V85</f>
        <v>MINIBUS</v>
      </c>
      <c r="E87" s="77" t="str">
        <f>'Test 4-Stats'!X85</f>
        <v>TOURNEO CUSTOM 2.2 TDCI AMBIENTE LWB</v>
      </c>
      <c r="F87" s="77" t="str">
        <f t="array" ref="F87:G87">'Test 4-Stats'!Z85:AA85</f>
        <v>DIESEL</v>
      </c>
      <c r="G87" s="77">
        <v>2198.0</v>
      </c>
      <c r="H87" s="77" t="str">
        <f t="array" ref="H87:M87">'Test 4-Stats'!C85:H85</f>
        <v>Business Unit 2</v>
      </c>
      <c r="I87" s="77" t="s">
        <v>110</v>
      </c>
      <c r="J87" s="77" t="s">
        <v>111</v>
      </c>
      <c r="K87" s="77" t="s">
        <v>176</v>
      </c>
      <c r="L87" s="77" t="s">
        <v>140</v>
      </c>
      <c r="M87" s="77" t="s">
        <v>129</v>
      </c>
      <c r="N87" s="78">
        <f t="array" ref="N87:P87">'Test 4-Stats'!AL85:AN85</f>
        <v>43940</v>
      </c>
      <c r="O87" s="78">
        <v>45766.0</v>
      </c>
      <c r="P87" s="77">
        <v>60.0</v>
      </c>
      <c r="Q87" s="77" t="str">
        <f>'Test 4-Stats'!CX85</f>
        <v>Active</v>
      </c>
      <c r="R87" s="79"/>
      <c r="S87" s="79"/>
      <c r="T87" s="79"/>
      <c r="U87" s="79"/>
      <c r="V87" s="79"/>
      <c r="W87" s="79"/>
      <c r="X87" s="79"/>
      <c r="Y87" s="79"/>
      <c r="Z87" s="79"/>
    </row>
    <row r="88" ht="14.25" customHeight="1">
      <c r="A88" s="76" t="str">
        <f>'Test 4-Stats'!S86</f>
        <v>Reg 87</v>
      </c>
      <c r="B88" s="77">
        <f>'Test 4-Stats'!Y86</f>
        <v>2024</v>
      </c>
      <c r="C88" s="77" t="str">
        <f>'Test 4-Stats'!W86</f>
        <v>ISUZU</v>
      </c>
      <c r="D88" s="77" t="str">
        <f>'Test 4-Stats'!V86</f>
        <v>ONE TON LDV DOUBLE CAB</v>
      </c>
      <c r="E88" s="77" t="str">
        <f>'Test 4-Stats'!X86</f>
        <v>D-MAX 250 HO HI-RIDER D/CAB</v>
      </c>
      <c r="F88" s="77" t="str">
        <f t="array" ref="F88:G88">'Test 4-Stats'!Z86:AA86</f>
        <v>DIESEL</v>
      </c>
      <c r="G88" s="77">
        <v>2498.0</v>
      </c>
      <c r="H88" s="77" t="str">
        <f t="array" ref="H88:M88">'Test 4-Stats'!C86:H86</f>
        <v>Business Unit 3</v>
      </c>
      <c r="I88" s="77" t="s">
        <v>125</v>
      </c>
      <c r="J88" s="77" t="s">
        <v>126</v>
      </c>
      <c r="K88" s="77" t="s">
        <v>176</v>
      </c>
      <c r="L88" s="77" t="s">
        <v>140</v>
      </c>
      <c r="M88" s="77" t="s">
        <v>141</v>
      </c>
      <c r="N88" s="78">
        <f t="array" ref="N88:P88">'Test 4-Stats'!AL86:AN86</f>
        <v>43941</v>
      </c>
      <c r="O88" s="78">
        <v>45767.0</v>
      </c>
      <c r="P88" s="77">
        <v>60.0</v>
      </c>
      <c r="Q88" s="77" t="str">
        <f>'Test 4-Stats'!CX86</f>
        <v>Active</v>
      </c>
      <c r="R88" s="79"/>
      <c r="S88" s="79"/>
      <c r="T88" s="79"/>
      <c r="U88" s="79"/>
      <c r="V88" s="79"/>
      <c r="W88" s="79"/>
      <c r="X88" s="79"/>
      <c r="Y88" s="79"/>
      <c r="Z88" s="79"/>
    </row>
    <row r="89" ht="14.25" customHeight="1">
      <c r="A89" s="76" t="str">
        <f>'Test 4-Stats'!S87</f>
        <v>Reg 88</v>
      </c>
      <c r="B89" s="77">
        <f>'Test 4-Stats'!Y87</f>
        <v>2024</v>
      </c>
      <c r="C89" s="77" t="str">
        <f>'Test 4-Stats'!W87</f>
        <v>SUZUKI</v>
      </c>
      <c r="D89" s="77" t="str">
        <f>'Test 4-Stats'!V87</f>
        <v>SEDAN</v>
      </c>
      <c r="E89" s="77" t="str">
        <f>'Test 4-Stats'!X87</f>
        <v>DZIRE 1.2I GA</v>
      </c>
      <c r="F89" s="77" t="str">
        <f t="array" ref="F89:G89">'Test 4-Stats'!Z87:AA87</f>
        <v>PETROL</v>
      </c>
      <c r="G89" s="77">
        <v>1198.0</v>
      </c>
      <c r="H89" s="77" t="str">
        <f t="array" ref="H89:M89">'Test 4-Stats'!C87:H87</f>
        <v>Business Unit 1</v>
      </c>
      <c r="I89" s="77" t="s">
        <v>137</v>
      </c>
      <c r="J89" s="77" t="s">
        <v>138</v>
      </c>
      <c r="K89" s="77" t="s">
        <v>172</v>
      </c>
      <c r="L89" s="77" t="s">
        <v>140</v>
      </c>
      <c r="M89" s="77" t="s">
        <v>114</v>
      </c>
      <c r="N89" s="78">
        <f t="array" ref="N89:P89">'Test 4-Stats'!AL87:AN87</f>
        <v>44033</v>
      </c>
      <c r="O89" s="78">
        <v>45859.0</v>
      </c>
      <c r="P89" s="77">
        <v>60.0</v>
      </c>
      <c r="Q89" s="77" t="str">
        <f>'Test 4-Stats'!CX87</f>
        <v>Active</v>
      </c>
      <c r="R89" s="79"/>
      <c r="S89" s="79"/>
      <c r="T89" s="79"/>
      <c r="U89" s="79"/>
      <c r="V89" s="79"/>
      <c r="W89" s="79"/>
      <c r="X89" s="79"/>
      <c r="Y89" s="79"/>
      <c r="Z89" s="79"/>
    </row>
    <row r="90" ht="14.25" customHeight="1">
      <c r="A90" s="76" t="str">
        <f>'Test 4-Stats'!S88</f>
        <v>Reg 89</v>
      </c>
      <c r="B90" s="77">
        <f>'Test 4-Stats'!Y88</f>
        <v>2024</v>
      </c>
      <c r="C90" s="77" t="str">
        <f>'Test 4-Stats'!W88</f>
        <v>ISUZU</v>
      </c>
      <c r="D90" s="77" t="str">
        <f>'Test 4-Stats'!V88</f>
        <v>ONE TON LDV DOUBLE CAB</v>
      </c>
      <c r="E90" s="77" t="str">
        <f>'Test 4-Stats'!X88</f>
        <v>D-MAX 250 HO HI-RIDER D/CAB</v>
      </c>
      <c r="F90" s="77" t="str">
        <f t="array" ref="F90:G90">'Test 4-Stats'!Z88:AA88</f>
        <v>DIESEL</v>
      </c>
      <c r="G90" s="77">
        <v>2498.0</v>
      </c>
      <c r="H90" s="77" t="str">
        <f t="array" ref="H90:M90">'Test 4-Stats'!C88:H88</f>
        <v>Business Unit 2</v>
      </c>
      <c r="I90" s="77" t="s">
        <v>110</v>
      </c>
      <c r="J90" s="77" t="s">
        <v>111</v>
      </c>
      <c r="K90" s="77" t="s">
        <v>176</v>
      </c>
      <c r="L90" s="77" t="s">
        <v>140</v>
      </c>
      <c r="M90" s="77" t="s">
        <v>129</v>
      </c>
      <c r="N90" s="78">
        <f t="array" ref="N90:P90">'Test 4-Stats'!AL88:AN88</f>
        <v>43943</v>
      </c>
      <c r="O90" s="78">
        <v>45769.0</v>
      </c>
      <c r="P90" s="77">
        <v>60.0</v>
      </c>
      <c r="Q90" s="77" t="str">
        <f>'Test 4-Stats'!CX88</f>
        <v>Active</v>
      </c>
      <c r="R90" s="79"/>
      <c r="S90" s="79"/>
      <c r="T90" s="79"/>
      <c r="U90" s="79"/>
      <c r="V90" s="79"/>
      <c r="W90" s="79"/>
      <c r="X90" s="79"/>
      <c r="Y90" s="79"/>
      <c r="Z90" s="79"/>
    </row>
    <row r="91" ht="14.25" customHeight="1">
      <c r="A91" s="76" t="str">
        <f>'Test 4-Stats'!S89</f>
        <v>Reg 90</v>
      </c>
      <c r="B91" s="77">
        <f>'Test 4-Stats'!Y89</f>
        <v>2024</v>
      </c>
      <c r="C91" s="77" t="str">
        <f>'Test 4-Stats'!W89</f>
        <v>ISUZU</v>
      </c>
      <c r="D91" s="77" t="str">
        <f>'Test 4-Stats'!V89</f>
        <v>ONE TON LDV DOUBLE CAB</v>
      </c>
      <c r="E91" s="77" t="str">
        <f>'Test 4-Stats'!X89</f>
        <v>D-MAX 250 HO HI-RIDER D/CAB</v>
      </c>
      <c r="F91" s="77" t="str">
        <f t="array" ref="F91:G91">'Test 4-Stats'!Z89:AA89</f>
        <v>DIESEL</v>
      </c>
      <c r="G91" s="77">
        <v>2498.0</v>
      </c>
      <c r="H91" s="77" t="str">
        <f t="array" ref="H91:M91">'Test 4-Stats'!C89:H89</f>
        <v>Business Unit 3</v>
      </c>
      <c r="I91" s="77" t="s">
        <v>125</v>
      </c>
      <c r="J91" s="77" t="s">
        <v>126</v>
      </c>
      <c r="K91" s="77" t="s">
        <v>176</v>
      </c>
      <c r="L91" s="77" t="s">
        <v>140</v>
      </c>
      <c r="M91" s="77" t="s">
        <v>141</v>
      </c>
      <c r="N91" s="78">
        <f t="array" ref="N91:P91">'Test 4-Stats'!AL89:AN89</f>
        <v>43944</v>
      </c>
      <c r="O91" s="78">
        <v>45770.0</v>
      </c>
      <c r="P91" s="77">
        <v>60.0</v>
      </c>
      <c r="Q91" s="77" t="str">
        <f>'Test 4-Stats'!CX89</f>
        <v>Active</v>
      </c>
      <c r="R91" s="79"/>
      <c r="S91" s="79"/>
      <c r="T91" s="79"/>
      <c r="U91" s="79"/>
      <c r="V91" s="79"/>
      <c r="W91" s="79"/>
      <c r="X91" s="79"/>
      <c r="Y91" s="79"/>
      <c r="Z91" s="79"/>
    </row>
    <row r="92" ht="14.25" customHeight="1">
      <c r="A92" s="76" t="str">
        <f>'Test 4-Stats'!S90</f>
        <v>Reg 91</v>
      </c>
      <c r="B92" s="77">
        <f>'Test 4-Stats'!Y90</f>
        <v>2024</v>
      </c>
      <c r="C92" s="77" t="str">
        <f>'Test 4-Stats'!W90</f>
        <v>ISUZU</v>
      </c>
      <c r="D92" s="77" t="str">
        <f>'Test 4-Stats'!V90</f>
        <v>ONE TON LDV DOUBLE CAB</v>
      </c>
      <c r="E92" s="77" t="str">
        <f>'Test 4-Stats'!X90</f>
        <v>D-MAX 250 HO HI-RIDER D/CAB</v>
      </c>
      <c r="F92" s="77" t="str">
        <f t="array" ref="F92:G92">'Test 4-Stats'!Z90:AA90</f>
        <v>DIESEL</v>
      </c>
      <c r="G92" s="77">
        <v>2498.0</v>
      </c>
      <c r="H92" s="77" t="str">
        <f t="array" ref="H92:M92">'Test 4-Stats'!C90:H90</f>
        <v>Business Unit 1</v>
      </c>
      <c r="I92" s="77" t="s">
        <v>137</v>
      </c>
      <c r="J92" s="77" t="s">
        <v>138</v>
      </c>
      <c r="K92" s="77" t="s">
        <v>176</v>
      </c>
      <c r="L92" s="77" t="s">
        <v>140</v>
      </c>
      <c r="M92" s="77" t="s">
        <v>114</v>
      </c>
      <c r="N92" s="78">
        <f t="array" ref="N92:P92">'Test 4-Stats'!AL90:AN90</f>
        <v>43945</v>
      </c>
      <c r="O92" s="78">
        <v>45771.0</v>
      </c>
      <c r="P92" s="77">
        <v>60.0</v>
      </c>
      <c r="Q92" s="77" t="str">
        <f>'Test 4-Stats'!CX90</f>
        <v>Active</v>
      </c>
      <c r="R92" s="79"/>
      <c r="S92" s="79"/>
      <c r="T92" s="79"/>
      <c r="U92" s="79"/>
      <c r="V92" s="79"/>
      <c r="W92" s="79"/>
      <c r="X92" s="79"/>
      <c r="Y92" s="79"/>
      <c r="Z92" s="79"/>
    </row>
    <row r="93" ht="14.25" customHeight="1">
      <c r="A93" s="76" t="str">
        <f>'Test 4-Stats'!S91</f>
        <v>Reg 92</v>
      </c>
      <c r="B93" s="77">
        <f>'Test 4-Stats'!Y91</f>
        <v>2024</v>
      </c>
      <c r="C93" s="77" t="str">
        <f>'Test 4-Stats'!W91</f>
        <v>ISUZU</v>
      </c>
      <c r="D93" s="77" t="str">
        <f>'Test 4-Stats'!V91</f>
        <v>ONE TON LDV DOUBLE CAB</v>
      </c>
      <c r="E93" s="77" t="str">
        <f>'Test 4-Stats'!X91</f>
        <v>D-MAX 1.9 DDI D CAB HR L</v>
      </c>
      <c r="F93" s="77" t="str">
        <f t="array" ref="F93:G93">'Test 4-Stats'!Z91:AA91</f>
        <v>DIESEL</v>
      </c>
      <c r="G93" s="77">
        <v>1898.0</v>
      </c>
      <c r="H93" s="77" t="str">
        <f t="array" ref="H93:M93">'Test 4-Stats'!C91:H91</f>
        <v>Business Unit 2</v>
      </c>
      <c r="I93" s="77" t="s">
        <v>110</v>
      </c>
      <c r="J93" s="77" t="s">
        <v>111</v>
      </c>
      <c r="K93" s="77" t="s">
        <v>176</v>
      </c>
      <c r="L93" s="77" t="s">
        <v>140</v>
      </c>
      <c r="M93" s="77" t="s">
        <v>129</v>
      </c>
      <c r="N93" s="78">
        <f t="array" ref="N93:P93">'Test 4-Stats'!AL91:AN91</f>
        <v>44129</v>
      </c>
      <c r="O93" s="78">
        <v>45955.0</v>
      </c>
      <c r="P93" s="77">
        <v>60.0</v>
      </c>
      <c r="Q93" s="77" t="str">
        <f>'Test 4-Stats'!CX91</f>
        <v>Active</v>
      </c>
      <c r="R93" s="79"/>
      <c r="S93" s="79"/>
      <c r="T93" s="79"/>
      <c r="U93" s="79"/>
      <c r="V93" s="79"/>
      <c r="W93" s="79"/>
      <c r="X93" s="79"/>
      <c r="Y93" s="79"/>
      <c r="Z93" s="79"/>
    </row>
    <row r="94" ht="14.25" customHeight="1">
      <c r="A94" s="76" t="str">
        <f>'Test 4-Stats'!S92</f>
        <v>Reg 93</v>
      </c>
      <c r="B94" s="77">
        <f>'Test 4-Stats'!Y92</f>
        <v>2024</v>
      </c>
      <c r="C94" s="77" t="str">
        <f>'Test 4-Stats'!W92</f>
        <v>ISUZU</v>
      </c>
      <c r="D94" s="77" t="str">
        <f>'Test 4-Stats'!V92</f>
        <v>ONE TON LDV DOUBLE CAB</v>
      </c>
      <c r="E94" s="77" t="str">
        <f>'Test 4-Stats'!X92</f>
        <v>D-MAX 250 HO HI-RIDER D/CAB</v>
      </c>
      <c r="F94" s="77" t="str">
        <f t="array" ref="F94:G94">'Test 4-Stats'!Z92:AA92</f>
        <v>DIESEL</v>
      </c>
      <c r="G94" s="77">
        <v>2498.0</v>
      </c>
      <c r="H94" s="77" t="str">
        <f t="array" ref="H94:M94">'Test 4-Stats'!C92:H92</f>
        <v>Business Unit 3</v>
      </c>
      <c r="I94" s="77" t="s">
        <v>125</v>
      </c>
      <c r="J94" s="77" t="s">
        <v>126</v>
      </c>
      <c r="K94" s="77" t="s">
        <v>176</v>
      </c>
      <c r="L94" s="77" t="s">
        <v>140</v>
      </c>
      <c r="M94" s="77" t="s">
        <v>141</v>
      </c>
      <c r="N94" s="78">
        <f t="array" ref="N94:P94">'Test 4-Stats'!AL92:AN92</f>
        <v>43947</v>
      </c>
      <c r="O94" s="78">
        <v>45773.0</v>
      </c>
      <c r="P94" s="77">
        <v>60.0</v>
      </c>
      <c r="Q94" s="77" t="str">
        <f>'Test 4-Stats'!CX92</f>
        <v>Active</v>
      </c>
      <c r="R94" s="79"/>
      <c r="S94" s="79"/>
      <c r="T94" s="79"/>
      <c r="U94" s="79"/>
      <c r="V94" s="79"/>
      <c r="W94" s="79"/>
      <c r="X94" s="79"/>
      <c r="Y94" s="79"/>
      <c r="Z94" s="79"/>
    </row>
    <row r="95" ht="14.25" customHeight="1">
      <c r="A95" s="76" t="str">
        <f>'Test 4-Stats'!S93</f>
        <v>Reg 94</v>
      </c>
      <c r="B95" s="77">
        <f>'Test 4-Stats'!Y93</f>
        <v>2024</v>
      </c>
      <c r="C95" s="77" t="str">
        <f>'Test 4-Stats'!W93</f>
        <v>ISUZU</v>
      </c>
      <c r="D95" s="77" t="str">
        <f>'Test 4-Stats'!V93</f>
        <v>ONE TON LDV DOUBLE CAB</v>
      </c>
      <c r="E95" s="77" t="str">
        <f>'Test 4-Stats'!X93</f>
        <v>D-MAX 250 HO HI-RIDER D/CAB</v>
      </c>
      <c r="F95" s="77" t="str">
        <f t="array" ref="F95:G95">'Test 4-Stats'!Z93:AA93</f>
        <v>DIESEL</v>
      </c>
      <c r="G95" s="77">
        <v>2498.0</v>
      </c>
      <c r="H95" s="77" t="str">
        <f t="array" ref="H95:M95">'Test 4-Stats'!C93:H93</f>
        <v>Business Unit 1</v>
      </c>
      <c r="I95" s="77" t="s">
        <v>137</v>
      </c>
      <c r="J95" s="77" t="s">
        <v>138</v>
      </c>
      <c r="K95" s="77" t="s">
        <v>179</v>
      </c>
      <c r="L95" s="77" t="s">
        <v>140</v>
      </c>
      <c r="M95" s="77" t="s">
        <v>114</v>
      </c>
      <c r="N95" s="78">
        <f t="array" ref="N95:P95">'Test 4-Stats'!AL93:AN93</f>
        <v>43948</v>
      </c>
      <c r="O95" s="78">
        <v>45774.0</v>
      </c>
      <c r="P95" s="77">
        <v>60.0</v>
      </c>
      <c r="Q95" s="77" t="str">
        <f>'Test 4-Stats'!CX93</f>
        <v>Active</v>
      </c>
      <c r="R95" s="79"/>
      <c r="S95" s="79"/>
      <c r="T95" s="79"/>
      <c r="U95" s="79"/>
      <c r="V95" s="79"/>
      <c r="W95" s="79"/>
      <c r="X95" s="79"/>
      <c r="Y95" s="79"/>
      <c r="Z95" s="79"/>
    </row>
    <row r="96" ht="14.25" customHeight="1">
      <c r="A96" s="76" t="str">
        <f>'Test 4-Stats'!S94</f>
        <v>Reg 95</v>
      </c>
      <c r="B96" s="77">
        <f>'Test 4-Stats'!Y94</f>
        <v>2024</v>
      </c>
      <c r="C96" s="77" t="str">
        <f>'Test 4-Stats'!W94</f>
        <v>ISUZU</v>
      </c>
      <c r="D96" s="77" t="str">
        <f>'Test 4-Stats'!V94</f>
        <v>ONE TON LDV DOUBLE CAB</v>
      </c>
      <c r="E96" s="77" t="str">
        <f>'Test 4-Stats'!X94</f>
        <v>D-MAX 250 HO HI-RIDER D/CAB</v>
      </c>
      <c r="F96" s="77" t="str">
        <f t="array" ref="F96:G96">'Test 4-Stats'!Z94:AA94</f>
        <v>DIESEL</v>
      </c>
      <c r="G96" s="77">
        <v>2498.0</v>
      </c>
      <c r="H96" s="77" t="str">
        <f t="array" ref="H96:M96">'Test 4-Stats'!C94:H94</f>
        <v>Business Unit 2</v>
      </c>
      <c r="I96" s="77" t="s">
        <v>110</v>
      </c>
      <c r="J96" s="77" t="s">
        <v>111</v>
      </c>
      <c r="K96" s="77" t="s">
        <v>179</v>
      </c>
      <c r="L96" s="77" t="s">
        <v>140</v>
      </c>
      <c r="M96" s="77" t="s">
        <v>129</v>
      </c>
      <c r="N96" s="78">
        <f t="array" ref="N96:P96">'Test 4-Stats'!AL94:AN94</f>
        <v>43949</v>
      </c>
      <c r="O96" s="78">
        <v>45775.0</v>
      </c>
      <c r="P96" s="77">
        <v>60.0</v>
      </c>
      <c r="Q96" s="77" t="str">
        <f>'Test 4-Stats'!CX94</f>
        <v>Active</v>
      </c>
      <c r="R96" s="79"/>
      <c r="S96" s="79"/>
      <c r="T96" s="79"/>
      <c r="U96" s="79"/>
      <c r="V96" s="79"/>
      <c r="W96" s="79"/>
      <c r="X96" s="79"/>
      <c r="Y96" s="79"/>
      <c r="Z96" s="79"/>
    </row>
    <row r="97" ht="14.25" customHeight="1">
      <c r="A97" s="76" t="str">
        <f>'Test 4-Stats'!S95</f>
        <v>Reg 96</v>
      </c>
      <c r="B97" s="77">
        <f>'Test 4-Stats'!Y95</f>
        <v>2024</v>
      </c>
      <c r="C97" s="77" t="str">
        <f>'Test 4-Stats'!W95</f>
        <v>ISUZU</v>
      </c>
      <c r="D97" s="77" t="str">
        <f>'Test 4-Stats'!V95</f>
        <v>ONE TON LDV DOUBLE CAB</v>
      </c>
      <c r="E97" s="77" t="str">
        <f>'Test 4-Stats'!X95</f>
        <v>D-MAX 250 HO HI-RIDER D/CAB</v>
      </c>
      <c r="F97" s="77" t="str">
        <f t="array" ref="F97:G97">'Test 4-Stats'!Z95:AA95</f>
        <v>DIESEL</v>
      </c>
      <c r="G97" s="77">
        <v>2498.0</v>
      </c>
      <c r="H97" s="77" t="str">
        <f t="array" ref="H97:M97">'Test 4-Stats'!C95:H95</f>
        <v>Business Unit 3</v>
      </c>
      <c r="I97" s="77" t="s">
        <v>125</v>
      </c>
      <c r="J97" s="77" t="s">
        <v>126</v>
      </c>
      <c r="K97" s="77" t="s">
        <v>179</v>
      </c>
      <c r="L97" s="77" t="s">
        <v>140</v>
      </c>
      <c r="M97" s="77" t="s">
        <v>141</v>
      </c>
      <c r="N97" s="78">
        <f t="array" ref="N97:P97">'Test 4-Stats'!AL95:AN95</f>
        <v>43950</v>
      </c>
      <c r="O97" s="78">
        <v>45776.0</v>
      </c>
      <c r="P97" s="77">
        <v>60.0</v>
      </c>
      <c r="Q97" s="77" t="str">
        <f>'Test 4-Stats'!CX95</f>
        <v>Active</v>
      </c>
      <c r="R97" s="79"/>
      <c r="S97" s="79"/>
      <c r="T97" s="79"/>
      <c r="U97" s="79"/>
      <c r="V97" s="79"/>
      <c r="W97" s="79"/>
      <c r="X97" s="79"/>
      <c r="Y97" s="79"/>
      <c r="Z97" s="79"/>
    </row>
    <row r="98" ht="14.25" customHeight="1">
      <c r="A98" s="76" t="str">
        <f>'Test 4-Stats'!S96</f>
        <v>Reg 97</v>
      </c>
      <c r="B98" s="77">
        <f>'Test 4-Stats'!Y96</f>
        <v>2024</v>
      </c>
      <c r="C98" s="77" t="str">
        <f>'Test 4-Stats'!W96</f>
        <v>ISUZU</v>
      </c>
      <c r="D98" s="77" t="str">
        <f>'Test 4-Stats'!V96</f>
        <v>ONE TON LDV DOUBLE CAB</v>
      </c>
      <c r="E98" s="77" t="str">
        <f>'Test 4-Stats'!X96</f>
        <v>D-MAX 1.9 DDI D CAB HR L</v>
      </c>
      <c r="F98" s="77" t="str">
        <f t="array" ref="F98:G98">'Test 4-Stats'!Z96:AA96</f>
        <v>DIESEL</v>
      </c>
      <c r="G98" s="77">
        <v>1898.0</v>
      </c>
      <c r="H98" s="77" t="str">
        <f t="array" ref="H98:M98">'Test 4-Stats'!C96:H96</f>
        <v>Business Unit 1</v>
      </c>
      <c r="I98" s="77" t="s">
        <v>110</v>
      </c>
      <c r="J98" s="77" t="s">
        <v>111</v>
      </c>
      <c r="K98" s="77" t="s">
        <v>176</v>
      </c>
      <c r="L98" s="77" t="s">
        <v>140</v>
      </c>
      <c r="M98" s="77" t="s">
        <v>114</v>
      </c>
      <c r="N98" s="78">
        <f t="array" ref="N98:P98">'Test 4-Stats'!AL96:AN96</f>
        <v>43951</v>
      </c>
      <c r="O98" s="78">
        <v>45777.0</v>
      </c>
      <c r="P98" s="77">
        <v>60.0</v>
      </c>
      <c r="Q98" s="77" t="str">
        <f>'Test 4-Stats'!CX96</f>
        <v>Active</v>
      </c>
      <c r="R98" s="79"/>
      <c r="S98" s="79"/>
      <c r="T98" s="79"/>
      <c r="U98" s="79"/>
      <c r="V98" s="79"/>
      <c r="W98" s="79"/>
      <c r="X98" s="79"/>
      <c r="Y98" s="79"/>
      <c r="Z98" s="79"/>
    </row>
    <row r="99" ht="14.25" customHeight="1">
      <c r="A99" s="76" t="str">
        <f>'Test 4-Stats'!S97</f>
        <v>Reg 98</v>
      </c>
      <c r="B99" s="77">
        <f>'Test 4-Stats'!Y97</f>
        <v>2024</v>
      </c>
      <c r="C99" s="77" t="str">
        <f>'Test 4-Stats'!W97</f>
        <v>FORD</v>
      </c>
      <c r="D99" s="77" t="str">
        <f>'Test 4-Stats'!V97</f>
        <v>ONE TON LDV DOUBLE CAB</v>
      </c>
      <c r="E99" s="77" t="str">
        <f>'Test 4-Stats'!X97</f>
        <v>RANGER 2.0 SiT D CAB BASE 4X4</v>
      </c>
      <c r="F99" s="77" t="str">
        <f t="array" ref="F99:G99">'Test 4-Stats'!Z97:AA97</f>
        <v>DIESEL</v>
      </c>
      <c r="G99" s="77">
        <v>1998.0</v>
      </c>
      <c r="H99" s="77" t="str">
        <f t="array" ref="H99:M99">'Test 4-Stats'!C97:H97</f>
        <v>Business Unit 2</v>
      </c>
      <c r="I99" s="77" t="s">
        <v>125</v>
      </c>
      <c r="J99" s="77" t="s">
        <v>126</v>
      </c>
      <c r="K99" s="77" t="s">
        <v>169</v>
      </c>
      <c r="L99" s="77" t="s">
        <v>128</v>
      </c>
      <c r="M99" s="77" t="s">
        <v>129</v>
      </c>
      <c r="N99" s="78">
        <f t="array" ref="N99:P99">'Test 4-Stats'!AL97:AN97</f>
        <v>43952</v>
      </c>
      <c r="O99" s="78">
        <v>45778.0</v>
      </c>
      <c r="P99" s="77">
        <v>60.0</v>
      </c>
      <c r="Q99" s="77" t="str">
        <f>'Test 4-Stats'!CX97</f>
        <v>Active</v>
      </c>
      <c r="R99" s="79"/>
      <c r="S99" s="79"/>
      <c r="T99" s="79"/>
      <c r="U99" s="79"/>
      <c r="V99" s="79"/>
      <c r="W99" s="79"/>
      <c r="X99" s="79"/>
      <c r="Y99" s="79"/>
      <c r="Z99" s="79"/>
    </row>
    <row r="100" ht="14.25" customHeight="1">
      <c r="A100" s="76" t="str">
        <f>'Test 4-Stats'!S98</f>
        <v>Reg 99</v>
      </c>
      <c r="B100" s="77">
        <f>'Test 4-Stats'!Y98</f>
        <v>2024</v>
      </c>
      <c r="C100" s="77" t="str">
        <f>'Test 4-Stats'!W98</f>
        <v>NISSAN</v>
      </c>
      <c r="D100" s="77" t="str">
        <f>'Test 4-Stats'!V98</f>
        <v>HALF TON LDV</v>
      </c>
      <c r="E100" s="77" t="str">
        <f>'Test 4-Stats'!X98</f>
        <v>NP200 1.6 8V AC SAFETY PACK</v>
      </c>
      <c r="F100" s="77" t="str">
        <f t="array" ref="F100:G100">'Test 4-Stats'!Z98:AA98</f>
        <v>PETROL</v>
      </c>
      <c r="G100" s="77">
        <v>1598.0</v>
      </c>
      <c r="H100" s="77" t="str">
        <f t="array" ref="H100:M100">'Test 4-Stats'!C98:H98</f>
        <v>Business Unit 3</v>
      </c>
      <c r="I100" s="77" t="s">
        <v>137</v>
      </c>
      <c r="J100" s="77" t="s">
        <v>138</v>
      </c>
      <c r="K100" s="77" t="s">
        <v>172</v>
      </c>
      <c r="L100" s="77" t="s">
        <v>140</v>
      </c>
      <c r="M100" s="77" t="s">
        <v>141</v>
      </c>
      <c r="N100" s="78">
        <f t="array" ref="N100:P100">'Test 4-Stats'!AL98:AN98</f>
        <v>43953</v>
      </c>
      <c r="O100" s="78">
        <v>45779.0</v>
      </c>
      <c r="P100" s="77">
        <v>60.0</v>
      </c>
      <c r="Q100" s="77" t="str">
        <f>'Test 4-Stats'!CX98</f>
        <v>Active</v>
      </c>
      <c r="R100" s="79"/>
      <c r="S100" s="79"/>
      <c r="T100" s="79"/>
      <c r="U100" s="79"/>
      <c r="V100" s="79"/>
      <c r="W100" s="79"/>
      <c r="X100" s="79"/>
      <c r="Y100" s="79"/>
      <c r="Z100" s="79"/>
    </row>
    <row r="101" ht="14.25" customHeight="1">
      <c r="A101" s="76" t="str">
        <f>'Test 4-Stats'!S99</f>
        <v>Reg 100</v>
      </c>
      <c r="B101" s="77">
        <f>'Test 4-Stats'!Y99</f>
        <v>2024</v>
      </c>
      <c r="C101" s="77" t="str">
        <f>'Test 4-Stats'!W99</f>
        <v>SUZUKI</v>
      </c>
      <c r="D101" s="77" t="str">
        <f>'Test 4-Stats'!V99</f>
        <v>SEDAN</v>
      </c>
      <c r="E101" s="77" t="str">
        <f>'Test 4-Stats'!X99</f>
        <v>CIAZ 1.5 GL</v>
      </c>
      <c r="F101" s="77" t="str">
        <f t="array" ref="F101:G101">'Test 4-Stats'!Z99:AA99</f>
        <v>PETROL</v>
      </c>
      <c r="G101" s="77">
        <v>1498.0</v>
      </c>
      <c r="H101" s="77" t="str">
        <f t="array" ref="H101:M101">'Test 4-Stats'!C99:H99</f>
        <v>Business Unit 1</v>
      </c>
      <c r="I101" s="77" t="s">
        <v>110</v>
      </c>
      <c r="J101" s="77" t="s">
        <v>111</v>
      </c>
      <c r="K101" s="77" t="s">
        <v>172</v>
      </c>
      <c r="L101" s="77" t="s">
        <v>140</v>
      </c>
      <c r="M101" s="77" t="s">
        <v>114</v>
      </c>
      <c r="N101" s="78">
        <f t="array" ref="N101:P101">'Test 4-Stats'!AL99:AN99</f>
        <v>43954</v>
      </c>
      <c r="O101" s="78">
        <v>45780.0</v>
      </c>
      <c r="P101" s="77">
        <v>60.0</v>
      </c>
      <c r="Q101" s="77" t="str">
        <f>'Test 4-Stats'!CX99</f>
        <v>Active</v>
      </c>
      <c r="R101" s="79"/>
      <c r="S101" s="79"/>
      <c r="T101" s="79"/>
      <c r="U101" s="79"/>
      <c r="V101" s="79"/>
      <c r="W101" s="79"/>
      <c r="X101" s="79"/>
      <c r="Y101" s="79"/>
      <c r="Z101" s="79"/>
    </row>
    <row r="102" ht="14.25" customHeight="1">
      <c r="A102" s="76" t="str">
        <f>'Test 4-Stats'!S100</f>
        <v>Reg 101</v>
      </c>
      <c r="B102" s="77">
        <f>'Test 4-Stats'!Y100</f>
        <v>2024</v>
      </c>
      <c r="C102" s="77" t="str">
        <f>'Test 4-Stats'!W100</f>
        <v>FORD</v>
      </c>
      <c r="D102" s="77" t="str">
        <f>'Test 4-Stats'!V100</f>
        <v>ONE TON LDV DOUBLE CAB</v>
      </c>
      <c r="E102" s="77" t="str">
        <f>'Test 4-Stats'!X100</f>
        <v>RANGER 2.0 SiT D CAB BASE 4X2</v>
      </c>
      <c r="F102" s="77" t="str">
        <f t="array" ref="F102:G102">'Test 4-Stats'!Z100:AA100</f>
        <v>DIESEL</v>
      </c>
      <c r="G102" s="77">
        <v>1998.0</v>
      </c>
      <c r="H102" s="77" t="str">
        <f t="array" ref="H102:M102">'Test 4-Stats'!C100:H100</f>
        <v>Business Unit 2</v>
      </c>
      <c r="I102" s="77" t="s">
        <v>125</v>
      </c>
      <c r="J102" s="77" t="s">
        <v>126</v>
      </c>
      <c r="K102" s="77" t="s">
        <v>176</v>
      </c>
      <c r="L102" s="77" t="s">
        <v>140</v>
      </c>
      <c r="M102" s="77" t="s">
        <v>129</v>
      </c>
      <c r="N102" s="78">
        <f t="array" ref="N102:P102">'Test 4-Stats'!AL100:AN100</f>
        <v>44016</v>
      </c>
      <c r="O102" s="78">
        <v>45842.0</v>
      </c>
      <c r="P102" s="77">
        <v>60.0</v>
      </c>
      <c r="Q102" s="77" t="str">
        <f>'Test 4-Stats'!CX100</f>
        <v>Active</v>
      </c>
      <c r="R102" s="79"/>
      <c r="S102" s="79"/>
      <c r="T102" s="79"/>
      <c r="U102" s="79"/>
      <c r="V102" s="79"/>
      <c r="W102" s="79"/>
      <c r="X102" s="79"/>
      <c r="Y102" s="79"/>
      <c r="Z102" s="79"/>
    </row>
    <row r="103" ht="14.25" customHeight="1">
      <c r="A103" s="76" t="str">
        <f>'Test 4-Stats'!S101</f>
        <v>Reg 102</v>
      </c>
      <c r="B103" s="77">
        <f>'Test 4-Stats'!Y101</f>
        <v>2024</v>
      </c>
      <c r="C103" s="77" t="str">
        <f>'Test 4-Stats'!W101</f>
        <v>FORD</v>
      </c>
      <c r="D103" s="77" t="str">
        <f>'Test 4-Stats'!V101</f>
        <v>ONE TON LDV DOUBLE CAB</v>
      </c>
      <c r="E103" s="77" t="str">
        <f>'Test 4-Stats'!X101</f>
        <v>RANGER 2.0 SiT D CAB BASE 4X2</v>
      </c>
      <c r="F103" s="77" t="str">
        <f t="array" ref="F103:G103">'Test 4-Stats'!Z101:AA101</f>
        <v>DIESEL</v>
      </c>
      <c r="G103" s="77">
        <v>1998.0</v>
      </c>
      <c r="H103" s="77" t="str">
        <f t="array" ref="H103:M103">'Test 4-Stats'!C101:H101</f>
        <v>Business Unit 3</v>
      </c>
      <c r="I103" s="77" t="s">
        <v>137</v>
      </c>
      <c r="J103" s="77" t="s">
        <v>138</v>
      </c>
      <c r="K103" s="77" t="s">
        <v>390</v>
      </c>
      <c r="L103" s="77" t="s">
        <v>391</v>
      </c>
      <c r="M103" s="77" t="s">
        <v>141</v>
      </c>
      <c r="N103" s="78">
        <f t="array" ref="N103:P103">'Test 4-Stats'!AL101:AN101</f>
        <v>43956</v>
      </c>
      <c r="O103" s="78">
        <v>45782.0</v>
      </c>
      <c r="P103" s="77">
        <v>60.0</v>
      </c>
      <c r="Q103" s="77" t="str">
        <f>'Test 4-Stats'!CX101</f>
        <v>Active</v>
      </c>
      <c r="R103" s="79"/>
      <c r="S103" s="79"/>
      <c r="T103" s="79"/>
      <c r="U103" s="79"/>
      <c r="V103" s="79"/>
      <c r="W103" s="79"/>
      <c r="X103" s="79"/>
      <c r="Y103" s="79"/>
      <c r="Z103" s="79"/>
    </row>
    <row r="104" ht="14.25" customHeight="1">
      <c r="A104" s="76" t="str">
        <f>'Test 4-Stats'!S102</f>
        <v>Reg 103</v>
      </c>
      <c r="B104" s="77">
        <f>'Test 4-Stats'!Y102</f>
        <v>2024</v>
      </c>
      <c r="C104" s="77" t="str">
        <f>'Test 4-Stats'!W102</f>
        <v>FORD</v>
      </c>
      <c r="D104" s="77" t="str">
        <f>'Test 4-Stats'!V102</f>
        <v>ONE TON LDV DOUBLE CAB</v>
      </c>
      <c r="E104" s="77" t="str">
        <f>'Test 4-Stats'!X102</f>
        <v>RANGER 2.0 SiT D CAB BASE 4X2</v>
      </c>
      <c r="F104" s="77" t="str">
        <f t="array" ref="F104:G104">'Test 4-Stats'!Z102:AA102</f>
        <v>DIESEL</v>
      </c>
      <c r="G104" s="77">
        <v>1998.0</v>
      </c>
      <c r="H104" s="77" t="str">
        <f t="array" ref="H104:M104">'Test 4-Stats'!C102:H102</f>
        <v>Business Unit 1</v>
      </c>
      <c r="I104" s="77" t="s">
        <v>110</v>
      </c>
      <c r="J104" s="77" t="s">
        <v>111</v>
      </c>
      <c r="K104" s="77" t="s">
        <v>176</v>
      </c>
      <c r="L104" s="77" t="s">
        <v>140</v>
      </c>
      <c r="M104" s="77" t="s">
        <v>114</v>
      </c>
      <c r="N104" s="78">
        <f t="array" ref="N104:P104">'Test 4-Stats'!AL102:AN102</f>
        <v>43957</v>
      </c>
      <c r="O104" s="78">
        <v>43957.0</v>
      </c>
      <c r="P104" s="77">
        <v>60.0</v>
      </c>
      <c r="Q104" s="77" t="str">
        <f>'Test 4-Stats'!CX102</f>
        <v>Active</v>
      </c>
      <c r="R104" s="79"/>
      <c r="S104" s="79"/>
      <c r="T104" s="79"/>
      <c r="U104" s="79"/>
      <c r="V104" s="79"/>
      <c r="W104" s="79"/>
      <c r="X104" s="79"/>
      <c r="Y104" s="79"/>
      <c r="Z104" s="79"/>
    </row>
    <row r="105" ht="14.25" customHeight="1">
      <c r="A105" s="76" t="str">
        <f>'Test 4-Stats'!S103</f>
        <v>Reg 104</v>
      </c>
      <c r="B105" s="77">
        <f>'Test 4-Stats'!Y103</f>
        <v>2024</v>
      </c>
      <c r="C105" s="77" t="str">
        <f>'Test 4-Stats'!W103</f>
        <v>FORD</v>
      </c>
      <c r="D105" s="77" t="str">
        <f>'Test 4-Stats'!V103</f>
        <v>ONE TON LDV DOUBLE CAB</v>
      </c>
      <c r="E105" s="77" t="str">
        <f>'Test 4-Stats'!X103</f>
        <v>RANGER 2.0 SiT D CAB BASE 4X2</v>
      </c>
      <c r="F105" s="77" t="str">
        <f t="array" ref="F105:G105">'Test 4-Stats'!Z103:AA103</f>
        <v>DIESEL</v>
      </c>
      <c r="G105" s="77">
        <v>1998.0</v>
      </c>
      <c r="H105" s="77" t="str">
        <f t="array" ref="H105:M105">'Test 4-Stats'!C103:H103</f>
        <v>Business Unit 2</v>
      </c>
      <c r="I105" s="77" t="s">
        <v>125</v>
      </c>
      <c r="J105" s="77" t="s">
        <v>126</v>
      </c>
      <c r="K105" s="77" t="s">
        <v>176</v>
      </c>
      <c r="L105" s="77" t="s">
        <v>140</v>
      </c>
      <c r="M105" s="77" t="s">
        <v>129</v>
      </c>
      <c r="N105" s="78">
        <f t="array" ref="N105:P105">'Test 4-Stats'!AL103:AN103</f>
        <v>43958</v>
      </c>
      <c r="O105" s="78">
        <v>45784.0</v>
      </c>
      <c r="P105" s="77">
        <v>60.0</v>
      </c>
      <c r="Q105" s="77" t="str">
        <f>'Test 4-Stats'!CX103</f>
        <v>Active</v>
      </c>
      <c r="R105" s="79"/>
      <c r="S105" s="79"/>
      <c r="T105" s="79"/>
      <c r="U105" s="79"/>
      <c r="V105" s="79"/>
      <c r="W105" s="79"/>
      <c r="X105" s="79"/>
      <c r="Y105" s="79"/>
      <c r="Z105" s="79"/>
    </row>
    <row r="106" ht="14.25" customHeight="1">
      <c r="A106" s="76" t="str">
        <f>'Test 4-Stats'!S104</f>
        <v>Reg 105</v>
      </c>
      <c r="B106" s="77">
        <f>'Test 4-Stats'!Y104</f>
        <v>2024</v>
      </c>
      <c r="C106" s="77" t="str">
        <f>'Test 4-Stats'!W104</f>
        <v>SUZUKI</v>
      </c>
      <c r="D106" s="77" t="str">
        <f>'Test 4-Stats'!V104</f>
        <v>SEDAN</v>
      </c>
      <c r="E106" s="77" t="str">
        <f>'Test 4-Stats'!X104</f>
        <v>DZIRE 1.2I GA</v>
      </c>
      <c r="F106" s="77" t="str">
        <f t="array" ref="F106:G106">'Test 4-Stats'!Z104:AA104</f>
        <v>PETROL</v>
      </c>
      <c r="G106" s="77">
        <v>1198.0</v>
      </c>
      <c r="H106" s="77" t="str">
        <f t="array" ref="H106:M106">'Test 4-Stats'!C104:H104</f>
        <v>Business Unit 3</v>
      </c>
      <c r="I106" s="77" t="s">
        <v>137</v>
      </c>
      <c r="J106" s="77" t="s">
        <v>138</v>
      </c>
      <c r="K106" s="77" t="s">
        <v>176</v>
      </c>
      <c r="L106" s="77" t="s">
        <v>140</v>
      </c>
      <c r="M106" s="77" t="s">
        <v>141</v>
      </c>
      <c r="N106" s="78">
        <f t="array" ref="N106:P106">'Test 4-Stats'!AL104:AN104</f>
        <v>44112</v>
      </c>
      <c r="O106" s="78">
        <v>45938.0</v>
      </c>
      <c r="P106" s="77">
        <v>60.0</v>
      </c>
      <c r="Q106" s="77" t="str">
        <f>'Test 4-Stats'!CX104</f>
        <v>Active</v>
      </c>
      <c r="R106" s="79"/>
      <c r="S106" s="79"/>
      <c r="T106" s="79"/>
      <c r="U106" s="79"/>
      <c r="V106" s="79"/>
      <c r="W106" s="79"/>
      <c r="X106" s="79"/>
      <c r="Y106" s="79"/>
      <c r="Z106" s="79"/>
    </row>
    <row r="107" ht="14.25" customHeight="1">
      <c r="A107" s="76" t="str">
        <f>'Test 4-Stats'!S105</f>
        <v>Reg 106</v>
      </c>
      <c r="B107" s="77">
        <f>'Test 4-Stats'!Y105</f>
        <v>2024</v>
      </c>
      <c r="C107" s="77" t="str">
        <f>'Test 4-Stats'!W105</f>
        <v>FORD</v>
      </c>
      <c r="D107" s="77" t="str">
        <f>'Test 4-Stats'!V105</f>
        <v>ONE TON LDV DOUBLE CAB</v>
      </c>
      <c r="E107" s="77" t="str">
        <f>'Test 4-Stats'!X105</f>
        <v>RANGER 2.0 SiT D CAB BASE 4X2</v>
      </c>
      <c r="F107" s="77" t="str">
        <f t="array" ref="F107:G107">'Test 4-Stats'!Z105:AA105</f>
        <v>DIESEL</v>
      </c>
      <c r="G107" s="77">
        <v>1998.0</v>
      </c>
      <c r="H107" s="77" t="str">
        <f t="array" ref="H107:M107">'Test 4-Stats'!C105:H105</f>
        <v>Business Unit 1</v>
      </c>
      <c r="I107" s="77" t="s">
        <v>110</v>
      </c>
      <c r="J107" s="77" t="s">
        <v>111</v>
      </c>
      <c r="K107" s="77" t="s">
        <v>172</v>
      </c>
      <c r="L107" s="77" t="s">
        <v>140</v>
      </c>
      <c r="M107" s="77" t="s">
        <v>114</v>
      </c>
      <c r="N107" s="78">
        <f t="array" ref="N107:P107">'Test 4-Stats'!AL105:AN105</f>
        <v>43960</v>
      </c>
      <c r="O107" s="78">
        <v>45786.0</v>
      </c>
      <c r="P107" s="77">
        <v>60.0</v>
      </c>
      <c r="Q107" s="77" t="str">
        <f>'Test 4-Stats'!CX105</f>
        <v>Active</v>
      </c>
      <c r="R107" s="79"/>
      <c r="S107" s="79"/>
      <c r="T107" s="79"/>
      <c r="U107" s="79"/>
      <c r="V107" s="79"/>
      <c r="W107" s="79"/>
      <c r="X107" s="79"/>
      <c r="Y107" s="79"/>
      <c r="Z107" s="79"/>
    </row>
    <row r="108" ht="14.25" customHeight="1">
      <c r="A108" s="76" t="str">
        <f>'Test 4-Stats'!S106</f>
        <v>Reg 107</v>
      </c>
      <c r="B108" s="77">
        <f>'Test 4-Stats'!Y106</f>
        <v>2024</v>
      </c>
      <c r="C108" s="77" t="str">
        <f>'Test 4-Stats'!W106</f>
        <v>FORD</v>
      </c>
      <c r="D108" s="77" t="str">
        <f>'Test 4-Stats'!V106</f>
        <v>ONE TON LDV DOUBLE CAB</v>
      </c>
      <c r="E108" s="77" t="str">
        <f>'Test 4-Stats'!X106</f>
        <v>RANGER 2.0 SiT D CAB BASE 4X2</v>
      </c>
      <c r="F108" s="77" t="str">
        <f t="array" ref="F108:G108">'Test 4-Stats'!Z106:AA106</f>
        <v>DIESEL</v>
      </c>
      <c r="G108" s="77">
        <v>1998.0</v>
      </c>
      <c r="H108" s="77" t="str">
        <f t="array" ref="H108:M108">'Test 4-Stats'!C106:H106</f>
        <v>Business Unit 2</v>
      </c>
      <c r="I108" s="77" t="s">
        <v>125</v>
      </c>
      <c r="J108" s="77" t="s">
        <v>126</v>
      </c>
      <c r="K108" s="77" t="s">
        <v>402</v>
      </c>
      <c r="L108" s="77" t="s">
        <v>140</v>
      </c>
      <c r="M108" s="77" t="s">
        <v>129</v>
      </c>
      <c r="N108" s="78">
        <f t="array" ref="N108:P108">'Test 4-Stats'!AL106:AN106</f>
        <v>44053</v>
      </c>
      <c r="O108" s="78">
        <v>45879.0</v>
      </c>
      <c r="P108" s="77">
        <v>60.0</v>
      </c>
      <c r="Q108" s="77" t="str">
        <f>'Test 4-Stats'!CX106</f>
        <v>Active</v>
      </c>
      <c r="R108" s="79"/>
      <c r="S108" s="79"/>
      <c r="T108" s="79"/>
      <c r="U108" s="79"/>
      <c r="V108" s="79"/>
      <c r="W108" s="79"/>
      <c r="X108" s="79"/>
      <c r="Y108" s="79"/>
      <c r="Z108" s="79"/>
    </row>
    <row r="109" ht="14.25" customHeight="1">
      <c r="A109" s="76" t="str">
        <f>'Test 4-Stats'!S107</f>
        <v>Reg 108</v>
      </c>
      <c r="B109" s="77">
        <f>'Test 4-Stats'!Y107</f>
        <v>2024</v>
      </c>
      <c r="C109" s="77" t="str">
        <f>'Test 4-Stats'!W107</f>
        <v>FORD</v>
      </c>
      <c r="D109" s="77" t="str">
        <f>'Test 4-Stats'!V107</f>
        <v>ONE TON LDV DOUBLE CAB</v>
      </c>
      <c r="E109" s="77" t="str">
        <f>'Test 4-Stats'!X107</f>
        <v>RANGER 2.0 SiT D CAB BASE 4X2</v>
      </c>
      <c r="F109" s="77" t="str">
        <f t="array" ref="F109:G109">'Test 4-Stats'!Z107:AA107</f>
        <v>DIESEL</v>
      </c>
      <c r="G109" s="77">
        <v>1998.0</v>
      </c>
      <c r="H109" s="77" t="str">
        <f t="array" ref="H109:M109">'Test 4-Stats'!C107:H107</f>
        <v>Business Unit 3</v>
      </c>
      <c r="I109" s="77" t="s">
        <v>137</v>
      </c>
      <c r="J109" s="77" t="s">
        <v>138</v>
      </c>
      <c r="K109" s="77" t="s">
        <v>402</v>
      </c>
      <c r="L109" s="77" t="s">
        <v>140</v>
      </c>
      <c r="M109" s="77" t="s">
        <v>141</v>
      </c>
      <c r="N109" s="78">
        <f t="array" ref="N109:P109">'Test 4-Stats'!AL107:AN107</f>
        <v>43962</v>
      </c>
      <c r="O109" s="78">
        <v>45788.0</v>
      </c>
      <c r="P109" s="77">
        <v>60.0</v>
      </c>
      <c r="Q109" s="77" t="str">
        <f>'Test 4-Stats'!CX107</f>
        <v>Active</v>
      </c>
      <c r="R109" s="79"/>
      <c r="S109" s="79"/>
      <c r="T109" s="79"/>
      <c r="U109" s="79"/>
      <c r="V109" s="79"/>
      <c r="W109" s="79"/>
      <c r="X109" s="79"/>
      <c r="Y109" s="79"/>
      <c r="Z109" s="79"/>
    </row>
    <row r="110" ht="14.25" customHeight="1">
      <c r="A110" s="76" t="str">
        <f>'Test 4-Stats'!S108</f>
        <v>Reg 109</v>
      </c>
      <c r="B110" s="77">
        <f>'Test 4-Stats'!Y108</f>
        <v>2024</v>
      </c>
      <c r="C110" s="77" t="str">
        <f>'Test 4-Stats'!W108</f>
        <v>FORD</v>
      </c>
      <c r="D110" s="77" t="str">
        <f>'Test 4-Stats'!V108</f>
        <v>ONE TON LDV DOUBLE CAB</v>
      </c>
      <c r="E110" s="77" t="str">
        <f>'Test 4-Stats'!X108</f>
        <v>RANGER 2.0 SiT D CAB BASE 4X2</v>
      </c>
      <c r="F110" s="77" t="str">
        <f t="array" ref="F110:G110">'Test 4-Stats'!Z108:AA108</f>
        <v>DIESEL</v>
      </c>
      <c r="G110" s="77">
        <v>1998.0</v>
      </c>
      <c r="H110" s="77" t="str">
        <f t="array" ref="H110:M110">'Test 4-Stats'!C108:H108</f>
        <v>Business Unit 1</v>
      </c>
      <c r="I110" s="77" t="s">
        <v>110</v>
      </c>
      <c r="J110" s="77" t="s">
        <v>111</v>
      </c>
      <c r="K110" s="77" t="s">
        <v>176</v>
      </c>
      <c r="L110" s="77" t="s">
        <v>140</v>
      </c>
      <c r="M110" s="77" t="s">
        <v>114</v>
      </c>
      <c r="N110" s="78">
        <f t="array" ref="N110:P110">'Test 4-Stats'!AL108:AN108</f>
        <v>43963</v>
      </c>
      <c r="O110" s="78">
        <v>45789.0</v>
      </c>
      <c r="P110" s="77">
        <v>60.0</v>
      </c>
      <c r="Q110" s="77" t="str">
        <f>'Test 4-Stats'!CX108</f>
        <v>Active</v>
      </c>
      <c r="R110" s="79"/>
      <c r="S110" s="79"/>
      <c r="T110" s="79"/>
      <c r="U110" s="79"/>
      <c r="V110" s="79"/>
      <c r="W110" s="79"/>
      <c r="X110" s="79"/>
      <c r="Y110" s="79"/>
      <c r="Z110" s="79"/>
    </row>
    <row r="111" ht="14.25" customHeight="1">
      <c r="A111" s="76" t="str">
        <f>'Test 4-Stats'!S109</f>
        <v>Reg 110</v>
      </c>
      <c r="B111" s="77">
        <f>'Test 4-Stats'!Y109</f>
        <v>2024</v>
      </c>
      <c r="C111" s="77" t="str">
        <f>'Test 4-Stats'!W109</f>
        <v>FORD</v>
      </c>
      <c r="D111" s="77" t="str">
        <f>'Test 4-Stats'!V109</f>
        <v>ONE TON LDV DOUBLE CAB</v>
      </c>
      <c r="E111" s="77" t="str">
        <f>'Test 4-Stats'!X109</f>
        <v>RANGER 2.0 SiT D CAB BASE 4X2</v>
      </c>
      <c r="F111" s="77" t="str">
        <f t="array" ref="F111:G111">'Test 4-Stats'!Z109:AA109</f>
        <v>DIESEL</v>
      </c>
      <c r="G111" s="77">
        <v>1998.0</v>
      </c>
      <c r="H111" s="77" t="str">
        <f t="array" ref="H111:M111">'Test 4-Stats'!C109:H109</f>
        <v>Business Unit 2</v>
      </c>
      <c r="I111" s="77" t="s">
        <v>125</v>
      </c>
      <c r="J111" s="77" t="s">
        <v>126</v>
      </c>
      <c r="K111" s="77" t="s">
        <v>196</v>
      </c>
      <c r="L111" s="77" t="s">
        <v>140</v>
      </c>
      <c r="M111" s="77" t="s">
        <v>129</v>
      </c>
      <c r="N111" s="78">
        <f t="array" ref="N111:P111">'Test 4-Stats'!AL109:AN109</f>
        <v>44025</v>
      </c>
      <c r="O111" s="78">
        <v>45851.0</v>
      </c>
      <c r="P111" s="77">
        <v>60.0</v>
      </c>
      <c r="Q111" s="77" t="str">
        <f>'Test 4-Stats'!CX109</f>
        <v>Active</v>
      </c>
      <c r="R111" s="79"/>
      <c r="S111" s="79"/>
      <c r="T111" s="79"/>
      <c r="U111" s="79"/>
      <c r="V111" s="79"/>
      <c r="W111" s="79"/>
      <c r="X111" s="79"/>
      <c r="Y111" s="79"/>
      <c r="Z111" s="79"/>
    </row>
    <row r="112" ht="14.25" customHeight="1">
      <c r="A112" s="76" t="str">
        <f>'Test 4-Stats'!S110</f>
        <v>Reg 111</v>
      </c>
      <c r="B112" s="77">
        <f>'Test 4-Stats'!Y110</f>
        <v>2024</v>
      </c>
      <c r="C112" s="77" t="str">
        <f>'Test 4-Stats'!W110</f>
        <v>FORD</v>
      </c>
      <c r="D112" s="77" t="str">
        <f>'Test 4-Stats'!V110</f>
        <v>ONE TON LDV DOUBLE CAB</v>
      </c>
      <c r="E112" s="77" t="str">
        <f>'Test 4-Stats'!X110</f>
        <v>RANGER 2.0 SiT D CAB BASE 4X2</v>
      </c>
      <c r="F112" s="77" t="str">
        <f t="array" ref="F112:G112">'Test 4-Stats'!Z110:AA110</f>
        <v>DIESEL</v>
      </c>
      <c r="G112" s="77">
        <v>1998.0</v>
      </c>
      <c r="H112" s="77" t="str">
        <f t="array" ref="H112:M112">'Test 4-Stats'!C110:H110</f>
        <v>Business Unit 3</v>
      </c>
      <c r="I112" s="77" t="s">
        <v>137</v>
      </c>
      <c r="J112" s="77" t="s">
        <v>138</v>
      </c>
      <c r="K112" s="77" t="s">
        <v>196</v>
      </c>
      <c r="L112" s="77" t="s">
        <v>140</v>
      </c>
      <c r="M112" s="77" t="s">
        <v>141</v>
      </c>
      <c r="N112" s="78">
        <f t="array" ref="N112:P112">'Test 4-Stats'!AL110:AN110</f>
        <v>43965</v>
      </c>
      <c r="O112" s="78">
        <v>45791.0</v>
      </c>
      <c r="P112" s="77">
        <v>60.0</v>
      </c>
      <c r="Q112" s="77" t="str">
        <f>'Test 4-Stats'!CX110</f>
        <v>Active</v>
      </c>
      <c r="R112" s="79"/>
      <c r="S112" s="79"/>
      <c r="T112" s="79"/>
      <c r="U112" s="79"/>
      <c r="V112" s="79"/>
      <c r="W112" s="79"/>
      <c r="X112" s="79"/>
      <c r="Y112" s="79"/>
      <c r="Z112" s="79"/>
    </row>
    <row r="113" ht="14.25" customHeight="1">
      <c r="A113" s="76" t="str">
        <f>'Test 4-Stats'!S111</f>
        <v>Reg 112</v>
      </c>
      <c r="B113" s="77">
        <f>'Test 4-Stats'!Y111</f>
        <v>2024</v>
      </c>
      <c r="C113" s="77" t="str">
        <f>'Test 4-Stats'!W111</f>
        <v>FORD</v>
      </c>
      <c r="D113" s="77" t="str">
        <f>'Test 4-Stats'!V111</f>
        <v>ONE TON LDV DOUBLE CAB</v>
      </c>
      <c r="E113" s="77" t="str">
        <f>'Test 4-Stats'!X111</f>
        <v>RANGER 2.0 SiT D CAB BASE 4X2</v>
      </c>
      <c r="F113" s="77" t="str">
        <f t="array" ref="F113:G113">'Test 4-Stats'!Z111:AA111</f>
        <v>DIESEL</v>
      </c>
      <c r="G113" s="77">
        <v>1998.0</v>
      </c>
      <c r="H113" s="77" t="str">
        <f t="array" ref="H113:M113">'Test 4-Stats'!C111:H111</f>
        <v>Business Unit 1</v>
      </c>
      <c r="I113" s="77" t="s">
        <v>110</v>
      </c>
      <c r="J113" s="77" t="s">
        <v>111</v>
      </c>
      <c r="K113" s="77" t="s">
        <v>196</v>
      </c>
      <c r="L113" s="77" t="s">
        <v>140</v>
      </c>
      <c r="M113" s="77" t="s">
        <v>114</v>
      </c>
      <c r="N113" s="78">
        <f t="array" ref="N113:P113">'Test 4-Stats'!AL111:AN111</f>
        <v>43966</v>
      </c>
      <c r="O113" s="78">
        <v>45792.0</v>
      </c>
      <c r="P113" s="77">
        <v>60.0</v>
      </c>
      <c r="Q113" s="77" t="str">
        <f>'Test 4-Stats'!CX111</f>
        <v>Active</v>
      </c>
      <c r="R113" s="79"/>
      <c r="S113" s="79"/>
      <c r="T113" s="79"/>
      <c r="U113" s="79"/>
      <c r="V113" s="79"/>
      <c r="W113" s="79"/>
      <c r="X113" s="79"/>
      <c r="Y113" s="79"/>
      <c r="Z113" s="79"/>
    </row>
    <row r="114" ht="14.25" customHeight="1">
      <c r="A114" s="76" t="str">
        <f>'Test 4-Stats'!S112</f>
        <v>Reg 113</v>
      </c>
      <c r="B114" s="77">
        <f>'Test 4-Stats'!Y112</f>
        <v>2024</v>
      </c>
      <c r="C114" s="77" t="str">
        <f>'Test 4-Stats'!W112</f>
        <v>FORD</v>
      </c>
      <c r="D114" s="77" t="str">
        <f>'Test 4-Stats'!V112</f>
        <v>ONE TON LDV DOUBLE CAB</v>
      </c>
      <c r="E114" s="77" t="str">
        <f>'Test 4-Stats'!X112</f>
        <v>RANGER 2.0 SiT D CAB BASE 4X2</v>
      </c>
      <c r="F114" s="77" t="str">
        <f t="array" ref="F114:G114">'Test 4-Stats'!Z112:AA112</f>
        <v>DIESEL</v>
      </c>
      <c r="G114" s="77">
        <v>1998.0</v>
      </c>
      <c r="H114" s="77" t="str">
        <f t="array" ref="H114:M114">'Test 4-Stats'!C112:H112</f>
        <v>Business Unit 2</v>
      </c>
      <c r="I114" s="77" t="s">
        <v>125</v>
      </c>
      <c r="J114" s="77" t="s">
        <v>126</v>
      </c>
      <c r="K114" s="77" t="s">
        <v>196</v>
      </c>
      <c r="L114" s="77" t="s">
        <v>140</v>
      </c>
      <c r="M114" s="77" t="s">
        <v>129</v>
      </c>
      <c r="N114" s="78">
        <f t="array" ref="N114:P114">'Test 4-Stats'!AL112:AN112</f>
        <v>43967</v>
      </c>
      <c r="O114" s="78">
        <v>45793.0</v>
      </c>
      <c r="P114" s="77">
        <v>60.0</v>
      </c>
      <c r="Q114" s="77" t="str">
        <f>'Test 4-Stats'!CX112</f>
        <v>Active</v>
      </c>
      <c r="R114" s="79"/>
      <c r="S114" s="79"/>
      <c r="T114" s="79"/>
      <c r="U114" s="79"/>
      <c r="V114" s="79"/>
      <c r="W114" s="79"/>
      <c r="X114" s="79"/>
      <c r="Y114" s="79"/>
      <c r="Z114" s="79"/>
    </row>
    <row r="115" ht="14.25" customHeight="1">
      <c r="A115" s="76" t="str">
        <f>'Test 4-Stats'!S113</f>
        <v>Reg 114</v>
      </c>
      <c r="B115" s="77">
        <f>'Test 4-Stats'!Y113</f>
        <v>2024</v>
      </c>
      <c r="C115" s="77" t="str">
        <f>'Test 4-Stats'!W113</f>
        <v>FORD</v>
      </c>
      <c r="D115" s="77" t="str">
        <f>'Test 4-Stats'!V113</f>
        <v>ONE TON LDV DOUBLE CAB</v>
      </c>
      <c r="E115" s="77" t="str">
        <f>'Test 4-Stats'!X113</f>
        <v>RANGER 2.0 SiT D CAB BASE 4X2</v>
      </c>
      <c r="F115" s="77" t="str">
        <f t="array" ref="F115:G115">'Test 4-Stats'!Z113:AA113</f>
        <v>DIESEL</v>
      </c>
      <c r="G115" s="77">
        <v>1998.0</v>
      </c>
      <c r="H115" s="77" t="str">
        <f t="array" ref="H115:M115">'Test 4-Stats'!C113:H113</f>
        <v>Business Unit 1</v>
      </c>
      <c r="I115" s="77" t="s">
        <v>137</v>
      </c>
      <c r="J115" s="77" t="s">
        <v>138</v>
      </c>
      <c r="K115" s="77" t="s">
        <v>196</v>
      </c>
      <c r="L115" s="77" t="s">
        <v>140</v>
      </c>
      <c r="M115" s="77" t="s">
        <v>141</v>
      </c>
      <c r="N115" s="78">
        <f t="array" ref="N115:P115">'Test 4-Stats'!AL113:AN113</f>
        <v>44091</v>
      </c>
      <c r="O115" s="78">
        <v>45917.0</v>
      </c>
      <c r="P115" s="77">
        <v>60.0</v>
      </c>
      <c r="Q115" s="77" t="str">
        <f>'Test 4-Stats'!CX113</f>
        <v>Active</v>
      </c>
      <c r="R115" s="79"/>
      <c r="S115" s="79"/>
      <c r="T115" s="79"/>
      <c r="U115" s="79"/>
      <c r="V115" s="79"/>
      <c r="W115" s="79"/>
      <c r="X115" s="79"/>
      <c r="Y115" s="79"/>
      <c r="Z115" s="79"/>
    </row>
    <row r="116" ht="14.25" customHeight="1">
      <c r="A116" s="76" t="str">
        <f>'Test 4-Stats'!S114</f>
        <v>Reg 115</v>
      </c>
      <c r="B116" s="77">
        <f>'Test 4-Stats'!Y114</f>
        <v>2024</v>
      </c>
      <c r="C116" s="77" t="str">
        <f>'Test 4-Stats'!W114</f>
        <v>FORD</v>
      </c>
      <c r="D116" s="77" t="str">
        <f>'Test 4-Stats'!V114</f>
        <v>ONE TON LDV DOUBLE CAB</v>
      </c>
      <c r="E116" s="77" t="str">
        <f>'Test 4-Stats'!X114</f>
        <v>RANGER 2.0 SiT D CAB BASE 4X2</v>
      </c>
      <c r="F116" s="77" t="str">
        <f t="array" ref="F116:G116">'Test 4-Stats'!Z114:AA114</f>
        <v>DIESEL</v>
      </c>
      <c r="G116" s="77">
        <v>1998.0</v>
      </c>
      <c r="H116" s="77" t="str">
        <f t="array" ref="H116:M116">'Test 4-Stats'!C114:H114</f>
        <v>Business Unit 2</v>
      </c>
      <c r="I116" s="77" t="s">
        <v>110</v>
      </c>
      <c r="J116" s="77" t="s">
        <v>111</v>
      </c>
      <c r="K116" s="77" t="s">
        <v>196</v>
      </c>
      <c r="L116" s="77" t="s">
        <v>140</v>
      </c>
      <c r="M116" s="77" t="s">
        <v>114</v>
      </c>
      <c r="N116" s="78">
        <f t="array" ref="N116:P116">'Test 4-Stats'!AL114:AN114</f>
        <v>43969</v>
      </c>
      <c r="O116" s="78">
        <v>45795.0</v>
      </c>
      <c r="P116" s="77">
        <v>60.0</v>
      </c>
      <c r="Q116" s="77" t="str">
        <f>'Test 4-Stats'!CX114</f>
        <v>Active</v>
      </c>
      <c r="R116" s="79"/>
      <c r="S116" s="79"/>
      <c r="T116" s="79"/>
      <c r="U116" s="79"/>
      <c r="V116" s="79"/>
      <c r="W116" s="79"/>
      <c r="X116" s="79"/>
      <c r="Y116" s="79"/>
      <c r="Z116" s="79"/>
    </row>
    <row r="117" ht="14.25" customHeight="1">
      <c r="A117" s="76" t="str">
        <f>'Test 4-Stats'!S115</f>
        <v>Reg 116</v>
      </c>
      <c r="B117" s="77">
        <f>'Test 4-Stats'!Y115</f>
        <v>2024</v>
      </c>
      <c r="C117" s="77" t="str">
        <f>'Test 4-Stats'!W115</f>
        <v>FORD</v>
      </c>
      <c r="D117" s="77" t="str">
        <f>'Test 4-Stats'!V115</f>
        <v>ONE TON LDV DOUBLE CAB</v>
      </c>
      <c r="E117" s="77" t="str">
        <f>'Test 4-Stats'!X115</f>
        <v>RANGER 2.0 SiT D CAB BASE 4X2</v>
      </c>
      <c r="F117" s="77" t="str">
        <f t="array" ref="F117:G117">'Test 4-Stats'!Z115:AA115</f>
        <v>DIESEL</v>
      </c>
      <c r="G117" s="77">
        <v>1998.0</v>
      </c>
      <c r="H117" s="77" t="str">
        <f t="array" ref="H117:M117">'Test 4-Stats'!C115:H115</f>
        <v>Business Unit 3</v>
      </c>
      <c r="I117" s="77" t="s">
        <v>125</v>
      </c>
      <c r="J117" s="77" t="s">
        <v>126</v>
      </c>
      <c r="K117" s="77" t="s">
        <v>196</v>
      </c>
      <c r="L117" s="77" t="s">
        <v>140</v>
      </c>
      <c r="M117" s="77" t="s">
        <v>129</v>
      </c>
      <c r="N117" s="78">
        <f t="array" ref="N117:P117">'Test 4-Stats'!AL115:AN115</f>
        <v>43970</v>
      </c>
      <c r="O117" s="78">
        <v>45796.0</v>
      </c>
      <c r="P117" s="77">
        <v>60.0</v>
      </c>
      <c r="Q117" s="77" t="str">
        <f>'Test 4-Stats'!CX115</f>
        <v>Active</v>
      </c>
      <c r="R117" s="79"/>
      <c r="S117" s="79"/>
      <c r="T117" s="79"/>
      <c r="U117" s="79"/>
      <c r="V117" s="79"/>
      <c r="W117" s="79"/>
      <c r="X117" s="79"/>
      <c r="Y117" s="79"/>
      <c r="Z117" s="79"/>
    </row>
    <row r="118" ht="14.25" customHeight="1">
      <c r="A118" s="76" t="str">
        <f>'Test 4-Stats'!S116</f>
        <v>Reg 117</v>
      </c>
      <c r="B118" s="77">
        <f>'Test 4-Stats'!Y116</f>
        <v>2024</v>
      </c>
      <c r="C118" s="77" t="str">
        <f>'Test 4-Stats'!W116</f>
        <v>FORD</v>
      </c>
      <c r="D118" s="77" t="str">
        <f>'Test 4-Stats'!V116</f>
        <v>ONE TON LDV DOUBLE CAB</v>
      </c>
      <c r="E118" s="77" t="str">
        <f>'Test 4-Stats'!X116</f>
        <v>RANGER 2.0 SiT D CAB BASE 4X2</v>
      </c>
      <c r="F118" s="77" t="str">
        <f t="array" ref="F118:G118">'Test 4-Stats'!Z116:AA116</f>
        <v>DIESEL</v>
      </c>
      <c r="G118" s="77">
        <v>1998.0</v>
      </c>
      <c r="H118" s="77" t="str">
        <f t="array" ref="H118:M118">'Test 4-Stats'!C116:H116</f>
        <v>Business Unit 1</v>
      </c>
      <c r="I118" s="77" t="s">
        <v>137</v>
      </c>
      <c r="J118" s="77" t="s">
        <v>138</v>
      </c>
      <c r="K118" s="77" t="s">
        <v>196</v>
      </c>
      <c r="L118" s="77" t="s">
        <v>140</v>
      </c>
      <c r="M118" s="77" t="s">
        <v>141</v>
      </c>
      <c r="N118" s="78">
        <f t="array" ref="N118:P118">'Test 4-Stats'!AL116:AN116</f>
        <v>43971</v>
      </c>
      <c r="O118" s="78">
        <v>45797.0</v>
      </c>
      <c r="P118" s="77">
        <v>60.0</v>
      </c>
      <c r="Q118" s="77" t="str">
        <f>'Test 4-Stats'!CX116</f>
        <v>Active</v>
      </c>
      <c r="R118" s="79"/>
      <c r="S118" s="79"/>
      <c r="T118" s="79"/>
      <c r="U118" s="79"/>
      <c r="V118" s="79"/>
      <c r="W118" s="79"/>
      <c r="X118" s="79"/>
      <c r="Y118" s="79"/>
      <c r="Z118" s="79"/>
    </row>
    <row r="119" ht="14.25" customHeight="1">
      <c r="A119" s="76" t="str">
        <f>'Test 4-Stats'!S117</f>
        <v>Reg 118</v>
      </c>
      <c r="B119" s="77">
        <f>'Test 4-Stats'!Y117</f>
        <v>2024</v>
      </c>
      <c r="C119" s="77" t="str">
        <f>'Test 4-Stats'!W117</f>
        <v>FORD</v>
      </c>
      <c r="D119" s="77" t="str">
        <f>'Test 4-Stats'!V117</f>
        <v>ONE TON LDV DOUBLE CAB</v>
      </c>
      <c r="E119" s="77" t="str">
        <f>'Test 4-Stats'!X117</f>
        <v>RANGER 2.0 SiT D CAB BASE 4X2</v>
      </c>
      <c r="F119" s="77" t="str">
        <f t="array" ref="F119:G119">'Test 4-Stats'!Z117:AA117</f>
        <v>DIESEL</v>
      </c>
      <c r="G119" s="77">
        <v>1998.0</v>
      </c>
      <c r="H119" s="77" t="str">
        <f t="array" ref="H119:M119">'Test 4-Stats'!C117:H117</f>
        <v>Business Unit 2</v>
      </c>
      <c r="I119" s="77" t="s">
        <v>110</v>
      </c>
      <c r="J119" s="77" t="s">
        <v>111</v>
      </c>
      <c r="K119" s="77" t="s">
        <v>196</v>
      </c>
      <c r="L119" s="77" t="s">
        <v>140</v>
      </c>
      <c r="M119" s="77" t="s">
        <v>114</v>
      </c>
      <c r="N119" s="78">
        <f t="array" ref="N119:P119">'Test 4-Stats'!AL117:AN117</f>
        <v>43972</v>
      </c>
      <c r="O119" s="78">
        <v>45798.0</v>
      </c>
      <c r="P119" s="77">
        <v>60.0</v>
      </c>
      <c r="Q119" s="77" t="str">
        <f>'Test 4-Stats'!CX117</f>
        <v>Active</v>
      </c>
      <c r="R119" s="79"/>
      <c r="S119" s="79"/>
      <c r="T119" s="79"/>
      <c r="U119" s="79"/>
      <c r="V119" s="79"/>
      <c r="W119" s="79"/>
      <c r="X119" s="79"/>
      <c r="Y119" s="79"/>
      <c r="Z119" s="79"/>
    </row>
    <row r="120" ht="14.25" customHeight="1">
      <c r="A120" s="76" t="str">
        <f>'Test 4-Stats'!S118</f>
        <v>Reg 119</v>
      </c>
      <c r="B120" s="77">
        <f>'Test 4-Stats'!Y118</f>
        <v>2024</v>
      </c>
      <c r="C120" s="77" t="str">
        <f>'Test 4-Stats'!W118</f>
        <v>FORD</v>
      </c>
      <c r="D120" s="77" t="str">
        <f>'Test 4-Stats'!V118</f>
        <v>ONE TON LDV DOUBLE CAB</v>
      </c>
      <c r="E120" s="77" t="str">
        <f>'Test 4-Stats'!X118</f>
        <v>RANGER 2.0 SiT D CAB BASE 4X2</v>
      </c>
      <c r="F120" s="77" t="str">
        <f t="array" ref="F120:G120">'Test 4-Stats'!Z118:AA118</f>
        <v>DIESEL</v>
      </c>
      <c r="G120" s="77">
        <v>1998.0</v>
      </c>
      <c r="H120" s="77" t="str">
        <f t="array" ref="H120:M120">'Test 4-Stats'!C118:H118</f>
        <v>Business Unit 3</v>
      </c>
      <c r="I120" s="77" t="s">
        <v>125</v>
      </c>
      <c r="J120" s="77" t="s">
        <v>126</v>
      </c>
      <c r="K120" s="77" t="s">
        <v>196</v>
      </c>
      <c r="L120" s="77" t="s">
        <v>140</v>
      </c>
      <c r="M120" s="77" t="s">
        <v>129</v>
      </c>
      <c r="N120" s="78">
        <f t="array" ref="N120:P120">'Test 4-Stats'!AL118:AN118</f>
        <v>44187</v>
      </c>
      <c r="O120" s="78">
        <v>46013.0</v>
      </c>
      <c r="P120" s="77">
        <v>60.0</v>
      </c>
      <c r="Q120" s="77" t="str">
        <f>'Test 4-Stats'!CX118</f>
        <v>Active</v>
      </c>
      <c r="R120" s="79"/>
      <c r="S120" s="79"/>
      <c r="T120" s="79"/>
      <c r="U120" s="79"/>
      <c r="V120" s="79"/>
      <c r="W120" s="79"/>
      <c r="X120" s="79"/>
      <c r="Y120" s="79"/>
      <c r="Z120" s="79"/>
    </row>
    <row r="121" ht="14.25" customHeight="1">
      <c r="A121" s="76" t="str">
        <f>'Test 4-Stats'!S119</f>
        <v>Reg 120</v>
      </c>
      <c r="B121" s="77">
        <f>'Test 4-Stats'!Y119</f>
        <v>2024</v>
      </c>
      <c r="C121" s="77" t="str">
        <f>'Test 4-Stats'!W119</f>
        <v>FORD</v>
      </c>
      <c r="D121" s="77" t="str">
        <f>'Test 4-Stats'!V119</f>
        <v>ONE TON LDV DOUBLE CAB</v>
      </c>
      <c r="E121" s="77" t="str">
        <f>'Test 4-Stats'!X119</f>
        <v>RANGER 2.0 SiT D CAB BASE 4X2</v>
      </c>
      <c r="F121" s="77" t="str">
        <f t="array" ref="F121:G121">'Test 4-Stats'!Z119:AA119</f>
        <v>DIESEL</v>
      </c>
      <c r="G121" s="77">
        <v>1998.0</v>
      </c>
      <c r="H121" s="77" t="str">
        <f t="array" ref="H121:M121">'Test 4-Stats'!C119:H119</f>
        <v>Business Unit 1</v>
      </c>
      <c r="I121" s="77" t="s">
        <v>137</v>
      </c>
      <c r="J121" s="77" t="s">
        <v>138</v>
      </c>
      <c r="K121" s="77" t="s">
        <v>196</v>
      </c>
      <c r="L121" s="77" t="s">
        <v>140</v>
      </c>
      <c r="M121" s="77" t="s">
        <v>141</v>
      </c>
      <c r="N121" s="78">
        <f t="array" ref="N121:P121">'Test 4-Stats'!AL119:AN119</f>
        <v>43974</v>
      </c>
      <c r="O121" s="78">
        <v>45800.0</v>
      </c>
      <c r="P121" s="77">
        <v>60.0</v>
      </c>
      <c r="Q121" s="77" t="str">
        <f>'Test 4-Stats'!CX119</f>
        <v>Active</v>
      </c>
      <c r="R121" s="79"/>
      <c r="S121" s="79"/>
      <c r="T121" s="79"/>
      <c r="U121" s="79"/>
      <c r="V121" s="79"/>
      <c r="W121" s="79"/>
      <c r="X121" s="79"/>
      <c r="Y121" s="79"/>
      <c r="Z121" s="79"/>
    </row>
    <row r="122" ht="14.25" customHeight="1">
      <c r="A122" s="76" t="str">
        <f>'Test 4-Stats'!S120</f>
        <v>Reg 121</v>
      </c>
      <c r="B122" s="77">
        <f>'Test 4-Stats'!Y120</f>
        <v>2024</v>
      </c>
      <c r="C122" s="77" t="str">
        <f>'Test 4-Stats'!W120</f>
        <v>NISSAN</v>
      </c>
      <c r="D122" s="77" t="str">
        <f>'Test 4-Stats'!V120</f>
        <v>ONE TON LDV SINGLE CAB</v>
      </c>
      <c r="E122" s="77" t="str">
        <f>'Test 4-Stats'!X120</f>
        <v>NAVARA 2.5D SE 4X2 S CAB</v>
      </c>
      <c r="F122" s="77" t="str">
        <f t="array" ref="F122:G122">'Test 4-Stats'!Z120:AA120</f>
        <v>DIESEL</v>
      </c>
      <c r="G122" s="77">
        <v>2498.0</v>
      </c>
      <c r="H122" s="77" t="str">
        <f t="array" ref="H122:M122">'Test 4-Stats'!C120:H120</f>
        <v>Business Unit 2</v>
      </c>
      <c r="I122" s="77" t="s">
        <v>110</v>
      </c>
      <c r="J122" s="77" t="s">
        <v>111</v>
      </c>
      <c r="K122" s="77" t="s">
        <v>196</v>
      </c>
      <c r="L122" s="77" t="s">
        <v>140</v>
      </c>
      <c r="M122" s="77" t="s">
        <v>114</v>
      </c>
      <c r="N122" s="78">
        <f t="array" ref="N122:P122">'Test 4-Stats'!AL120:AN120</f>
        <v>43975</v>
      </c>
      <c r="O122" s="78">
        <v>45801.0</v>
      </c>
      <c r="P122" s="77">
        <v>60.0</v>
      </c>
      <c r="Q122" s="77" t="str">
        <f>'Test 4-Stats'!CX120</f>
        <v>Active</v>
      </c>
      <c r="R122" s="79"/>
      <c r="S122" s="79"/>
      <c r="T122" s="79"/>
      <c r="U122" s="79"/>
      <c r="V122" s="79"/>
      <c r="W122" s="79"/>
      <c r="X122" s="79"/>
      <c r="Y122" s="79"/>
      <c r="Z122" s="79"/>
    </row>
    <row r="123" ht="14.25" customHeight="1">
      <c r="A123" s="76" t="str">
        <f>'Test 4-Stats'!S121</f>
        <v>Reg 122</v>
      </c>
      <c r="B123" s="77">
        <f>'Test 4-Stats'!Y121</f>
        <v>2024</v>
      </c>
      <c r="C123" s="77" t="str">
        <f>'Test 4-Stats'!W121</f>
        <v>NISSAN</v>
      </c>
      <c r="D123" s="77" t="str">
        <f>'Test 4-Stats'!V121</f>
        <v>ONE TON LDV SINGLE CAB</v>
      </c>
      <c r="E123" s="77" t="str">
        <f>'Test 4-Stats'!X121</f>
        <v>NAVARA 2.5D SE 4X2 S CAB</v>
      </c>
      <c r="F123" s="77" t="str">
        <f t="array" ref="F123:G123">'Test 4-Stats'!Z121:AA121</f>
        <v>DIESEL</v>
      </c>
      <c r="G123" s="77">
        <v>2498.0</v>
      </c>
      <c r="H123" s="77" t="str">
        <f t="array" ref="H123:M123">'Test 4-Stats'!C121:H121</f>
        <v>Business Unit 3</v>
      </c>
      <c r="I123" s="77" t="s">
        <v>125</v>
      </c>
      <c r="J123" s="77" t="s">
        <v>126</v>
      </c>
      <c r="K123" s="77" t="s">
        <v>196</v>
      </c>
      <c r="L123" s="77" t="s">
        <v>140</v>
      </c>
      <c r="M123" s="77" t="s">
        <v>129</v>
      </c>
      <c r="N123" s="78">
        <f t="array" ref="N123:P123">'Test 4-Stats'!AL121:AN121</f>
        <v>43976</v>
      </c>
      <c r="O123" s="78">
        <v>45802.0</v>
      </c>
      <c r="P123" s="77">
        <v>60.0</v>
      </c>
      <c r="Q123" s="77" t="str">
        <f>'Test 4-Stats'!CX121</f>
        <v>Active</v>
      </c>
      <c r="R123" s="79"/>
      <c r="S123" s="79"/>
      <c r="T123" s="79"/>
      <c r="U123" s="79"/>
      <c r="V123" s="79"/>
      <c r="W123" s="79"/>
      <c r="X123" s="79"/>
      <c r="Y123" s="79"/>
      <c r="Z123" s="79"/>
    </row>
    <row r="124" ht="14.25" customHeight="1">
      <c r="A124" s="76" t="str">
        <f>'Test 4-Stats'!S122</f>
        <v>Reg 123</v>
      </c>
      <c r="B124" s="77">
        <f>'Test 4-Stats'!Y122</f>
        <v>2024</v>
      </c>
      <c r="C124" s="77" t="str">
        <f>'Test 4-Stats'!W122</f>
        <v>NISSAN</v>
      </c>
      <c r="D124" s="77" t="str">
        <f>'Test 4-Stats'!V122</f>
        <v>ONE TON LDV SINGLE CAB</v>
      </c>
      <c r="E124" s="77" t="str">
        <f>'Test 4-Stats'!X122</f>
        <v>NAVARA 2.5D SE 4X2 S CAB</v>
      </c>
      <c r="F124" s="77" t="str">
        <f t="array" ref="F124:G124">'Test 4-Stats'!Z122:AA122</f>
        <v>DIESEL</v>
      </c>
      <c r="G124" s="77">
        <v>2498.0</v>
      </c>
      <c r="H124" s="77" t="str">
        <f t="array" ref="H124:M124">'Test 4-Stats'!C122:H122</f>
        <v>Business Unit 1</v>
      </c>
      <c r="I124" s="77" t="s">
        <v>137</v>
      </c>
      <c r="J124" s="77" t="s">
        <v>138</v>
      </c>
      <c r="K124" s="77" t="s">
        <v>196</v>
      </c>
      <c r="L124" s="77" t="s">
        <v>140</v>
      </c>
      <c r="M124" s="77" t="s">
        <v>141</v>
      </c>
      <c r="N124" s="78">
        <f t="array" ref="N124:P124">'Test 4-Stats'!AL122:AN122</f>
        <v>44069</v>
      </c>
      <c r="O124" s="78">
        <v>45895.0</v>
      </c>
      <c r="P124" s="77">
        <v>60.0</v>
      </c>
      <c r="Q124" s="77" t="str">
        <f>'Test 4-Stats'!CX122</f>
        <v>Active</v>
      </c>
      <c r="R124" s="79"/>
      <c r="S124" s="79"/>
      <c r="T124" s="79"/>
      <c r="U124" s="79"/>
      <c r="V124" s="79"/>
      <c r="W124" s="79"/>
      <c r="X124" s="79"/>
      <c r="Y124" s="79"/>
      <c r="Z124" s="79"/>
    </row>
    <row r="125" ht="14.25" customHeight="1">
      <c r="A125" s="76" t="str">
        <f>'Test 4-Stats'!S123</f>
        <v>Reg 124</v>
      </c>
      <c r="B125" s="77">
        <f>'Test 4-Stats'!Y123</f>
        <v>2024</v>
      </c>
      <c r="C125" s="77" t="str">
        <f>'Test 4-Stats'!W123</f>
        <v>NISSAN</v>
      </c>
      <c r="D125" s="77" t="str">
        <f>'Test 4-Stats'!V123</f>
        <v>ONE TON LDV SINGLE CAB</v>
      </c>
      <c r="E125" s="77" t="str">
        <f>'Test 4-Stats'!X123</f>
        <v>NAVARA 2.5D SE 4X2 S CAB</v>
      </c>
      <c r="F125" s="77" t="str">
        <f t="array" ref="F125:G125">'Test 4-Stats'!Z123:AA123</f>
        <v>DIESEL</v>
      </c>
      <c r="G125" s="77">
        <v>2498.0</v>
      </c>
      <c r="H125" s="77" t="str">
        <f t="array" ref="H125:M125">'Test 4-Stats'!C123:H123</f>
        <v>Business Unit 2</v>
      </c>
      <c r="I125" s="77" t="s">
        <v>110</v>
      </c>
      <c r="J125" s="77" t="s">
        <v>111</v>
      </c>
      <c r="K125" s="77" t="s">
        <v>196</v>
      </c>
      <c r="L125" s="77" t="s">
        <v>140</v>
      </c>
      <c r="M125" s="77" t="s">
        <v>114</v>
      </c>
      <c r="N125" s="78">
        <f t="array" ref="N125:P125">'Test 4-Stats'!AL123:AN123</f>
        <v>43978</v>
      </c>
      <c r="O125" s="78">
        <v>45804.0</v>
      </c>
      <c r="P125" s="77">
        <v>60.0</v>
      </c>
      <c r="Q125" s="77" t="str">
        <f>'Test 4-Stats'!CX123</f>
        <v>Active</v>
      </c>
      <c r="R125" s="79"/>
      <c r="S125" s="79"/>
      <c r="T125" s="79"/>
      <c r="U125" s="79"/>
      <c r="V125" s="79"/>
      <c r="W125" s="79"/>
      <c r="X125" s="79"/>
      <c r="Y125" s="79"/>
      <c r="Z125" s="79"/>
    </row>
    <row r="126" ht="14.25" customHeight="1">
      <c r="A126" s="76" t="str">
        <f>'Test 4-Stats'!S124</f>
        <v>Reg 125</v>
      </c>
      <c r="B126" s="77">
        <f>'Test 4-Stats'!Y124</f>
        <v>2024</v>
      </c>
      <c r="C126" s="77" t="str">
        <f>'Test 4-Stats'!W124</f>
        <v>NISSAN</v>
      </c>
      <c r="D126" s="77" t="str">
        <f>'Test 4-Stats'!V124</f>
        <v>ONE TON LDV SINGLE CAB</v>
      </c>
      <c r="E126" s="77" t="str">
        <f>'Test 4-Stats'!X124</f>
        <v>NAVARA 2.5D SE 4X2 S CAB</v>
      </c>
      <c r="F126" s="77" t="str">
        <f t="array" ref="F126:G126">'Test 4-Stats'!Z124:AA124</f>
        <v>DIESEL</v>
      </c>
      <c r="G126" s="77">
        <v>2498.0</v>
      </c>
      <c r="H126" s="77" t="str">
        <f t="array" ref="H126:M126">'Test 4-Stats'!C124:H124</f>
        <v>Business Unit 3</v>
      </c>
      <c r="I126" s="77" t="s">
        <v>125</v>
      </c>
      <c r="J126" s="77" t="s">
        <v>126</v>
      </c>
      <c r="K126" s="77" t="s">
        <v>196</v>
      </c>
      <c r="L126" s="77" t="s">
        <v>140</v>
      </c>
      <c r="M126" s="77" t="s">
        <v>129</v>
      </c>
      <c r="N126" s="78">
        <f t="array" ref="N126:P126">'Test 4-Stats'!AL124:AN124</f>
        <v>44010</v>
      </c>
      <c r="O126" s="78">
        <v>45836.0</v>
      </c>
      <c r="P126" s="77">
        <v>60.0</v>
      </c>
      <c r="Q126" s="77" t="str">
        <f>'Test 4-Stats'!CX124</f>
        <v>Active</v>
      </c>
      <c r="R126" s="79"/>
      <c r="S126" s="79"/>
      <c r="T126" s="79"/>
      <c r="U126" s="79"/>
      <c r="V126" s="79"/>
      <c r="W126" s="79"/>
      <c r="X126" s="79"/>
      <c r="Y126" s="79"/>
      <c r="Z126" s="79"/>
    </row>
    <row r="127" ht="14.25" customHeight="1">
      <c r="A127" s="76" t="str">
        <f>'Test 4-Stats'!S125</f>
        <v>Reg 126</v>
      </c>
      <c r="B127" s="77">
        <f>'Test 4-Stats'!Y125</f>
        <v>2024</v>
      </c>
      <c r="C127" s="77" t="str">
        <f>'Test 4-Stats'!W125</f>
        <v>NISSAN</v>
      </c>
      <c r="D127" s="77" t="str">
        <f>'Test 4-Stats'!V125</f>
        <v>ONE TON LDV SINGLE CAB</v>
      </c>
      <c r="E127" s="77" t="str">
        <f>'Test 4-Stats'!X125</f>
        <v>NAVARA 2.5D SE 4X2 S CAB</v>
      </c>
      <c r="F127" s="77" t="str">
        <f t="array" ref="F127:G127">'Test 4-Stats'!Z125:AA125</f>
        <v>DIESEL</v>
      </c>
      <c r="G127" s="77">
        <v>2498.0</v>
      </c>
      <c r="H127" s="77" t="str">
        <f t="array" ref="H127:M127">'Test 4-Stats'!C125:H125</f>
        <v>Business Unit 1</v>
      </c>
      <c r="I127" s="77" t="s">
        <v>137</v>
      </c>
      <c r="J127" s="77" t="s">
        <v>138</v>
      </c>
      <c r="K127" s="77" t="s">
        <v>196</v>
      </c>
      <c r="L127" s="77" t="s">
        <v>140</v>
      </c>
      <c r="M127" s="77" t="s">
        <v>141</v>
      </c>
      <c r="N127" s="78">
        <f t="array" ref="N127:P127">'Test 4-Stats'!AL125:AN125</f>
        <v>43980</v>
      </c>
      <c r="O127" s="78">
        <v>45806.0</v>
      </c>
      <c r="P127" s="77">
        <v>60.0</v>
      </c>
      <c r="Q127" s="77" t="str">
        <f>'Test 4-Stats'!CX125</f>
        <v>Active</v>
      </c>
      <c r="R127" s="79"/>
      <c r="S127" s="79"/>
      <c r="T127" s="79"/>
      <c r="U127" s="79"/>
      <c r="V127" s="79"/>
      <c r="W127" s="79"/>
      <c r="X127" s="79"/>
      <c r="Y127" s="79"/>
      <c r="Z127" s="79"/>
    </row>
    <row r="128" ht="14.25" customHeight="1">
      <c r="A128" s="76" t="str">
        <f>'Test 4-Stats'!S126</f>
        <v>Reg 127</v>
      </c>
      <c r="B128" s="77">
        <f>'Test 4-Stats'!Y126</f>
        <v>2024</v>
      </c>
      <c r="C128" s="77" t="str">
        <f>'Test 4-Stats'!W126</f>
        <v>NISSAN</v>
      </c>
      <c r="D128" s="77" t="str">
        <f>'Test 4-Stats'!V126</f>
        <v>ONE TON LDV SINGLE CAB</v>
      </c>
      <c r="E128" s="77" t="str">
        <f>'Test 4-Stats'!X126</f>
        <v>NAVARA 2.5D SE 4X2 S CAB</v>
      </c>
      <c r="F128" s="77" t="str">
        <f t="array" ref="F128:G128">'Test 4-Stats'!Z126:AA126</f>
        <v>DIESEL</v>
      </c>
      <c r="G128" s="77">
        <v>2498.0</v>
      </c>
      <c r="H128" s="77" t="str">
        <f t="array" ref="H128:M128">'Test 4-Stats'!C126:H126</f>
        <v>Business Unit 2</v>
      </c>
      <c r="I128" s="77" t="s">
        <v>110</v>
      </c>
      <c r="J128" s="77" t="s">
        <v>111</v>
      </c>
      <c r="K128" s="77" t="s">
        <v>196</v>
      </c>
      <c r="L128" s="77" t="s">
        <v>140</v>
      </c>
      <c r="M128" s="77" t="s">
        <v>114</v>
      </c>
      <c r="N128" s="78">
        <f t="array" ref="N128:P128">'Test 4-Stats'!AL126:AN126</f>
        <v>43981</v>
      </c>
      <c r="O128" s="78">
        <v>45807.0</v>
      </c>
      <c r="P128" s="77">
        <v>60.0</v>
      </c>
      <c r="Q128" s="77" t="str">
        <f>'Test 4-Stats'!CX126</f>
        <v>Active</v>
      </c>
      <c r="R128" s="79"/>
      <c r="S128" s="79"/>
      <c r="T128" s="79"/>
      <c r="U128" s="79"/>
      <c r="V128" s="79"/>
      <c r="W128" s="79"/>
      <c r="X128" s="79"/>
      <c r="Y128" s="79"/>
      <c r="Z128" s="79"/>
    </row>
    <row r="129" ht="14.25" customHeight="1">
      <c r="A129" s="76" t="str">
        <f>'Test 4-Stats'!S127</f>
        <v>Reg 128</v>
      </c>
      <c r="B129" s="77">
        <f>'Test 4-Stats'!Y127</f>
        <v>2024</v>
      </c>
      <c r="C129" s="77" t="str">
        <f>'Test 4-Stats'!W127</f>
        <v>NISSAN</v>
      </c>
      <c r="D129" s="77" t="str">
        <f>'Test 4-Stats'!V127</f>
        <v>ONE TON LDV SINGLE CAB</v>
      </c>
      <c r="E129" s="77" t="str">
        <f>'Test 4-Stats'!X127</f>
        <v>NAVARA 2.5D SE 4X2 S CAB</v>
      </c>
      <c r="F129" s="77" t="str">
        <f t="array" ref="F129:G129">'Test 4-Stats'!Z127:AA127</f>
        <v>DIESEL</v>
      </c>
      <c r="G129" s="77">
        <v>2498.0</v>
      </c>
      <c r="H129" s="77" t="str">
        <f t="array" ref="H129:M129">'Test 4-Stats'!C127:H127</f>
        <v>Business Unit 3</v>
      </c>
      <c r="I129" s="77" t="s">
        <v>125</v>
      </c>
      <c r="J129" s="77" t="s">
        <v>126</v>
      </c>
      <c r="K129" s="77" t="s">
        <v>196</v>
      </c>
      <c r="L129" s="77" t="s">
        <v>140</v>
      </c>
      <c r="M129" s="77" t="s">
        <v>129</v>
      </c>
      <c r="N129" s="78">
        <f t="array" ref="N129:P129">'Test 4-Stats'!AL127:AN127</f>
        <v>44074</v>
      </c>
      <c r="O129" s="78">
        <v>45900.0</v>
      </c>
      <c r="P129" s="77">
        <v>60.0</v>
      </c>
      <c r="Q129" s="77" t="str">
        <f>'Test 4-Stats'!CX127</f>
        <v>Active</v>
      </c>
      <c r="R129" s="79"/>
      <c r="S129" s="79"/>
      <c r="T129" s="79"/>
      <c r="U129" s="79"/>
      <c r="V129" s="79"/>
      <c r="W129" s="79"/>
      <c r="X129" s="79"/>
      <c r="Y129" s="79"/>
      <c r="Z129" s="79"/>
    </row>
    <row r="130" ht="14.25" customHeight="1">
      <c r="A130" s="76" t="str">
        <f>'Test 4-Stats'!S128</f>
        <v>Reg 129</v>
      </c>
      <c r="B130" s="77">
        <f>'Test 4-Stats'!Y128</f>
        <v>2024</v>
      </c>
      <c r="C130" s="77" t="str">
        <f>'Test 4-Stats'!W128</f>
        <v>NISSAN</v>
      </c>
      <c r="D130" s="77" t="str">
        <f>'Test 4-Stats'!V128</f>
        <v>ONE TON LDV SINGLE CAB</v>
      </c>
      <c r="E130" s="77" t="str">
        <f>'Test 4-Stats'!X128</f>
        <v>NAVARA 2.5D SE 4X2 S CAB</v>
      </c>
      <c r="F130" s="77" t="str">
        <f t="array" ref="F130:G130">'Test 4-Stats'!Z128:AA128</f>
        <v>DIESEL</v>
      </c>
      <c r="G130" s="77">
        <v>2498.0</v>
      </c>
      <c r="H130" s="77" t="str">
        <f t="array" ref="H130:M130">'Test 4-Stats'!C128:H128</f>
        <v>Business Unit 1</v>
      </c>
      <c r="I130" s="77" t="s">
        <v>137</v>
      </c>
      <c r="J130" s="77" t="s">
        <v>138</v>
      </c>
      <c r="K130" s="77" t="s">
        <v>196</v>
      </c>
      <c r="L130" s="77" t="s">
        <v>140</v>
      </c>
      <c r="M130" s="77" t="s">
        <v>141</v>
      </c>
      <c r="N130" s="78">
        <f t="array" ref="N130:P130">'Test 4-Stats'!AL128:AN128</f>
        <v>43983</v>
      </c>
      <c r="O130" s="78">
        <v>45809.0</v>
      </c>
      <c r="P130" s="77">
        <v>60.0</v>
      </c>
      <c r="Q130" s="77" t="str">
        <f>'Test 4-Stats'!CX128</f>
        <v>Active</v>
      </c>
      <c r="R130" s="79"/>
      <c r="S130" s="79"/>
      <c r="T130" s="79"/>
      <c r="U130" s="79"/>
      <c r="V130" s="79"/>
      <c r="W130" s="79"/>
      <c r="X130" s="79"/>
      <c r="Y130" s="79"/>
      <c r="Z130" s="79"/>
    </row>
    <row r="131" ht="14.25" customHeight="1">
      <c r="A131" s="76" t="str">
        <f>'Test 4-Stats'!S129</f>
        <v>Reg 130</v>
      </c>
      <c r="B131" s="77">
        <f>'Test 4-Stats'!Y129</f>
        <v>2024</v>
      </c>
      <c r="C131" s="77" t="str">
        <f>'Test 4-Stats'!W129</f>
        <v>NISSAN</v>
      </c>
      <c r="D131" s="77" t="str">
        <f>'Test 4-Stats'!V129</f>
        <v>ONE TON LDV SINGLE CAB</v>
      </c>
      <c r="E131" s="77" t="str">
        <f>'Test 4-Stats'!X129</f>
        <v>NAVARA 2.5D SE 4X2 S CAB</v>
      </c>
      <c r="F131" s="77" t="str">
        <f t="array" ref="F131:G131">'Test 4-Stats'!Z129:AA129</f>
        <v>DIESEL</v>
      </c>
      <c r="G131" s="77">
        <v>2498.0</v>
      </c>
      <c r="H131" s="77" t="str">
        <f t="array" ref="H131:M131">'Test 4-Stats'!C129:H129</f>
        <v>Business Unit 2</v>
      </c>
      <c r="I131" s="77" t="s">
        <v>110</v>
      </c>
      <c r="J131" s="77" t="s">
        <v>111</v>
      </c>
      <c r="K131" s="77" t="s">
        <v>196</v>
      </c>
      <c r="L131" s="77" t="s">
        <v>140</v>
      </c>
      <c r="M131" s="77" t="s">
        <v>114</v>
      </c>
      <c r="N131" s="78">
        <f t="array" ref="N131:P131">'Test 4-Stats'!AL129:AN129</f>
        <v>44045</v>
      </c>
      <c r="O131" s="78">
        <v>45871.0</v>
      </c>
      <c r="P131" s="77">
        <v>60.0</v>
      </c>
      <c r="Q131" s="77" t="str">
        <f>'Test 4-Stats'!CX129</f>
        <v>Active</v>
      </c>
      <c r="R131" s="79"/>
      <c r="S131" s="79"/>
      <c r="T131" s="79"/>
      <c r="U131" s="79"/>
      <c r="V131" s="79"/>
      <c r="W131" s="79"/>
      <c r="X131" s="79"/>
      <c r="Y131" s="79"/>
      <c r="Z131" s="79"/>
    </row>
    <row r="132" ht="14.25" customHeight="1">
      <c r="A132" s="76" t="str">
        <f>'Test 4-Stats'!S130</f>
        <v>Reg 131</v>
      </c>
      <c r="B132" s="77">
        <f>'Test 4-Stats'!Y130</f>
        <v>2024</v>
      </c>
      <c r="C132" s="77" t="str">
        <f>'Test 4-Stats'!W130</f>
        <v>NISSAN</v>
      </c>
      <c r="D132" s="77" t="str">
        <f>'Test 4-Stats'!V130</f>
        <v>ONE TON LDV SINGLE CAB</v>
      </c>
      <c r="E132" s="77" t="str">
        <f>'Test 4-Stats'!X130</f>
        <v>NAVARA 2.5D SE 4X2 S CAB</v>
      </c>
      <c r="F132" s="77" t="str">
        <f t="array" ref="F132:G132">'Test 4-Stats'!Z130:AA130</f>
        <v>DIESEL</v>
      </c>
      <c r="G132" s="77">
        <v>2498.0</v>
      </c>
      <c r="H132" s="77" t="str">
        <f t="array" ref="H132:M132">'Test 4-Stats'!C130:H130</f>
        <v>Business Unit 3</v>
      </c>
      <c r="I132" s="77" t="s">
        <v>125</v>
      </c>
      <c r="J132" s="77" t="s">
        <v>126</v>
      </c>
      <c r="K132" s="77" t="s">
        <v>196</v>
      </c>
      <c r="L132" s="77" t="s">
        <v>140</v>
      </c>
      <c r="M132" s="77" t="s">
        <v>129</v>
      </c>
      <c r="N132" s="78">
        <f t="array" ref="N132:P132">'Test 4-Stats'!AL130:AN130</f>
        <v>43985</v>
      </c>
      <c r="O132" s="78">
        <v>45811.0</v>
      </c>
      <c r="P132" s="77">
        <v>60.0</v>
      </c>
      <c r="Q132" s="77" t="str">
        <f>'Test 4-Stats'!CX130</f>
        <v>Active</v>
      </c>
      <c r="R132" s="79"/>
      <c r="S132" s="79"/>
      <c r="T132" s="79"/>
      <c r="U132" s="79"/>
      <c r="V132" s="79"/>
      <c r="W132" s="79"/>
      <c r="X132" s="79"/>
      <c r="Y132" s="79"/>
      <c r="Z132" s="79"/>
    </row>
    <row r="133" ht="14.25" customHeight="1">
      <c r="A133" s="76" t="str">
        <f>'Test 4-Stats'!S131</f>
        <v>Reg 132</v>
      </c>
      <c r="B133" s="77">
        <f>'Test 4-Stats'!Y131</f>
        <v>2024</v>
      </c>
      <c r="C133" s="77" t="str">
        <f>'Test 4-Stats'!W131</f>
        <v>NISSAN</v>
      </c>
      <c r="D133" s="77" t="str">
        <f>'Test 4-Stats'!V131</f>
        <v>ONE TON LDV SINGLE CAB</v>
      </c>
      <c r="E133" s="77" t="str">
        <f>'Test 4-Stats'!X131</f>
        <v>NAVARA 2.5D SE 4X2 S CAB</v>
      </c>
      <c r="F133" s="77" t="str">
        <f t="array" ref="F133:G133">'Test 4-Stats'!Z131:AA131</f>
        <v>DIESEL</v>
      </c>
      <c r="G133" s="77">
        <v>2498.0</v>
      </c>
      <c r="H133" s="77" t="str">
        <f t="array" ref="H133:M133">'Test 4-Stats'!C131:H131</f>
        <v>Business Unit 1</v>
      </c>
      <c r="I133" s="77" t="s">
        <v>137</v>
      </c>
      <c r="J133" s="77" t="s">
        <v>138</v>
      </c>
      <c r="K133" s="77" t="s">
        <v>196</v>
      </c>
      <c r="L133" s="77" t="s">
        <v>140</v>
      </c>
      <c r="M133" s="77" t="s">
        <v>141</v>
      </c>
      <c r="N133" s="78">
        <f t="array" ref="N133:P133">'Test 4-Stats'!AL131:AN131</f>
        <v>43986</v>
      </c>
      <c r="O133" s="78">
        <v>45812.0</v>
      </c>
      <c r="P133" s="77">
        <v>60.0</v>
      </c>
      <c r="Q133" s="77" t="str">
        <f>'Test 4-Stats'!CX131</f>
        <v>Active</v>
      </c>
      <c r="R133" s="79"/>
      <c r="S133" s="79"/>
      <c r="T133" s="79"/>
      <c r="U133" s="79"/>
      <c r="V133" s="79"/>
      <c r="W133" s="79"/>
      <c r="X133" s="79"/>
      <c r="Y133" s="79"/>
      <c r="Z133" s="79"/>
    </row>
    <row r="134" ht="14.25" customHeight="1">
      <c r="A134" s="76" t="str">
        <f>'Test 4-Stats'!S132</f>
        <v>Reg 133</v>
      </c>
      <c r="B134" s="77">
        <f>'Test 4-Stats'!Y132</f>
        <v>2024</v>
      </c>
      <c r="C134" s="77" t="str">
        <f>'Test 4-Stats'!W132</f>
        <v>NISSAN</v>
      </c>
      <c r="D134" s="77" t="str">
        <f>'Test 4-Stats'!V132</f>
        <v>ONE TON LDV SINGLE CAB</v>
      </c>
      <c r="E134" s="77" t="str">
        <f>'Test 4-Stats'!X132</f>
        <v>NAVARA 2.5D SE 4X2 S CAB</v>
      </c>
      <c r="F134" s="77" t="str">
        <f t="array" ref="F134:G134">'Test 4-Stats'!Z132:AA132</f>
        <v>DIESEL</v>
      </c>
      <c r="G134" s="77">
        <v>2498.0</v>
      </c>
      <c r="H134" s="77" t="str">
        <f t="array" ref="H134:M134">'Test 4-Stats'!C132:H132</f>
        <v>Business Unit 2</v>
      </c>
      <c r="I134" s="77" t="s">
        <v>110</v>
      </c>
      <c r="J134" s="77" t="s">
        <v>111</v>
      </c>
      <c r="K134" s="77" t="s">
        <v>196</v>
      </c>
      <c r="L134" s="77" t="s">
        <v>140</v>
      </c>
      <c r="M134" s="77" t="s">
        <v>114</v>
      </c>
      <c r="N134" s="78">
        <f t="array" ref="N134:P134">'Test 4-Stats'!AL132:AN132</f>
        <v>44129</v>
      </c>
      <c r="O134" s="78">
        <v>45955.0</v>
      </c>
      <c r="P134" s="77">
        <v>60.0</v>
      </c>
      <c r="Q134" s="77" t="str">
        <f>'Test 4-Stats'!CX132</f>
        <v>Active</v>
      </c>
      <c r="R134" s="79"/>
      <c r="S134" s="79"/>
      <c r="T134" s="79"/>
      <c r="U134" s="79"/>
      <c r="V134" s="79"/>
      <c r="W134" s="79"/>
      <c r="X134" s="79"/>
      <c r="Y134" s="79"/>
      <c r="Z134" s="79"/>
    </row>
    <row r="135" ht="14.25" customHeight="1">
      <c r="A135" s="76" t="str">
        <f>'Test 4-Stats'!S133</f>
        <v>Reg 134</v>
      </c>
      <c r="B135" s="77">
        <f>'Test 4-Stats'!Y133</f>
        <v>2024</v>
      </c>
      <c r="C135" s="77" t="str">
        <f>'Test 4-Stats'!W133</f>
        <v>NISSAN</v>
      </c>
      <c r="D135" s="77" t="str">
        <f>'Test 4-Stats'!V133</f>
        <v>ONE TON LDV SINGLE CAB</v>
      </c>
      <c r="E135" s="77" t="str">
        <f>'Test 4-Stats'!X133</f>
        <v>NAVARA 2.5D SE 4X2 S CAB</v>
      </c>
      <c r="F135" s="77" t="str">
        <f t="array" ref="F135:G135">'Test 4-Stats'!Z133:AA133</f>
        <v>DIESEL</v>
      </c>
      <c r="G135" s="77">
        <v>2498.0</v>
      </c>
      <c r="H135" s="77" t="str">
        <f t="array" ref="H135:M135">'Test 4-Stats'!C133:H133</f>
        <v>Business Unit 3</v>
      </c>
      <c r="I135" s="77" t="s">
        <v>125</v>
      </c>
      <c r="J135" s="77" t="s">
        <v>126</v>
      </c>
      <c r="K135" s="77" t="s">
        <v>196</v>
      </c>
      <c r="L135" s="77" t="s">
        <v>140</v>
      </c>
      <c r="M135" s="77" t="s">
        <v>129</v>
      </c>
      <c r="N135" s="78">
        <f t="array" ref="N135:P135">'Test 4-Stats'!AL133:AN133</f>
        <v>44008</v>
      </c>
      <c r="O135" s="78">
        <v>45834.0</v>
      </c>
      <c r="P135" s="77">
        <v>60.0</v>
      </c>
      <c r="Q135" s="77" t="str">
        <f>'Test 4-Stats'!CX133</f>
        <v>Active</v>
      </c>
      <c r="R135" s="79"/>
      <c r="S135" s="79"/>
      <c r="T135" s="79"/>
      <c r="U135" s="79"/>
      <c r="V135" s="79"/>
      <c r="W135" s="79"/>
      <c r="X135" s="79"/>
      <c r="Y135" s="79"/>
      <c r="Z135" s="79"/>
    </row>
    <row r="136" ht="14.25" customHeight="1">
      <c r="A136" s="76" t="str">
        <f>'Test 4-Stats'!S134</f>
        <v>Reg 135</v>
      </c>
      <c r="B136" s="77">
        <f>'Test 4-Stats'!Y134</f>
        <v>2024</v>
      </c>
      <c r="C136" s="77" t="str">
        <f>'Test 4-Stats'!W134</f>
        <v>NISSAN</v>
      </c>
      <c r="D136" s="77" t="str">
        <f>'Test 4-Stats'!V134</f>
        <v>ONE TON LDV SINGLE CAB</v>
      </c>
      <c r="E136" s="77" t="str">
        <f>'Test 4-Stats'!X134</f>
        <v>NAVARA 2.5D SE 4X2 S CAB</v>
      </c>
      <c r="F136" s="77" t="str">
        <f t="array" ref="F136:G136">'Test 4-Stats'!Z134:AA134</f>
        <v>DIESEL</v>
      </c>
      <c r="G136" s="77">
        <v>2498.0</v>
      </c>
      <c r="H136" s="77" t="str">
        <f t="array" ref="H136:M136">'Test 4-Stats'!C134:H134</f>
        <v>Business Unit 1</v>
      </c>
      <c r="I136" s="77" t="s">
        <v>137</v>
      </c>
      <c r="J136" s="77" t="s">
        <v>138</v>
      </c>
      <c r="K136" s="77" t="s">
        <v>196</v>
      </c>
      <c r="L136" s="77" t="s">
        <v>140</v>
      </c>
      <c r="M136" s="77" t="s">
        <v>141</v>
      </c>
      <c r="N136" s="78">
        <f t="array" ref="N136:P136">'Test 4-Stats'!AL134:AN134</f>
        <v>44009</v>
      </c>
      <c r="O136" s="78">
        <v>45835.0</v>
      </c>
      <c r="P136" s="77">
        <v>60.0</v>
      </c>
      <c r="Q136" s="77" t="str">
        <f>'Test 4-Stats'!CX134</f>
        <v>Active</v>
      </c>
      <c r="R136" s="79"/>
      <c r="S136" s="79"/>
      <c r="T136" s="79"/>
      <c r="U136" s="79"/>
      <c r="V136" s="79"/>
      <c r="W136" s="79"/>
      <c r="X136" s="79"/>
      <c r="Y136" s="79"/>
      <c r="Z136" s="79"/>
    </row>
    <row r="137" ht="14.25" customHeight="1">
      <c r="A137" s="76" t="str">
        <f>'Test 4-Stats'!S135</f>
        <v>Reg 136</v>
      </c>
      <c r="B137" s="77">
        <f>'Test 4-Stats'!Y135</f>
        <v>2024</v>
      </c>
      <c r="C137" s="77" t="str">
        <f>'Test 4-Stats'!W135</f>
        <v>NISSAN</v>
      </c>
      <c r="D137" s="77" t="str">
        <f>'Test 4-Stats'!V135</f>
        <v>ONE TON LDV SINGLE CAB</v>
      </c>
      <c r="E137" s="77" t="str">
        <f>'Test 4-Stats'!X135</f>
        <v>NAVARA 2.5D SE 4X2 S CAB</v>
      </c>
      <c r="F137" s="77" t="str">
        <f t="array" ref="F137:G137">'Test 4-Stats'!Z135:AA135</f>
        <v>DIESEL</v>
      </c>
      <c r="G137" s="77">
        <v>2498.0</v>
      </c>
      <c r="H137" s="77" t="str">
        <f t="array" ref="H137:M137">'Test 4-Stats'!C135:H135</f>
        <v>Business Unit 2</v>
      </c>
      <c r="I137" s="77" t="s">
        <v>110</v>
      </c>
      <c r="J137" s="77" t="s">
        <v>111</v>
      </c>
      <c r="K137" s="77" t="s">
        <v>196</v>
      </c>
      <c r="L137" s="77" t="s">
        <v>140</v>
      </c>
      <c r="M137" s="77" t="s">
        <v>114</v>
      </c>
      <c r="N137" s="78">
        <f t="array" ref="N137:P137">'Test 4-Stats'!AL135:AN135</f>
        <v>44010</v>
      </c>
      <c r="O137" s="78">
        <v>45836.0</v>
      </c>
      <c r="P137" s="77">
        <v>60.0</v>
      </c>
      <c r="Q137" s="77" t="str">
        <f>'Test 4-Stats'!CX135</f>
        <v>Active</v>
      </c>
      <c r="R137" s="79"/>
      <c r="S137" s="79"/>
      <c r="T137" s="79"/>
      <c r="U137" s="79"/>
      <c r="V137" s="79"/>
      <c r="W137" s="79"/>
      <c r="X137" s="79"/>
      <c r="Y137" s="79"/>
      <c r="Z137" s="79"/>
    </row>
    <row r="138" ht="14.25" customHeight="1">
      <c r="A138" s="76" t="str">
        <f>'Test 4-Stats'!S136</f>
        <v>Reg 137</v>
      </c>
      <c r="B138" s="77">
        <f>'Test 4-Stats'!Y136</f>
        <v>2024</v>
      </c>
      <c r="C138" s="77" t="str">
        <f>'Test 4-Stats'!W136</f>
        <v>NISSAN</v>
      </c>
      <c r="D138" s="77" t="str">
        <f>'Test 4-Stats'!V136</f>
        <v>ONE TON LDV SINGLE CAB</v>
      </c>
      <c r="E138" s="77" t="str">
        <f>'Test 4-Stats'!X136</f>
        <v>NAVARA 2.5D SE 4X2 S CAB</v>
      </c>
      <c r="F138" s="77" t="str">
        <f t="array" ref="F138:G138">'Test 4-Stats'!Z136:AA136</f>
        <v>DIESEL</v>
      </c>
      <c r="G138" s="77">
        <v>2498.0</v>
      </c>
      <c r="H138" s="77" t="str">
        <f t="array" ref="H138:M138">'Test 4-Stats'!C136:H136</f>
        <v>Business Unit 3</v>
      </c>
      <c r="I138" s="77" t="s">
        <v>125</v>
      </c>
      <c r="J138" s="77" t="s">
        <v>126</v>
      </c>
      <c r="K138" s="77" t="s">
        <v>196</v>
      </c>
      <c r="L138" s="77" t="s">
        <v>140</v>
      </c>
      <c r="M138" s="77" t="s">
        <v>129</v>
      </c>
      <c r="N138" s="78">
        <f t="array" ref="N138:P138">'Test 4-Stats'!AL136:AN136</f>
        <v>44011</v>
      </c>
      <c r="O138" s="78">
        <v>45837.0</v>
      </c>
      <c r="P138" s="77">
        <v>60.0</v>
      </c>
      <c r="Q138" s="77" t="str">
        <f>'Test 4-Stats'!CX136</f>
        <v>Active</v>
      </c>
      <c r="R138" s="79"/>
      <c r="S138" s="79"/>
      <c r="T138" s="79"/>
      <c r="U138" s="79"/>
      <c r="V138" s="79"/>
      <c r="W138" s="79"/>
      <c r="X138" s="79"/>
      <c r="Y138" s="79"/>
      <c r="Z138" s="79"/>
    </row>
    <row r="139" ht="14.25" customHeight="1">
      <c r="A139" s="76" t="str">
        <f>'Test 4-Stats'!S137</f>
        <v>Reg 138</v>
      </c>
      <c r="B139" s="77">
        <f>'Test 4-Stats'!Y137</f>
        <v>2024</v>
      </c>
      <c r="C139" s="77" t="str">
        <f>'Test 4-Stats'!W137</f>
        <v>NISSAN</v>
      </c>
      <c r="D139" s="77" t="str">
        <f>'Test 4-Stats'!V137</f>
        <v>ONE TON LDV SINGLE CAB</v>
      </c>
      <c r="E139" s="77" t="str">
        <f>'Test 4-Stats'!X137</f>
        <v>NAVARA 2.5D SE 4X2 S CAB</v>
      </c>
      <c r="F139" s="77" t="str">
        <f t="array" ref="F139:G139">'Test 4-Stats'!Z137:AA137</f>
        <v>DIESEL</v>
      </c>
      <c r="G139" s="77">
        <v>2498.0</v>
      </c>
      <c r="H139" s="77" t="str">
        <f t="array" ref="H139:M139">'Test 4-Stats'!C137:H137</f>
        <v>Business Unit 1</v>
      </c>
      <c r="I139" s="77" t="s">
        <v>137</v>
      </c>
      <c r="J139" s="77" t="s">
        <v>138</v>
      </c>
      <c r="K139" s="77" t="s">
        <v>196</v>
      </c>
      <c r="L139" s="77" t="s">
        <v>140</v>
      </c>
      <c r="M139" s="77" t="s">
        <v>141</v>
      </c>
      <c r="N139" s="78">
        <f t="array" ref="N139:P139">'Test 4-Stats'!AL137:AN137</f>
        <v>44012</v>
      </c>
      <c r="O139" s="78">
        <v>45838.0</v>
      </c>
      <c r="P139" s="77">
        <v>60.0</v>
      </c>
      <c r="Q139" s="77" t="str">
        <f>'Test 4-Stats'!CX137</f>
        <v>Active</v>
      </c>
      <c r="R139" s="79"/>
      <c r="S139" s="79"/>
      <c r="T139" s="79"/>
      <c r="U139" s="79"/>
      <c r="V139" s="79"/>
      <c r="W139" s="79"/>
      <c r="X139" s="79"/>
      <c r="Y139" s="79"/>
      <c r="Z139" s="79"/>
    </row>
    <row r="140" ht="14.25" customHeight="1">
      <c r="A140" s="76" t="str">
        <f>'Test 4-Stats'!S138</f>
        <v>Reg 139</v>
      </c>
      <c r="B140" s="77">
        <f>'Test 4-Stats'!Y138</f>
        <v>2024</v>
      </c>
      <c r="C140" s="77" t="str">
        <f>'Test 4-Stats'!W138</f>
        <v>NISSAN</v>
      </c>
      <c r="D140" s="77" t="str">
        <f>'Test 4-Stats'!V138</f>
        <v>ONE TON LDV SINGLE CAB</v>
      </c>
      <c r="E140" s="77" t="str">
        <f>'Test 4-Stats'!X138</f>
        <v>NAVARA 2.5D SE 4X2 S CAB</v>
      </c>
      <c r="F140" s="77" t="str">
        <f t="array" ref="F140:G140">'Test 4-Stats'!Z138:AA138</f>
        <v>DIESEL</v>
      </c>
      <c r="G140" s="77">
        <v>2498.0</v>
      </c>
      <c r="H140" s="77" t="str">
        <f t="array" ref="H140:M140">'Test 4-Stats'!C138:H138</f>
        <v>Business Unit 2</v>
      </c>
      <c r="I140" s="77" t="s">
        <v>110</v>
      </c>
      <c r="J140" s="77" t="s">
        <v>111</v>
      </c>
      <c r="K140" s="77" t="s">
        <v>196</v>
      </c>
      <c r="L140" s="77" t="s">
        <v>140</v>
      </c>
      <c r="M140" s="77" t="s">
        <v>114</v>
      </c>
      <c r="N140" s="78">
        <f t="array" ref="N140:P140">'Test 4-Stats'!AL138:AN138</f>
        <v>44105</v>
      </c>
      <c r="O140" s="78">
        <v>45931.0</v>
      </c>
      <c r="P140" s="77">
        <v>60.0</v>
      </c>
      <c r="Q140" s="77" t="str">
        <f>'Test 4-Stats'!CX138</f>
        <v>Active</v>
      </c>
      <c r="R140" s="79"/>
      <c r="S140" s="79"/>
      <c r="T140" s="79"/>
      <c r="U140" s="79"/>
      <c r="V140" s="79"/>
      <c r="W140" s="79"/>
      <c r="X140" s="79"/>
      <c r="Y140" s="79"/>
      <c r="Z140" s="79"/>
    </row>
    <row r="141" ht="14.25" customHeight="1">
      <c r="A141" s="76" t="str">
        <f>'Test 4-Stats'!S139</f>
        <v>Reg 140</v>
      </c>
      <c r="B141" s="77">
        <f>'Test 4-Stats'!Y139</f>
        <v>2024</v>
      </c>
      <c r="C141" s="77" t="str">
        <f>'Test 4-Stats'!W139</f>
        <v>NISSAN</v>
      </c>
      <c r="D141" s="77" t="str">
        <f>'Test 4-Stats'!V139</f>
        <v>ONE TON LDV SINGLE CAB</v>
      </c>
      <c r="E141" s="77" t="str">
        <f>'Test 4-Stats'!X139</f>
        <v>NAVARA 2.5D SE 4X2 S CAB</v>
      </c>
      <c r="F141" s="77" t="str">
        <f t="array" ref="F141:G141">'Test 4-Stats'!Z139:AA139</f>
        <v>DIESEL</v>
      </c>
      <c r="G141" s="77">
        <v>2498.0</v>
      </c>
      <c r="H141" s="77" t="str">
        <f t="array" ref="H141:M141">'Test 4-Stats'!C139:H139</f>
        <v>Business Unit 3</v>
      </c>
      <c r="I141" s="77" t="s">
        <v>125</v>
      </c>
      <c r="J141" s="77" t="s">
        <v>126</v>
      </c>
      <c r="K141" s="77" t="s">
        <v>196</v>
      </c>
      <c r="L141" s="77" t="s">
        <v>140</v>
      </c>
      <c r="M141" s="77" t="s">
        <v>129</v>
      </c>
      <c r="N141" s="78">
        <f t="array" ref="N141:P141">'Test 4-Stats'!AL139:AN139</f>
        <v>44014</v>
      </c>
      <c r="O141" s="78">
        <v>45840.0</v>
      </c>
      <c r="P141" s="77">
        <v>60.0</v>
      </c>
      <c r="Q141" s="77" t="str">
        <f>'Test 4-Stats'!CX139</f>
        <v>Active</v>
      </c>
      <c r="R141" s="79"/>
      <c r="S141" s="79"/>
      <c r="T141" s="79"/>
      <c r="U141" s="79"/>
      <c r="V141" s="79"/>
      <c r="W141" s="79"/>
      <c r="X141" s="79"/>
      <c r="Y141" s="79"/>
      <c r="Z141" s="79"/>
    </row>
    <row r="142" ht="14.25" customHeight="1">
      <c r="A142" s="76" t="str">
        <f>'Test 4-Stats'!S140</f>
        <v>Reg 141</v>
      </c>
      <c r="B142" s="77">
        <f>'Test 4-Stats'!Y140</f>
        <v>2024</v>
      </c>
      <c r="C142" s="77" t="str">
        <f>'Test 4-Stats'!W140</f>
        <v>FORD</v>
      </c>
      <c r="D142" s="77" t="str">
        <f>'Test 4-Stats'!V140</f>
        <v>ONE TON LDV DOUBLE CAB</v>
      </c>
      <c r="E142" s="77" t="str">
        <f>'Test 4-Stats'!X140</f>
        <v>RANGER 2.0 SiT D CAB BASE 4X2</v>
      </c>
      <c r="F142" s="77" t="str">
        <f t="array" ref="F142:G142">'Test 4-Stats'!Z140:AA140</f>
        <v>DIESEL</v>
      </c>
      <c r="G142" s="77">
        <v>1998.0</v>
      </c>
      <c r="H142" s="77" t="str">
        <f t="array" ref="H142:M142">'Test 4-Stats'!C140:H140</f>
        <v>Business Unit 1</v>
      </c>
      <c r="I142" s="77" t="s">
        <v>110</v>
      </c>
      <c r="J142" s="77" t="s">
        <v>111</v>
      </c>
      <c r="K142" s="77" t="s">
        <v>196</v>
      </c>
      <c r="L142" s="77" t="s">
        <v>140</v>
      </c>
      <c r="M142" s="77" t="s">
        <v>141</v>
      </c>
      <c r="N142" s="78">
        <f t="array" ref="N142:P142">'Test 4-Stats'!AL140:AN140</f>
        <v>44015</v>
      </c>
      <c r="O142" s="78">
        <v>45841.0</v>
      </c>
      <c r="P142" s="77">
        <v>60.0</v>
      </c>
      <c r="Q142" s="77" t="str">
        <f>'Test 4-Stats'!CX140</f>
        <v>Active</v>
      </c>
      <c r="R142" s="79"/>
      <c r="S142" s="79"/>
      <c r="T142" s="79"/>
      <c r="U142" s="79"/>
      <c r="V142" s="79"/>
      <c r="W142" s="79"/>
      <c r="X142" s="79"/>
      <c r="Y142" s="79"/>
      <c r="Z142" s="79"/>
    </row>
    <row r="143" ht="14.25" customHeight="1">
      <c r="A143" s="76" t="str">
        <f>'Test 4-Stats'!S141</f>
        <v>Reg 142</v>
      </c>
      <c r="B143" s="77">
        <f>'Test 4-Stats'!Y141</f>
        <v>2024</v>
      </c>
      <c r="C143" s="77" t="str">
        <f>'Test 4-Stats'!W141</f>
        <v>FORD</v>
      </c>
      <c r="D143" s="77" t="str">
        <f>'Test 4-Stats'!V141</f>
        <v>ONE TON LDV DOUBLE CAB</v>
      </c>
      <c r="E143" s="77" t="str">
        <f>'Test 4-Stats'!X141</f>
        <v>RANGER 2.0 SiT D CAB BASE 4X2</v>
      </c>
      <c r="F143" s="77" t="str">
        <f t="array" ref="F143:G143">'Test 4-Stats'!Z141:AA141</f>
        <v>DIESEL</v>
      </c>
      <c r="G143" s="77">
        <v>1998.0</v>
      </c>
      <c r="H143" s="77" t="str">
        <f t="array" ref="H143:M143">'Test 4-Stats'!C141:H141</f>
        <v>Business Unit 2</v>
      </c>
      <c r="I143" s="77" t="s">
        <v>125</v>
      </c>
      <c r="J143" s="77" t="s">
        <v>126</v>
      </c>
      <c r="K143" s="77" t="s">
        <v>196</v>
      </c>
      <c r="L143" s="77" t="s">
        <v>140</v>
      </c>
      <c r="M143" s="77" t="s">
        <v>114</v>
      </c>
      <c r="N143" s="78">
        <f t="array" ref="N143:P143">'Test 4-Stats'!AL141:AN141</f>
        <v>44016</v>
      </c>
      <c r="O143" s="78">
        <v>45842.0</v>
      </c>
      <c r="P143" s="77">
        <v>60.0</v>
      </c>
      <c r="Q143" s="77" t="str">
        <f>'Test 4-Stats'!CX141</f>
        <v>Active</v>
      </c>
      <c r="R143" s="79"/>
      <c r="S143" s="79"/>
      <c r="T143" s="79"/>
      <c r="U143" s="79"/>
      <c r="V143" s="79"/>
      <c r="W143" s="79"/>
      <c r="X143" s="79"/>
      <c r="Y143" s="79"/>
      <c r="Z143" s="79"/>
    </row>
    <row r="144" ht="14.25" customHeight="1">
      <c r="A144" s="76" t="str">
        <f>'Test 4-Stats'!S142</f>
        <v>Reg 143</v>
      </c>
      <c r="B144" s="77">
        <f>'Test 4-Stats'!Y142</f>
        <v>2024</v>
      </c>
      <c r="C144" s="77" t="str">
        <f>'Test 4-Stats'!W142</f>
        <v>FORD</v>
      </c>
      <c r="D144" s="77" t="str">
        <f>'Test 4-Stats'!V142</f>
        <v>ONE TON LDV DOUBLE CAB</v>
      </c>
      <c r="E144" s="77" t="str">
        <f>'Test 4-Stats'!X142</f>
        <v>RANGER 2.0 SiT D CAB BASE 4X2</v>
      </c>
      <c r="F144" s="77" t="str">
        <f t="array" ref="F144:G144">'Test 4-Stats'!Z142:AA142</f>
        <v>DIESEL</v>
      </c>
      <c r="G144" s="77">
        <v>1998.0</v>
      </c>
      <c r="H144" s="77" t="str">
        <f t="array" ref="H144:M144">'Test 4-Stats'!C142:H142</f>
        <v>Business Unit 3</v>
      </c>
      <c r="I144" s="77" t="s">
        <v>137</v>
      </c>
      <c r="J144" s="77" t="s">
        <v>138</v>
      </c>
      <c r="K144" s="77" t="s">
        <v>196</v>
      </c>
      <c r="L144" s="77" t="s">
        <v>140</v>
      </c>
      <c r="M144" s="77" t="s">
        <v>129</v>
      </c>
      <c r="N144" s="78">
        <f t="array" ref="N144:P144">'Test 4-Stats'!AL142:AN142</f>
        <v>44017</v>
      </c>
      <c r="O144" s="78">
        <v>45843.0</v>
      </c>
      <c r="P144" s="77">
        <v>60.0</v>
      </c>
      <c r="Q144" s="77" t="str">
        <f>'Test 4-Stats'!CX142</f>
        <v>Active</v>
      </c>
      <c r="R144" s="79"/>
      <c r="S144" s="79"/>
      <c r="T144" s="79"/>
      <c r="U144" s="79"/>
      <c r="V144" s="79"/>
      <c r="W144" s="79"/>
      <c r="X144" s="79"/>
      <c r="Y144" s="79"/>
      <c r="Z144" s="79"/>
    </row>
    <row r="145" ht="14.25" customHeight="1">
      <c r="A145" s="76" t="str">
        <f>'Test 4-Stats'!S143</f>
        <v>Reg 144</v>
      </c>
      <c r="B145" s="77">
        <f>'Test 4-Stats'!Y143</f>
        <v>2024</v>
      </c>
      <c r="C145" s="77" t="str">
        <f>'Test 4-Stats'!W143</f>
        <v>FORD</v>
      </c>
      <c r="D145" s="77" t="str">
        <f>'Test 4-Stats'!V143</f>
        <v>ONE TON LDV DOUBLE CAB</v>
      </c>
      <c r="E145" s="77" t="str">
        <f>'Test 4-Stats'!X143</f>
        <v>RANGER 2.0 SiT D CAB BASE 4X2</v>
      </c>
      <c r="F145" s="77" t="str">
        <f t="array" ref="F145:G145">'Test 4-Stats'!Z143:AA143</f>
        <v>DIESEL</v>
      </c>
      <c r="G145" s="77">
        <v>1998.0</v>
      </c>
      <c r="H145" s="77" t="str">
        <f t="array" ref="H145:M145">'Test 4-Stats'!C143:H143</f>
        <v>Business Unit 1</v>
      </c>
      <c r="I145" s="77" t="s">
        <v>110</v>
      </c>
      <c r="J145" s="77" t="s">
        <v>111</v>
      </c>
      <c r="K145" s="77" t="s">
        <v>196</v>
      </c>
      <c r="L145" s="77" t="s">
        <v>140</v>
      </c>
      <c r="M145" s="77" t="s">
        <v>141</v>
      </c>
      <c r="N145" s="78">
        <f t="array" ref="N145:P145">'Test 4-Stats'!AL143:AN143</f>
        <v>44018</v>
      </c>
      <c r="O145" s="78">
        <v>45844.0</v>
      </c>
      <c r="P145" s="77">
        <v>60.0</v>
      </c>
      <c r="Q145" s="77" t="str">
        <f>'Test 4-Stats'!CX143</f>
        <v>Active</v>
      </c>
      <c r="R145" s="79"/>
      <c r="S145" s="79"/>
      <c r="T145" s="79"/>
      <c r="U145" s="79"/>
      <c r="V145" s="79"/>
      <c r="W145" s="79"/>
      <c r="X145" s="79"/>
      <c r="Y145" s="79"/>
      <c r="Z145" s="79"/>
    </row>
    <row r="146" ht="14.25" customHeight="1">
      <c r="A146" s="76" t="str">
        <f>'Test 4-Stats'!S144</f>
        <v>Reg 145</v>
      </c>
      <c r="B146" s="77">
        <f>'Test 4-Stats'!Y144</f>
        <v>2024</v>
      </c>
      <c r="C146" s="77" t="str">
        <f>'Test 4-Stats'!W144</f>
        <v>FORD</v>
      </c>
      <c r="D146" s="77" t="str">
        <f>'Test 4-Stats'!V144</f>
        <v>ONE TON LDV DOUBLE CAB</v>
      </c>
      <c r="E146" s="77" t="str">
        <f>'Test 4-Stats'!X144</f>
        <v>RANGER 2.0 SiT D CAB BASE 4X2</v>
      </c>
      <c r="F146" s="77" t="str">
        <f t="array" ref="F146:G146">'Test 4-Stats'!Z144:AA144</f>
        <v>DIESEL</v>
      </c>
      <c r="G146" s="77">
        <v>1998.0</v>
      </c>
      <c r="H146" s="77" t="str">
        <f t="array" ref="H146:M146">'Test 4-Stats'!C144:H144</f>
        <v>Business Unit 2</v>
      </c>
      <c r="I146" s="77" t="s">
        <v>125</v>
      </c>
      <c r="J146" s="77" t="s">
        <v>126</v>
      </c>
      <c r="K146" s="77" t="s">
        <v>196</v>
      </c>
      <c r="L146" s="77" t="s">
        <v>140</v>
      </c>
      <c r="M146" s="77" t="s">
        <v>114</v>
      </c>
      <c r="N146" s="78">
        <f t="array" ref="N146:P146">'Test 4-Stats'!AL144:AN144</f>
        <v>44019</v>
      </c>
      <c r="O146" s="78">
        <v>45845.0</v>
      </c>
      <c r="P146" s="77">
        <v>60.0</v>
      </c>
      <c r="Q146" s="77" t="str">
        <f>'Test 4-Stats'!CX144</f>
        <v>Active</v>
      </c>
      <c r="R146" s="79"/>
      <c r="S146" s="79"/>
      <c r="T146" s="79"/>
      <c r="U146" s="79"/>
      <c r="V146" s="79"/>
      <c r="W146" s="79"/>
      <c r="X146" s="79"/>
      <c r="Y146" s="79"/>
      <c r="Z146" s="79"/>
    </row>
    <row r="147" ht="14.25" customHeight="1">
      <c r="A147" s="76" t="str">
        <f>'Test 4-Stats'!S145</f>
        <v>Reg 146</v>
      </c>
      <c r="B147" s="77">
        <f>'Test 4-Stats'!Y145</f>
        <v>2024</v>
      </c>
      <c r="C147" s="77" t="str">
        <f>'Test 4-Stats'!W145</f>
        <v>FORD</v>
      </c>
      <c r="D147" s="77" t="str">
        <f>'Test 4-Stats'!V145</f>
        <v>ONE TON LDV DOUBLE CAB</v>
      </c>
      <c r="E147" s="77" t="str">
        <f>'Test 4-Stats'!X145</f>
        <v>RANGER 2.0 SiT D CAB BASE 4X2</v>
      </c>
      <c r="F147" s="77" t="str">
        <f t="array" ref="F147:G147">'Test 4-Stats'!Z145:AA145</f>
        <v>DIESEL</v>
      </c>
      <c r="G147" s="77">
        <v>1998.0</v>
      </c>
      <c r="H147" s="77" t="str">
        <f t="array" ref="H147:M147">'Test 4-Stats'!C145:H145</f>
        <v>Business Unit 3</v>
      </c>
      <c r="I147" s="77" t="s">
        <v>137</v>
      </c>
      <c r="J147" s="77" t="s">
        <v>138</v>
      </c>
      <c r="K147" s="77" t="s">
        <v>196</v>
      </c>
      <c r="L147" s="77" t="s">
        <v>140</v>
      </c>
      <c r="M147" s="77" t="s">
        <v>129</v>
      </c>
      <c r="N147" s="78">
        <f t="array" ref="N147:P147">'Test 4-Stats'!AL145:AN145</f>
        <v>44020</v>
      </c>
      <c r="O147" s="78">
        <v>45846.0</v>
      </c>
      <c r="P147" s="77">
        <v>60.0</v>
      </c>
      <c r="Q147" s="77" t="str">
        <f>'Test 4-Stats'!CX145</f>
        <v>Active</v>
      </c>
      <c r="R147" s="79"/>
      <c r="S147" s="79"/>
      <c r="T147" s="79"/>
      <c r="U147" s="79"/>
      <c r="V147" s="79"/>
      <c r="W147" s="79"/>
      <c r="X147" s="79"/>
      <c r="Y147" s="79"/>
      <c r="Z147" s="79"/>
    </row>
    <row r="148" ht="14.25" customHeight="1">
      <c r="A148" s="76" t="str">
        <f>'Test 4-Stats'!S146</f>
        <v>Reg 147</v>
      </c>
      <c r="B148" s="77">
        <f>'Test 4-Stats'!Y146</f>
        <v>2024</v>
      </c>
      <c r="C148" s="77" t="str">
        <f>'Test 4-Stats'!W146</f>
        <v>NISSAN</v>
      </c>
      <c r="D148" s="77" t="str">
        <f>'Test 4-Stats'!V146</f>
        <v>ONE TON LDV SINGLE CAB</v>
      </c>
      <c r="E148" s="77" t="str">
        <f>'Test 4-Stats'!X146</f>
        <v>NAVARA 2.5D SE 4X2 S CAB</v>
      </c>
      <c r="F148" s="77" t="str">
        <f t="array" ref="F148:G148">'Test 4-Stats'!Z146:AA146</f>
        <v>DIESEL</v>
      </c>
      <c r="G148" s="77">
        <v>2498.0</v>
      </c>
      <c r="H148" s="77" t="str">
        <f t="array" ref="H148:M148">'Test 4-Stats'!C146:H146</f>
        <v>Business Unit 1</v>
      </c>
      <c r="I148" s="77" t="s">
        <v>110</v>
      </c>
      <c r="J148" s="77" t="s">
        <v>111</v>
      </c>
      <c r="K148" s="77" t="s">
        <v>196</v>
      </c>
      <c r="L148" s="77" t="s">
        <v>140</v>
      </c>
      <c r="M148" s="77" t="s">
        <v>141</v>
      </c>
      <c r="N148" s="78">
        <f t="array" ref="N148:P148">'Test 4-Stats'!AL146:AN146</f>
        <v>44021</v>
      </c>
      <c r="O148" s="78">
        <v>45847.0</v>
      </c>
      <c r="P148" s="77">
        <v>60.0</v>
      </c>
      <c r="Q148" s="77" t="str">
        <f>'Test 4-Stats'!CX146</f>
        <v>Active</v>
      </c>
      <c r="R148" s="79"/>
      <c r="S148" s="79"/>
      <c r="T148" s="79"/>
      <c r="U148" s="79"/>
      <c r="V148" s="79"/>
      <c r="W148" s="79"/>
      <c r="X148" s="79"/>
      <c r="Y148" s="79"/>
      <c r="Z148" s="79"/>
    </row>
    <row r="149" ht="14.25" customHeight="1">
      <c r="A149" s="76" t="str">
        <f>'Test 4-Stats'!S147</f>
        <v>Reg 148</v>
      </c>
      <c r="B149" s="77">
        <f>'Test 4-Stats'!Y147</f>
        <v>2024</v>
      </c>
      <c r="C149" s="77" t="str">
        <f>'Test 4-Stats'!W147</f>
        <v>FORD</v>
      </c>
      <c r="D149" s="77" t="str">
        <f>'Test 4-Stats'!V147</f>
        <v>ONE TON LDV DOUBLE CAB</v>
      </c>
      <c r="E149" s="77" t="str">
        <f>'Test 4-Stats'!X147</f>
        <v>RANGER 2.0 SiT D CAB BASE 4X2</v>
      </c>
      <c r="F149" s="77" t="str">
        <f t="array" ref="F149:G149">'Test 4-Stats'!Z147:AA147</f>
        <v>DIESEL</v>
      </c>
      <c r="G149" s="77">
        <v>1998.0</v>
      </c>
      <c r="H149" s="77" t="str">
        <f t="array" ref="H149:M149">'Test 4-Stats'!C147:H147</f>
        <v>Business Unit 2</v>
      </c>
      <c r="I149" s="77" t="s">
        <v>125</v>
      </c>
      <c r="J149" s="77" t="s">
        <v>126</v>
      </c>
      <c r="K149" s="77" t="s">
        <v>196</v>
      </c>
      <c r="L149" s="77" t="s">
        <v>140</v>
      </c>
      <c r="M149" s="77" t="s">
        <v>114</v>
      </c>
      <c r="N149" s="78">
        <f t="array" ref="N149:P149">'Test 4-Stats'!AL147:AN147</f>
        <v>44022</v>
      </c>
      <c r="O149" s="78">
        <v>45848.0</v>
      </c>
      <c r="P149" s="77">
        <v>60.0</v>
      </c>
      <c r="Q149" s="77" t="str">
        <f>'Test 4-Stats'!CX147</f>
        <v>Active</v>
      </c>
      <c r="R149" s="79"/>
      <c r="S149" s="79"/>
      <c r="T149" s="79"/>
      <c r="U149" s="79"/>
      <c r="V149" s="79"/>
      <c r="W149" s="79"/>
      <c r="X149" s="79"/>
      <c r="Y149" s="79"/>
      <c r="Z149" s="79"/>
    </row>
    <row r="150" ht="14.25" customHeight="1">
      <c r="A150" s="76" t="str">
        <f>'Test 4-Stats'!S148</f>
        <v>Reg 149</v>
      </c>
      <c r="B150" s="77">
        <f>'Test 4-Stats'!Y148</f>
        <v>2024</v>
      </c>
      <c r="C150" s="77" t="str">
        <f>'Test 4-Stats'!W148</f>
        <v>FORD</v>
      </c>
      <c r="D150" s="77" t="str">
        <f>'Test 4-Stats'!V148</f>
        <v>ONE TON LDV DOUBLE CAB</v>
      </c>
      <c r="E150" s="77" t="str">
        <f>'Test 4-Stats'!X148</f>
        <v>RANGER 2.0 SiT D CAB BASE 4X2</v>
      </c>
      <c r="F150" s="77" t="str">
        <f t="array" ref="F150:G150">'Test 4-Stats'!Z148:AA148</f>
        <v>DIESEL</v>
      </c>
      <c r="G150" s="77">
        <v>1998.0</v>
      </c>
      <c r="H150" s="77" t="str">
        <f t="array" ref="H150:M150">'Test 4-Stats'!C148:H148</f>
        <v>Business Unit 3</v>
      </c>
      <c r="I150" s="77" t="s">
        <v>137</v>
      </c>
      <c r="J150" s="77" t="s">
        <v>138</v>
      </c>
      <c r="K150" s="77" t="s">
        <v>196</v>
      </c>
      <c r="L150" s="77" t="s">
        <v>140</v>
      </c>
      <c r="M150" s="77" t="s">
        <v>129</v>
      </c>
      <c r="N150" s="78">
        <f t="array" ref="N150:P150">'Test 4-Stats'!AL148:AN148</f>
        <v>44023</v>
      </c>
      <c r="O150" s="78">
        <v>45849.0</v>
      </c>
      <c r="P150" s="77">
        <v>60.0</v>
      </c>
      <c r="Q150" s="77" t="str">
        <f>'Test 4-Stats'!CX148</f>
        <v>Active</v>
      </c>
      <c r="R150" s="79"/>
      <c r="S150" s="79"/>
      <c r="T150" s="79"/>
      <c r="U150" s="79"/>
      <c r="V150" s="79"/>
      <c r="W150" s="79"/>
      <c r="X150" s="79"/>
      <c r="Y150" s="79"/>
      <c r="Z150" s="79"/>
    </row>
    <row r="151" ht="14.25" customHeight="1">
      <c r="A151" s="76" t="str">
        <f>'Test 4-Stats'!S149</f>
        <v>Reg 150</v>
      </c>
      <c r="B151" s="77">
        <f>'Test 4-Stats'!Y149</f>
        <v>2024</v>
      </c>
      <c r="C151" s="77" t="str">
        <f>'Test 4-Stats'!W149</f>
        <v>FORD</v>
      </c>
      <c r="D151" s="77" t="str">
        <f>'Test 4-Stats'!V149</f>
        <v>ONE TON LDV DOUBLE CAB</v>
      </c>
      <c r="E151" s="77" t="str">
        <f>'Test 4-Stats'!X149</f>
        <v>RANGER 2.0 SiT D CAB BASE 4X4</v>
      </c>
      <c r="F151" s="77" t="str">
        <f t="array" ref="F151:G151">'Test 4-Stats'!Z149:AA149</f>
        <v>DIESEL</v>
      </c>
      <c r="G151" s="77">
        <v>1998.0</v>
      </c>
      <c r="H151" s="77" t="str">
        <f t="array" ref="H151:M151">'Test 4-Stats'!C149:H149</f>
        <v>Business Unit 1</v>
      </c>
      <c r="I151" s="77" t="s">
        <v>110</v>
      </c>
      <c r="J151" s="77" t="s">
        <v>111</v>
      </c>
      <c r="K151" s="77" t="s">
        <v>176</v>
      </c>
      <c r="L151" s="77" t="s">
        <v>140</v>
      </c>
      <c r="M151" s="77" t="s">
        <v>141</v>
      </c>
      <c r="N151" s="78">
        <f t="array" ref="N151:P151">'Test 4-Stats'!AL149:AN149</f>
        <v>44147</v>
      </c>
      <c r="O151" s="78">
        <v>45973.0</v>
      </c>
      <c r="P151" s="77">
        <v>60.0</v>
      </c>
      <c r="Q151" s="77" t="str">
        <f>'Test 4-Stats'!CX149</f>
        <v>Active</v>
      </c>
      <c r="R151" s="79"/>
      <c r="S151" s="79"/>
      <c r="T151" s="79"/>
      <c r="U151" s="79"/>
      <c r="V151" s="79"/>
      <c r="W151" s="79"/>
      <c r="X151" s="79"/>
      <c r="Y151" s="79"/>
      <c r="Z151" s="79"/>
    </row>
    <row r="152" ht="14.25" customHeight="1">
      <c r="A152" s="76" t="str">
        <f>'Test 4-Stats'!S150</f>
        <v>Reg 151</v>
      </c>
      <c r="B152" s="77">
        <f>'Test 4-Stats'!Y150</f>
        <v>2024</v>
      </c>
      <c r="C152" s="77" t="str">
        <f>'Test 4-Stats'!W150</f>
        <v>FORD</v>
      </c>
      <c r="D152" s="77" t="str">
        <f>'Test 4-Stats'!V150</f>
        <v>ONE TON LDV DOUBLE CAB</v>
      </c>
      <c r="E152" s="77" t="str">
        <f>'Test 4-Stats'!X150</f>
        <v>RANGER 2.0 SiT D CAB BASE 4X2</v>
      </c>
      <c r="F152" s="77" t="str">
        <f t="array" ref="F152:G152">'Test 4-Stats'!Z150:AA150</f>
        <v>DIESEL</v>
      </c>
      <c r="G152" s="77">
        <v>1998.0</v>
      </c>
      <c r="H152" s="77" t="str">
        <f t="array" ref="H152:M152">'Test 4-Stats'!C150:H150</f>
        <v>Business Unit 2</v>
      </c>
      <c r="I152" s="77" t="s">
        <v>125</v>
      </c>
      <c r="J152" s="77" t="s">
        <v>126</v>
      </c>
      <c r="K152" s="77" t="s">
        <v>176</v>
      </c>
      <c r="L152" s="77" t="s">
        <v>140</v>
      </c>
      <c r="M152" s="77" t="s">
        <v>114</v>
      </c>
      <c r="N152" s="78">
        <f t="array" ref="N152:P152">'Test 4-Stats'!AL150:AN150</f>
        <v>44025</v>
      </c>
      <c r="O152" s="78">
        <v>45851.0</v>
      </c>
      <c r="P152" s="77">
        <v>60.0</v>
      </c>
      <c r="Q152" s="77" t="str">
        <f>'Test 4-Stats'!CX150</f>
        <v>Active</v>
      </c>
      <c r="R152" s="79"/>
      <c r="S152" s="79"/>
      <c r="T152" s="79"/>
      <c r="U152" s="79"/>
      <c r="V152" s="79"/>
      <c r="W152" s="79"/>
      <c r="X152" s="79"/>
      <c r="Y152" s="79"/>
      <c r="Z152" s="79"/>
    </row>
    <row r="153" ht="14.25" customHeight="1">
      <c r="A153" s="76" t="str">
        <f>'Test 4-Stats'!S151</f>
        <v>Reg 152</v>
      </c>
      <c r="B153" s="77">
        <f>'Test 4-Stats'!Y151</f>
        <v>2024</v>
      </c>
      <c r="C153" s="77" t="str">
        <f>'Test 4-Stats'!W151</f>
        <v>FORD</v>
      </c>
      <c r="D153" s="77" t="str">
        <f>'Test 4-Stats'!V151</f>
        <v>ONE TON LDV DOUBLE CAB</v>
      </c>
      <c r="E153" s="77" t="str">
        <f>'Test 4-Stats'!X151</f>
        <v>RANGER 2.0 SiT D CAB BASE 4X4</v>
      </c>
      <c r="F153" s="77" t="str">
        <f t="array" ref="F153:G153">'Test 4-Stats'!Z151:AA151</f>
        <v>DIESEL</v>
      </c>
      <c r="G153" s="77">
        <v>1998.0</v>
      </c>
      <c r="H153" s="77" t="str">
        <f t="array" ref="H153:M153">'Test 4-Stats'!C151:H151</f>
        <v>Business Unit 3</v>
      </c>
      <c r="I153" s="77" t="s">
        <v>137</v>
      </c>
      <c r="J153" s="77" t="s">
        <v>138</v>
      </c>
      <c r="K153" s="77" t="s">
        <v>176</v>
      </c>
      <c r="L153" s="77" t="s">
        <v>140</v>
      </c>
      <c r="M153" s="77" t="s">
        <v>129</v>
      </c>
      <c r="N153" s="78">
        <f t="array" ref="N153:P153">'Test 4-Stats'!AL151:AN151</f>
        <v>44026</v>
      </c>
      <c r="O153" s="78">
        <v>45852.0</v>
      </c>
      <c r="P153" s="77">
        <v>60.0</v>
      </c>
      <c r="Q153" s="77" t="str">
        <f>'Test 4-Stats'!CX151</f>
        <v>Active</v>
      </c>
      <c r="R153" s="79"/>
      <c r="S153" s="79"/>
      <c r="T153" s="79"/>
      <c r="U153" s="79"/>
      <c r="V153" s="79"/>
      <c r="W153" s="79"/>
      <c r="X153" s="79"/>
      <c r="Y153" s="79"/>
      <c r="Z153" s="79"/>
    </row>
    <row r="154" ht="14.25" customHeight="1">
      <c r="A154" s="76" t="str">
        <f>'Test 4-Stats'!S152</f>
        <v>Reg 153</v>
      </c>
      <c r="B154" s="77">
        <f>'Test 4-Stats'!Y152</f>
        <v>2024</v>
      </c>
      <c r="C154" s="77" t="str">
        <f>'Test 4-Stats'!W152</f>
        <v>FORD</v>
      </c>
      <c r="D154" s="77" t="str">
        <f>'Test 4-Stats'!V152</f>
        <v>ONE TON LDV DOUBLE CAB</v>
      </c>
      <c r="E154" s="77" t="str">
        <f>'Test 4-Stats'!X152</f>
        <v>RANGER 2.0 SiT D CAB BASE 4X4</v>
      </c>
      <c r="F154" s="77" t="str">
        <f t="array" ref="F154:G154">'Test 4-Stats'!Z152:AA152</f>
        <v>DIESEL</v>
      </c>
      <c r="G154" s="77">
        <v>1998.0</v>
      </c>
      <c r="H154" s="77" t="str">
        <f t="array" ref="H154:M154">'Test 4-Stats'!C152:H152</f>
        <v>Business Unit 1</v>
      </c>
      <c r="I154" s="77" t="s">
        <v>110</v>
      </c>
      <c r="J154" s="77" t="s">
        <v>111</v>
      </c>
      <c r="K154" s="77" t="s">
        <v>176</v>
      </c>
      <c r="L154" s="77" t="s">
        <v>140</v>
      </c>
      <c r="M154" s="77" t="s">
        <v>141</v>
      </c>
      <c r="N154" s="78">
        <f t="array" ref="N154:P154">'Test 4-Stats'!AL152:AN152</f>
        <v>44027</v>
      </c>
      <c r="O154" s="78">
        <v>45853.0</v>
      </c>
      <c r="P154" s="77">
        <v>60.0</v>
      </c>
      <c r="Q154" s="77" t="str">
        <f>'Test 4-Stats'!CX152</f>
        <v>Active</v>
      </c>
      <c r="R154" s="79"/>
      <c r="S154" s="79"/>
      <c r="T154" s="79"/>
      <c r="U154" s="79"/>
      <c r="V154" s="79"/>
      <c r="W154" s="79"/>
      <c r="X154" s="79"/>
      <c r="Y154" s="79"/>
      <c r="Z154" s="79"/>
    </row>
    <row r="155" ht="14.25" customHeight="1">
      <c r="A155" s="76" t="str">
        <f>'Test 4-Stats'!S153</f>
        <v>Reg 154</v>
      </c>
      <c r="B155" s="77">
        <f>'Test 4-Stats'!Y153</f>
        <v>2024</v>
      </c>
      <c r="C155" s="77" t="str">
        <f>'Test 4-Stats'!W153</f>
        <v>FORD</v>
      </c>
      <c r="D155" s="77" t="str">
        <f>'Test 4-Stats'!V153</f>
        <v>ONE TON LDV DOUBLE CAB</v>
      </c>
      <c r="E155" s="77" t="str">
        <f>'Test 4-Stats'!X153</f>
        <v>RANGER 2.0 SiT D CAB BASE 4X4</v>
      </c>
      <c r="F155" s="77" t="str">
        <f t="array" ref="F155:G155">'Test 4-Stats'!Z153:AA153</f>
        <v>DIESEL</v>
      </c>
      <c r="G155" s="77">
        <v>1998.0</v>
      </c>
      <c r="H155" s="77" t="str">
        <f t="array" ref="H155:M155">'Test 4-Stats'!C153:H153</f>
        <v>Business Unit 2</v>
      </c>
      <c r="I155" s="77" t="s">
        <v>125</v>
      </c>
      <c r="J155" s="77" t="s">
        <v>126</v>
      </c>
      <c r="K155" s="77" t="s">
        <v>176</v>
      </c>
      <c r="L155" s="77" t="s">
        <v>140</v>
      </c>
      <c r="M155" s="77" t="s">
        <v>114</v>
      </c>
      <c r="N155" s="78">
        <f t="array" ref="N155:P155">'Test 4-Stats'!AL153:AN153</f>
        <v>44028</v>
      </c>
      <c r="O155" s="78">
        <v>45854.0</v>
      </c>
      <c r="P155" s="77">
        <v>60.0</v>
      </c>
      <c r="Q155" s="77" t="str">
        <f>'Test 4-Stats'!CX153</f>
        <v>Active</v>
      </c>
      <c r="R155" s="79"/>
      <c r="S155" s="79"/>
      <c r="T155" s="79"/>
      <c r="U155" s="79"/>
      <c r="V155" s="79"/>
      <c r="W155" s="79"/>
      <c r="X155" s="79"/>
      <c r="Y155" s="79"/>
      <c r="Z155" s="79"/>
    </row>
    <row r="156" ht="14.25" customHeight="1">
      <c r="A156" s="76" t="str">
        <f>'Test 4-Stats'!S154</f>
        <v>Reg 155</v>
      </c>
      <c r="B156" s="77">
        <f>'Test 4-Stats'!Y154</f>
        <v>2024</v>
      </c>
      <c r="C156" s="77" t="str">
        <f>'Test 4-Stats'!W154</f>
        <v>FORD</v>
      </c>
      <c r="D156" s="77" t="str">
        <f>'Test 4-Stats'!V154</f>
        <v>ONE TON LDV DOUBLE CAB</v>
      </c>
      <c r="E156" s="77" t="str">
        <f>'Test 4-Stats'!X154</f>
        <v>RANGER 2.0 SiT D CAB BASE 4X4</v>
      </c>
      <c r="F156" s="77" t="str">
        <f t="array" ref="F156:G156">'Test 4-Stats'!Z154:AA154</f>
        <v>DIESEL</v>
      </c>
      <c r="G156" s="77">
        <v>1998.0</v>
      </c>
      <c r="H156" s="77" t="str">
        <f t="array" ref="H156:M156">'Test 4-Stats'!C154:H154</f>
        <v>Business Unit 3</v>
      </c>
      <c r="I156" s="77" t="s">
        <v>137</v>
      </c>
      <c r="J156" s="77" t="s">
        <v>138</v>
      </c>
      <c r="K156" s="77" t="s">
        <v>176</v>
      </c>
      <c r="L156" s="77" t="s">
        <v>140</v>
      </c>
      <c r="M156" s="77" t="s">
        <v>129</v>
      </c>
      <c r="N156" s="78">
        <f t="array" ref="N156:P156">'Test 4-Stats'!AL154:AN154</f>
        <v>44029</v>
      </c>
      <c r="O156" s="78">
        <v>45855.0</v>
      </c>
      <c r="P156" s="77">
        <v>60.0</v>
      </c>
      <c r="Q156" s="77" t="str">
        <f>'Test 4-Stats'!CX154</f>
        <v>Active</v>
      </c>
      <c r="R156" s="79"/>
      <c r="S156" s="79"/>
      <c r="T156" s="79"/>
      <c r="U156" s="79"/>
      <c r="V156" s="79"/>
      <c r="W156" s="79"/>
      <c r="X156" s="79"/>
      <c r="Y156" s="79"/>
      <c r="Z156" s="79"/>
    </row>
    <row r="157" ht="14.25" customHeight="1">
      <c r="A157" s="76" t="str">
        <f>'Test 4-Stats'!S155</f>
        <v>Reg 156</v>
      </c>
      <c r="B157" s="77">
        <f>'Test 4-Stats'!Y155</f>
        <v>2024</v>
      </c>
      <c r="C157" s="77" t="str">
        <f>'Test 4-Stats'!W155</f>
        <v>FORD</v>
      </c>
      <c r="D157" s="77" t="str">
        <f>'Test 4-Stats'!V155</f>
        <v>ONE TON LDV DOUBLE CAB</v>
      </c>
      <c r="E157" s="77" t="str">
        <f>'Test 4-Stats'!X155</f>
        <v>RANGER 2.0 SiT D CAB BASE 4X2</v>
      </c>
      <c r="F157" s="77" t="str">
        <f t="array" ref="F157:G157">'Test 4-Stats'!Z155:AA155</f>
        <v>DIESEL</v>
      </c>
      <c r="G157" s="77">
        <v>1998.0</v>
      </c>
      <c r="H157" s="77" t="str">
        <f t="array" ref="H157:M157">'Test 4-Stats'!C155:H155</f>
        <v>Business Unit 1</v>
      </c>
      <c r="I157" s="77" t="s">
        <v>110</v>
      </c>
      <c r="J157" s="77" t="s">
        <v>111</v>
      </c>
      <c r="K157" s="77" t="s">
        <v>176</v>
      </c>
      <c r="L157" s="77" t="s">
        <v>140</v>
      </c>
      <c r="M157" s="77" t="s">
        <v>141</v>
      </c>
      <c r="N157" s="78">
        <f t="array" ref="N157:P157">'Test 4-Stats'!AL155:AN155</f>
        <v>44183</v>
      </c>
      <c r="O157" s="78">
        <v>46009.0</v>
      </c>
      <c r="P157" s="77">
        <v>60.0</v>
      </c>
      <c r="Q157" s="77" t="str">
        <f>'Test 4-Stats'!CX155</f>
        <v>Active</v>
      </c>
      <c r="R157" s="79"/>
      <c r="S157" s="79"/>
      <c r="T157" s="79"/>
      <c r="U157" s="79"/>
      <c r="V157" s="79"/>
      <c r="W157" s="79"/>
      <c r="X157" s="79"/>
      <c r="Y157" s="79"/>
      <c r="Z157" s="79"/>
    </row>
    <row r="158" ht="14.25" customHeight="1">
      <c r="A158" s="76" t="str">
        <f>'Test 4-Stats'!S156</f>
        <v>Reg 157</v>
      </c>
      <c r="B158" s="77">
        <f>'Test 4-Stats'!Y156</f>
        <v>2024</v>
      </c>
      <c r="C158" s="77" t="str">
        <f>'Test 4-Stats'!W156</f>
        <v>FORD</v>
      </c>
      <c r="D158" s="77" t="str">
        <f>'Test 4-Stats'!V156</f>
        <v>ONE TON LDV DOUBLE CAB</v>
      </c>
      <c r="E158" s="77" t="str">
        <f>'Test 4-Stats'!X156</f>
        <v>RANGER 2.0 SiT D CAB BASE 4X4</v>
      </c>
      <c r="F158" s="77" t="str">
        <f t="array" ref="F158:G158">'Test 4-Stats'!Z156:AA156</f>
        <v>DIESEL</v>
      </c>
      <c r="G158" s="77">
        <v>1998.0</v>
      </c>
      <c r="H158" s="77" t="str">
        <f t="array" ref="H158:M158">'Test 4-Stats'!C156:H156</f>
        <v>Business Unit 2</v>
      </c>
      <c r="I158" s="77" t="s">
        <v>125</v>
      </c>
      <c r="J158" s="77" t="s">
        <v>126</v>
      </c>
      <c r="K158" s="77" t="s">
        <v>176</v>
      </c>
      <c r="L158" s="77" t="s">
        <v>140</v>
      </c>
      <c r="M158" s="77" t="s">
        <v>114</v>
      </c>
      <c r="N158" s="78">
        <f t="array" ref="N158:P158">'Test 4-Stats'!AL156:AN156</f>
        <v>44031</v>
      </c>
      <c r="O158" s="78">
        <v>45857.0</v>
      </c>
      <c r="P158" s="77">
        <v>60.0</v>
      </c>
      <c r="Q158" s="77" t="str">
        <f>'Test 4-Stats'!CX156</f>
        <v>Active</v>
      </c>
      <c r="R158" s="79"/>
      <c r="S158" s="79"/>
      <c r="T158" s="79"/>
      <c r="U158" s="79"/>
      <c r="V158" s="79"/>
      <c r="W158" s="79"/>
      <c r="X158" s="79"/>
      <c r="Y158" s="79"/>
      <c r="Z158" s="79"/>
    </row>
    <row r="159" ht="14.25" customHeight="1">
      <c r="A159" s="76" t="str">
        <f>'Test 4-Stats'!S157</f>
        <v>Reg 158</v>
      </c>
      <c r="B159" s="77">
        <f>'Test 4-Stats'!Y157</f>
        <v>2024</v>
      </c>
      <c r="C159" s="77" t="str">
        <f>'Test 4-Stats'!W157</f>
        <v>FORD</v>
      </c>
      <c r="D159" s="77" t="str">
        <f>'Test 4-Stats'!V157</f>
        <v>ONE TON LDV DOUBLE CAB</v>
      </c>
      <c r="E159" s="77" t="str">
        <f>'Test 4-Stats'!X157</f>
        <v>RANGER 2.0 SiT D CAB BASE 4X4</v>
      </c>
      <c r="F159" s="77" t="str">
        <f t="array" ref="F159:G159">'Test 4-Stats'!Z157:AA157</f>
        <v>DIESEL</v>
      </c>
      <c r="G159" s="77">
        <v>1998.0</v>
      </c>
      <c r="H159" s="77" t="str">
        <f t="array" ref="H159:M159">'Test 4-Stats'!C157:H157</f>
        <v>Business Unit 1</v>
      </c>
      <c r="I159" s="77" t="s">
        <v>137</v>
      </c>
      <c r="J159" s="77" t="s">
        <v>138</v>
      </c>
      <c r="K159" s="77" t="s">
        <v>176</v>
      </c>
      <c r="L159" s="77" t="s">
        <v>140</v>
      </c>
      <c r="M159" s="77" t="s">
        <v>129</v>
      </c>
      <c r="N159" s="78">
        <f t="array" ref="N159:P159">'Test 4-Stats'!AL157:AN157</f>
        <v>44124</v>
      </c>
      <c r="O159" s="78">
        <v>45950.0</v>
      </c>
      <c r="P159" s="77">
        <v>60.0</v>
      </c>
      <c r="Q159" s="77" t="str">
        <f>'Test 4-Stats'!CX157</f>
        <v>Active</v>
      </c>
      <c r="R159" s="79"/>
      <c r="S159" s="79"/>
      <c r="T159" s="79"/>
      <c r="U159" s="79"/>
      <c r="V159" s="79"/>
      <c r="W159" s="79"/>
      <c r="X159" s="79"/>
      <c r="Y159" s="79"/>
      <c r="Z159" s="79"/>
    </row>
    <row r="160" ht="14.25" customHeight="1">
      <c r="A160" s="76" t="str">
        <f>'Test 4-Stats'!S158</f>
        <v>Reg 159</v>
      </c>
      <c r="B160" s="77">
        <f>'Test 4-Stats'!Y158</f>
        <v>2024</v>
      </c>
      <c r="C160" s="77" t="str">
        <f>'Test 4-Stats'!W158</f>
        <v>FORD</v>
      </c>
      <c r="D160" s="77" t="str">
        <f>'Test 4-Stats'!V158</f>
        <v>ONE TON LDV DOUBLE CAB</v>
      </c>
      <c r="E160" s="77" t="str">
        <f>'Test 4-Stats'!X158</f>
        <v>RANGER 2.0 SiT D CAB BASE 4X4</v>
      </c>
      <c r="F160" s="77" t="str">
        <f t="array" ref="F160:G160">'Test 4-Stats'!Z158:AA158</f>
        <v>DIESEL</v>
      </c>
      <c r="G160" s="77">
        <v>1998.0</v>
      </c>
      <c r="H160" s="77" t="str">
        <f t="array" ref="H160:M160">'Test 4-Stats'!C158:H158</f>
        <v>Business Unit 2</v>
      </c>
      <c r="I160" s="77" t="s">
        <v>110</v>
      </c>
      <c r="J160" s="77" t="s">
        <v>111</v>
      </c>
      <c r="K160" s="77" t="s">
        <v>176</v>
      </c>
      <c r="L160" s="77" t="s">
        <v>140</v>
      </c>
      <c r="M160" s="77" t="s">
        <v>141</v>
      </c>
      <c r="N160" s="78">
        <f t="array" ref="N160:P160">'Test 4-Stats'!AL158:AN158</f>
        <v>44033</v>
      </c>
      <c r="O160" s="78">
        <v>45859.0</v>
      </c>
      <c r="P160" s="77">
        <v>60.0</v>
      </c>
      <c r="Q160" s="77" t="str">
        <f>'Test 4-Stats'!CX158</f>
        <v>Active</v>
      </c>
      <c r="R160" s="79"/>
      <c r="S160" s="79"/>
      <c r="T160" s="79"/>
      <c r="U160" s="79"/>
      <c r="V160" s="79"/>
      <c r="W160" s="79"/>
      <c r="X160" s="79"/>
      <c r="Y160" s="79"/>
      <c r="Z160" s="79"/>
    </row>
    <row r="161" ht="14.25" customHeight="1">
      <c r="A161" s="76" t="str">
        <f>'Test 4-Stats'!S159</f>
        <v>Reg 160</v>
      </c>
      <c r="B161" s="77">
        <f>'Test 4-Stats'!Y159</f>
        <v>2024</v>
      </c>
      <c r="C161" s="77" t="str">
        <f>'Test 4-Stats'!W159</f>
        <v>FORD</v>
      </c>
      <c r="D161" s="77" t="str">
        <f>'Test 4-Stats'!V159</f>
        <v>ONE TON LDV DOUBLE CAB</v>
      </c>
      <c r="E161" s="77" t="str">
        <f>'Test 4-Stats'!X159</f>
        <v>RANGER 2.0 SiT D CAB BASE 4X2</v>
      </c>
      <c r="F161" s="77" t="str">
        <f t="array" ref="F161:G161">'Test 4-Stats'!Z159:AA159</f>
        <v>DIESEL</v>
      </c>
      <c r="G161" s="77">
        <v>1998.0</v>
      </c>
      <c r="H161" s="77" t="str">
        <f t="array" ref="H161:M161">'Test 4-Stats'!C159:H159</f>
        <v>Business Unit 3</v>
      </c>
      <c r="I161" s="77" t="s">
        <v>125</v>
      </c>
      <c r="J161" s="77" t="s">
        <v>126</v>
      </c>
      <c r="K161" s="77" t="s">
        <v>176</v>
      </c>
      <c r="L161" s="77" t="s">
        <v>140</v>
      </c>
      <c r="M161" s="77" t="s">
        <v>114</v>
      </c>
      <c r="N161" s="78">
        <f t="array" ref="N161:P161">'Test 4-Stats'!AL159:AN159</f>
        <v>44034</v>
      </c>
      <c r="O161" s="78">
        <v>45860.0</v>
      </c>
      <c r="P161" s="77">
        <v>60.0</v>
      </c>
      <c r="Q161" s="77" t="str">
        <f>'Test 4-Stats'!CX159</f>
        <v>Active</v>
      </c>
      <c r="R161" s="79"/>
      <c r="S161" s="79"/>
      <c r="T161" s="79"/>
      <c r="U161" s="79"/>
      <c r="V161" s="79"/>
      <c r="W161" s="79"/>
      <c r="X161" s="79"/>
      <c r="Y161" s="79"/>
      <c r="Z161" s="79"/>
    </row>
    <row r="162" ht="14.25" customHeight="1">
      <c r="A162" s="76" t="str">
        <f>'Test 4-Stats'!S160</f>
        <v>Reg 161</v>
      </c>
      <c r="B162" s="77">
        <f>'Test 4-Stats'!Y160</f>
        <v>2024</v>
      </c>
      <c r="C162" s="77" t="str">
        <f>'Test 4-Stats'!W160</f>
        <v>FORD</v>
      </c>
      <c r="D162" s="77" t="str">
        <f>'Test 4-Stats'!V160</f>
        <v>ONE TON LDV DOUBLE CAB</v>
      </c>
      <c r="E162" s="77" t="str">
        <f>'Test 4-Stats'!X160</f>
        <v>RANGER 2.0 SiT D CAB BASE 4X2</v>
      </c>
      <c r="F162" s="77" t="str">
        <f t="array" ref="F162:G162">'Test 4-Stats'!Z160:AA160</f>
        <v>DIESEL</v>
      </c>
      <c r="G162" s="77">
        <v>1998.0</v>
      </c>
      <c r="H162" s="77" t="str">
        <f t="array" ref="H162:M162">'Test 4-Stats'!C160:H160</f>
        <v>Business Unit 1</v>
      </c>
      <c r="I162" s="77" t="s">
        <v>137</v>
      </c>
      <c r="J162" s="77" t="s">
        <v>138</v>
      </c>
      <c r="K162" s="77" t="s">
        <v>176</v>
      </c>
      <c r="L162" s="77" t="s">
        <v>140</v>
      </c>
      <c r="M162" s="77" t="s">
        <v>129</v>
      </c>
      <c r="N162" s="78">
        <f t="array" ref="N162:P162">'Test 4-Stats'!AL160:AN160</f>
        <v>44035</v>
      </c>
      <c r="O162" s="78">
        <v>45861.0</v>
      </c>
      <c r="P162" s="77">
        <v>60.0</v>
      </c>
      <c r="Q162" s="77" t="str">
        <f>'Test 4-Stats'!CX160</f>
        <v>Active</v>
      </c>
      <c r="R162" s="79"/>
      <c r="S162" s="79"/>
      <c r="T162" s="79"/>
      <c r="U162" s="79"/>
      <c r="V162" s="79"/>
      <c r="W162" s="79"/>
      <c r="X162" s="79"/>
      <c r="Y162" s="79"/>
      <c r="Z162" s="79"/>
    </row>
    <row r="163" ht="14.25" customHeight="1">
      <c r="A163" s="76" t="str">
        <f>'Test 4-Stats'!S161</f>
        <v>Reg 162</v>
      </c>
      <c r="B163" s="77">
        <f>'Test 4-Stats'!Y161</f>
        <v>2024</v>
      </c>
      <c r="C163" s="77" t="str">
        <f>'Test 4-Stats'!W161</f>
        <v>FORD</v>
      </c>
      <c r="D163" s="77" t="str">
        <f>'Test 4-Stats'!V161</f>
        <v>ONE TON LDV DOUBLE CAB</v>
      </c>
      <c r="E163" s="77" t="str">
        <f>'Test 4-Stats'!X161</f>
        <v>RANGER 2.0 SiT D CAB BASE 4X2</v>
      </c>
      <c r="F163" s="77" t="str">
        <f t="array" ref="F163:G163">'Test 4-Stats'!Z161:AA161</f>
        <v>DIESEL</v>
      </c>
      <c r="G163" s="77">
        <v>1998.0</v>
      </c>
      <c r="H163" s="77" t="str">
        <f t="array" ref="H163:M163">'Test 4-Stats'!C161:H161</f>
        <v>Business Unit 2</v>
      </c>
      <c r="I163" s="77" t="s">
        <v>110</v>
      </c>
      <c r="J163" s="77" t="s">
        <v>111</v>
      </c>
      <c r="K163" s="77" t="s">
        <v>176</v>
      </c>
      <c r="L163" s="77" t="s">
        <v>140</v>
      </c>
      <c r="M163" s="77" t="s">
        <v>141</v>
      </c>
      <c r="N163" s="78">
        <f t="array" ref="N163:P163">'Test 4-Stats'!AL161:AN161</f>
        <v>44036</v>
      </c>
      <c r="O163" s="78">
        <v>45862.0</v>
      </c>
      <c r="P163" s="77">
        <v>60.0</v>
      </c>
      <c r="Q163" s="77" t="str">
        <f>'Test 4-Stats'!CX161</f>
        <v>Active</v>
      </c>
      <c r="R163" s="79"/>
      <c r="S163" s="79"/>
      <c r="T163" s="79"/>
      <c r="U163" s="79"/>
      <c r="V163" s="79"/>
      <c r="W163" s="79"/>
      <c r="X163" s="79"/>
      <c r="Y163" s="79"/>
      <c r="Z163" s="79"/>
    </row>
    <row r="164" ht="14.25" customHeight="1">
      <c r="A164" s="76" t="str">
        <f>'Test 4-Stats'!S162</f>
        <v>Reg 163</v>
      </c>
      <c r="B164" s="77">
        <f>'Test 4-Stats'!Y162</f>
        <v>2024</v>
      </c>
      <c r="C164" s="77" t="str">
        <f>'Test 4-Stats'!W162</f>
        <v>FORD</v>
      </c>
      <c r="D164" s="77" t="str">
        <f>'Test 4-Stats'!V162</f>
        <v>ONE TON LDV DOUBLE CAB</v>
      </c>
      <c r="E164" s="77" t="str">
        <f>'Test 4-Stats'!X162</f>
        <v>RANGER 2.0 SiT D CAB BASE 4X2</v>
      </c>
      <c r="F164" s="77" t="str">
        <f t="array" ref="F164:G164">'Test 4-Stats'!Z162:AA162</f>
        <v>DIESEL</v>
      </c>
      <c r="G164" s="77">
        <v>1998.0</v>
      </c>
      <c r="H164" s="77" t="str">
        <f t="array" ref="H164:M164">'Test 4-Stats'!C162:H162</f>
        <v>Business Unit 3</v>
      </c>
      <c r="I164" s="77" t="s">
        <v>125</v>
      </c>
      <c r="J164" s="77" t="s">
        <v>126</v>
      </c>
      <c r="K164" s="77" t="s">
        <v>176</v>
      </c>
      <c r="L164" s="77" t="s">
        <v>140</v>
      </c>
      <c r="M164" s="77" t="s">
        <v>114</v>
      </c>
      <c r="N164" s="78">
        <f t="array" ref="N164:P164">'Test 4-Stats'!AL162:AN162</f>
        <v>44017</v>
      </c>
      <c r="O164" s="78">
        <v>45843.0</v>
      </c>
      <c r="P164" s="77">
        <v>60.0</v>
      </c>
      <c r="Q164" s="77" t="str">
        <f>'Test 4-Stats'!CX162</f>
        <v>Active</v>
      </c>
      <c r="R164" s="79"/>
      <c r="S164" s="79"/>
      <c r="T164" s="79"/>
      <c r="U164" s="79"/>
      <c r="V164" s="79"/>
      <c r="W164" s="79"/>
      <c r="X164" s="79"/>
      <c r="Y164" s="79"/>
      <c r="Z164" s="79"/>
    </row>
    <row r="165" ht="14.25" customHeight="1">
      <c r="A165" s="76" t="str">
        <f>'Test 4-Stats'!S163</f>
        <v>Reg 164</v>
      </c>
      <c r="B165" s="77">
        <f>'Test 4-Stats'!Y163</f>
        <v>2024</v>
      </c>
      <c r="C165" s="77" t="str">
        <f>'Test 4-Stats'!W163</f>
        <v>ISUZU</v>
      </c>
      <c r="D165" s="77" t="str">
        <f>'Test 4-Stats'!V163</f>
        <v>ONE TON LDV DOUBLE CAB</v>
      </c>
      <c r="E165" s="77" t="str">
        <f>'Test 4-Stats'!X163</f>
        <v>D-MAX 250 HO HI-RIDER D/CAB</v>
      </c>
      <c r="F165" s="77" t="str">
        <f t="array" ref="F165:G165">'Test 4-Stats'!Z163:AA163</f>
        <v>DIESEL</v>
      </c>
      <c r="G165" s="77">
        <v>2498.0</v>
      </c>
      <c r="H165" s="77" t="str">
        <f t="array" ref="H165:M165">'Test 4-Stats'!C163:H163</f>
        <v>Business Unit 1</v>
      </c>
      <c r="I165" s="77" t="s">
        <v>137</v>
      </c>
      <c r="J165" s="77" t="s">
        <v>138</v>
      </c>
      <c r="K165" s="77" t="s">
        <v>172</v>
      </c>
      <c r="L165" s="77" t="s">
        <v>140</v>
      </c>
      <c r="M165" s="77" t="s">
        <v>129</v>
      </c>
      <c r="N165" s="78">
        <f t="array" ref="N165:P165">'Test 4-Stats'!AL163:AN163</f>
        <v>44018</v>
      </c>
      <c r="O165" s="78">
        <v>45844.0</v>
      </c>
      <c r="P165" s="77">
        <v>60.0</v>
      </c>
      <c r="Q165" s="77" t="str">
        <f>'Test 4-Stats'!CX163</f>
        <v>Active</v>
      </c>
      <c r="R165" s="79"/>
      <c r="S165" s="79"/>
      <c r="T165" s="79"/>
      <c r="U165" s="79"/>
      <c r="V165" s="79"/>
      <c r="W165" s="79"/>
      <c r="X165" s="79"/>
      <c r="Y165" s="79"/>
      <c r="Z165" s="79"/>
    </row>
    <row r="166" ht="14.25" customHeight="1">
      <c r="A166" s="76" t="str">
        <f>'Test 4-Stats'!S164</f>
        <v>Reg 165</v>
      </c>
      <c r="B166" s="77">
        <f>'Test 4-Stats'!Y164</f>
        <v>2024</v>
      </c>
      <c r="C166" s="77" t="str">
        <f>'Test 4-Stats'!W164</f>
        <v>SUZUKI</v>
      </c>
      <c r="D166" s="77" t="str">
        <f>'Test 4-Stats'!V164</f>
        <v>SEDAN</v>
      </c>
      <c r="E166" s="77" t="str">
        <f>'Test 4-Stats'!X164</f>
        <v>CIAZ 1.5 GL</v>
      </c>
      <c r="F166" s="77" t="str">
        <f t="array" ref="F166:G166">'Test 4-Stats'!Z164:AA164</f>
        <v>PETROL</v>
      </c>
      <c r="G166" s="77">
        <v>1498.0</v>
      </c>
      <c r="H166" s="77" t="str">
        <f t="array" ref="H166:M166">'Test 4-Stats'!C164:H164</f>
        <v>Business Unit 2</v>
      </c>
      <c r="I166" s="77" t="s">
        <v>110</v>
      </c>
      <c r="J166" s="77" t="s">
        <v>111</v>
      </c>
      <c r="K166" s="77" t="s">
        <v>176</v>
      </c>
      <c r="L166" s="77" t="s">
        <v>140</v>
      </c>
      <c r="M166" s="77" t="s">
        <v>141</v>
      </c>
      <c r="N166" s="78">
        <f t="array" ref="N166:P166">'Test 4-Stats'!AL164:AN164</f>
        <v>44019</v>
      </c>
      <c r="O166" s="78">
        <v>45845.0</v>
      </c>
      <c r="P166" s="77">
        <v>60.0</v>
      </c>
      <c r="Q166" s="77" t="str">
        <f>'Test 4-Stats'!CX164</f>
        <v>Active</v>
      </c>
      <c r="R166" s="79"/>
      <c r="S166" s="79"/>
      <c r="T166" s="79"/>
      <c r="U166" s="79"/>
      <c r="V166" s="79"/>
      <c r="W166" s="79"/>
      <c r="X166" s="79"/>
      <c r="Y166" s="79"/>
      <c r="Z166" s="79"/>
    </row>
    <row r="167" ht="14.25" customHeight="1">
      <c r="A167" s="76" t="str">
        <f>'Test 4-Stats'!S165</f>
        <v>Reg 166</v>
      </c>
      <c r="B167" s="77">
        <f>'Test 4-Stats'!Y165</f>
        <v>2024</v>
      </c>
      <c r="C167" s="77" t="str">
        <f>'Test 4-Stats'!W165</f>
        <v>FORD</v>
      </c>
      <c r="D167" s="77" t="str">
        <f>'Test 4-Stats'!V165</f>
        <v>ONE TON LDV DOUBLE CAB</v>
      </c>
      <c r="E167" s="77" t="str">
        <f>'Test 4-Stats'!X165</f>
        <v>RANGER 2.0 SiT D CAB BASE 4X4</v>
      </c>
      <c r="F167" s="77" t="str">
        <f t="array" ref="F167:G167">'Test 4-Stats'!Z165:AA165</f>
        <v>DIESEL</v>
      </c>
      <c r="G167" s="77">
        <v>1998.0</v>
      </c>
      <c r="H167" s="77" t="str">
        <f t="array" ref="H167:M167">'Test 4-Stats'!C165:H165</f>
        <v>Business Unit 3</v>
      </c>
      <c r="I167" s="77" t="s">
        <v>125</v>
      </c>
      <c r="J167" s="77" t="s">
        <v>126</v>
      </c>
      <c r="K167" s="77" t="s">
        <v>176</v>
      </c>
      <c r="L167" s="77" t="s">
        <v>140</v>
      </c>
      <c r="M167" s="77" t="s">
        <v>114</v>
      </c>
      <c r="N167" s="78">
        <f t="array" ref="N167:P167">'Test 4-Stats'!AL165:AN165</f>
        <v>44082</v>
      </c>
      <c r="O167" s="78">
        <v>45908.0</v>
      </c>
      <c r="P167" s="77">
        <v>60.0</v>
      </c>
      <c r="Q167" s="77" t="str">
        <f>'Test 4-Stats'!CX165</f>
        <v>Active</v>
      </c>
      <c r="R167" s="79"/>
      <c r="S167" s="79"/>
      <c r="T167" s="79"/>
      <c r="U167" s="79"/>
      <c r="V167" s="79"/>
      <c r="W167" s="79"/>
      <c r="X167" s="79"/>
      <c r="Y167" s="79"/>
      <c r="Z167" s="79"/>
    </row>
    <row r="168" ht="14.25" customHeight="1">
      <c r="A168" s="76" t="str">
        <f>'Test 4-Stats'!S166</f>
        <v>Reg 167</v>
      </c>
      <c r="B168" s="77">
        <f>'Test 4-Stats'!Y166</f>
        <v>2024</v>
      </c>
      <c r="C168" s="77" t="str">
        <f>'Test 4-Stats'!W166</f>
        <v>ISUZU</v>
      </c>
      <c r="D168" s="77" t="str">
        <f>'Test 4-Stats'!V166</f>
        <v>ONE TON LDV DOUBLE CAB</v>
      </c>
      <c r="E168" s="77" t="str">
        <f>'Test 4-Stats'!X166</f>
        <v>D-MAX 250 HO HI-RIDER D/CAB</v>
      </c>
      <c r="F168" s="77" t="str">
        <f t="array" ref="F168:G168">'Test 4-Stats'!Z166:AA166</f>
        <v>DIESEL</v>
      </c>
      <c r="G168" s="77">
        <v>2498.0</v>
      </c>
      <c r="H168" s="77" t="str">
        <f t="array" ref="H168:M168">'Test 4-Stats'!C166:H166</f>
        <v>Business Unit 1</v>
      </c>
      <c r="I168" s="77" t="s">
        <v>137</v>
      </c>
      <c r="J168" s="77" t="s">
        <v>138</v>
      </c>
      <c r="K168" s="77" t="s">
        <v>172</v>
      </c>
      <c r="L168" s="77" t="s">
        <v>140</v>
      </c>
      <c r="M168" s="77" t="s">
        <v>129</v>
      </c>
      <c r="N168" s="78">
        <f t="array" ref="N168:P168">'Test 4-Stats'!AL166:AN166</f>
        <v>44021</v>
      </c>
      <c r="O168" s="78">
        <v>45847.0</v>
      </c>
      <c r="P168" s="77">
        <v>60.0</v>
      </c>
      <c r="Q168" s="77" t="str">
        <f>'Test 4-Stats'!CX166</f>
        <v>Active</v>
      </c>
      <c r="R168" s="79"/>
      <c r="S168" s="79"/>
      <c r="T168" s="79"/>
      <c r="U168" s="79"/>
      <c r="V168" s="79"/>
      <c r="W168" s="79"/>
      <c r="X168" s="79"/>
      <c r="Y168" s="79"/>
      <c r="Z168" s="79"/>
    </row>
    <row r="169" ht="14.25" customHeight="1">
      <c r="A169" s="76" t="str">
        <f>'Test 4-Stats'!S167</f>
        <v>Reg 168</v>
      </c>
      <c r="B169" s="77">
        <f>'Test 4-Stats'!Y167</f>
        <v>2024</v>
      </c>
      <c r="C169" s="77" t="str">
        <f>'Test 4-Stats'!W167</f>
        <v>FORD</v>
      </c>
      <c r="D169" s="77" t="str">
        <f>'Test 4-Stats'!V167</f>
        <v>ONE TON LDV DOUBLE CAB</v>
      </c>
      <c r="E169" s="77" t="str">
        <f>'Test 4-Stats'!X167</f>
        <v>RANGER 2.0 SiT D CAB BASE 4X4</v>
      </c>
      <c r="F169" s="77" t="str">
        <f t="array" ref="F169:G169">'Test 4-Stats'!Z167:AA167</f>
        <v>DIESEL</v>
      </c>
      <c r="G169" s="77">
        <v>1998.0</v>
      </c>
      <c r="H169" s="77" t="str">
        <f t="array" ref="H169:M169">'Test 4-Stats'!C167:H167</f>
        <v>Business Unit 2</v>
      </c>
      <c r="I169" s="77" t="s">
        <v>110</v>
      </c>
      <c r="J169" s="77" t="s">
        <v>111</v>
      </c>
      <c r="K169" s="77" t="s">
        <v>176</v>
      </c>
      <c r="L169" s="77" t="s">
        <v>140</v>
      </c>
      <c r="M169" s="77" t="s">
        <v>141</v>
      </c>
      <c r="N169" s="78">
        <f t="array" ref="N169:P169">'Test 4-Stats'!AL167:AN167</f>
        <v>44022</v>
      </c>
      <c r="O169" s="78">
        <v>45848.0</v>
      </c>
      <c r="P169" s="77">
        <v>60.0</v>
      </c>
      <c r="Q169" s="77" t="str">
        <f>'Test 4-Stats'!CX167</f>
        <v>Active</v>
      </c>
      <c r="R169" s="79"/>
      <c r="S169" s="79"/>
      <c r="T169" s="79"/>
      <c r="U169" s="79"/>
      <c r="V169" s="79"/>
      <c r="W169" s="79"/>
      <c r="X169" s="79"/>
      <c r="Y169" s="79"/>
      <c r="Z169" s="79"/>
    </row>
    <row r="170" ht="14.25" customHeight="1">
      <c r="A170" s="76" t="str">
        <f>'Test 4-Stats'!S168</f>
        <v>Reg 169</v>
      </c>
      <c r="B170" s="77">
        <f>'Test 4-Stats'!Y168</f>
        <v>2024</v>
      </c>
      <c r="C170" s="77" t="str">
        <f>'Test 4-Stats'!W168</f>
        <v>ISUZU</v>
      </c>
      <c r="D170" s="77" t="str">
        <f>'Test 4-Stats'!V168</f>
        <v>ONE TON LDV DOUBLE CAB</v>
      </c>
      <c r="E170" s="77" t="str">
        <f>'Test 4-Stats'!X168</f>
        <v>D-MAX 250 HO HI-RIDER D/CAB</v>
      </c>
      <c r="F170" s="77" t="str">
        <f t="array" ref="F170:G170">'Test 4-Stats'!Z168:AA168</f>
        <v>DIESEL</v>
      </c>
      <c r="G170" s="77">
        <v>2498.0</v>
      </c>
      <c r="H170" s="77" t="str">
        <f t="array" ref="H170:M170">'Test 4-Stats'!C168:H168</f>
        <v>Business Unit 3</v>
      </c>
      <c r="I170" s="77" t="s">
        <v>125</v>
      </c>
      <c r="J170" s="77" t="s">
        <v>126</v>
      </c>
      <c r="K170" s="77" t="s">
        <v>172</v>
      </c>
      <c r="L170" s="77" t="s">
        <v>140</v>
      </c>
      <c r="M170" s="77" t="s">
        <v>114</v>
      </c>
      <c r="N170" s="78">
        <f t="array" ref="N170:P170">'Test 4-Stats'!AL168:AN168</f>
        <v>44023</v>
      </c>
      <c r="O170" s="78">
        <v>45849.0</v>
      </c>
      <c r="P170" s="77">
        <v>60.0</v>
      </c>
      <c r="Q170" s="77" t="str">
        <f>'Test 4-Stats'!CX168</f>
        <v>Active</v>
      </c>
      <c r="R170" s="79"/>
      <c r="S170" s="79"/>
      <c r="T170" s="79"/>
      <c r="U170" s="79"/>
      <c r="V170" s="79"/>
      <c r="W170" s="79"/>
      <c r="X170" s="79"/>
      <c r="Y170" s="79"/>
      <c r="Z170" s="79"/>
    </row>
    <row r="171" ht="14.25" customHeight="1">
      <c r="A171" s="76" t="str">
        <f>'Test 4-Stats'!S169</f>
        <v>Reg 170</v>
      </c>
      <c r="B171" s="77">
        <f>'Test 4-Stats'!Y169</f>
        <v>2023</v>
      </c>
      <c r="C171" s="77" t="str">
        <f>'Test 4-Stats'!W169</f>
        <v>SUZUKI</v>
      </c>
      <c r="D171" s="77" t="str">
        <f>'Test 4-Stats'!V169</f>
        <v>SEDAN</v>
      </c>
      <c r="E171" s="77" t="str">
        <f>'Test 4-Stats'!X169</f>
        <v>CIAZ 1.5 GL</v>
      </c>
      <c r="F171" s="77" t="str">
        <f t="array" ref="F171:G171">'Test 4-Stats'!Z169:AA169</f>
        <v>PETROL</v>
      </c>
      <c r="G171" s="77">
        <v>1498.0</v>
      </c>
      <c r="H171" s="77" t="str">
        <f t="array" ref="H171:M171">'Test 4-Stats'!C169:H169</f>
        <v>Business Unit 1</v>
      </c>
      <c r="I171" s="77" t="s">
        <v>137</v>
      </c>
      <c r="J171" s="77" t="s">
        <v>138</v>
      </c>
      <c r="K171" s="77" t="s">
        <v>530</v>
      </c>
      <c r="L171" s="77" t="s">
        <v>128</v>
      </c>
      <c r="M171" s="77" t="s">
        <v>129</v>
      </c>
      <c r="N171" s="78">
        <f t="array" ref="N171:P171">'Test 4-Stats'!AL169:AN169</f>
        <v>44024</v>
      </c>
      <c r="O171" s="78">
        <v>45850.0</v>
      </c>
      <c r="P171" s="77">
        <v>60.0</v>
      </c>
      <c r="Q171" s="77" t="str">
        <f>'Test 4-Stats'!CX169</f>
        <v>Active</v>
      </c>
      <c r="R171" s="79"/>
      <c r="S171" s="79"/>
      <c r="T171" s="79"/>
      <c r="U171" s="79"/>
      <c r="V171" s="79"/>
      <c r="W171" s="79"/>
      <c r="X171" s="79"/>
      <c r="Y171" s="79"/>
      <c r="Z171" s="79"/>
    </row>
    <row r="172" ht="14.25" customHeight="1">
      <c r="A172" s="76" t="str">
        <f>'Test 4-Stats'!S170</f>
        <v>Reg 171</v>
      </c>
      <c r="B172" s="77">
        <f>'Test 4-Stats'!Y170</f>
        <v>2021</v>
      </c>
      <c r="C172" s="77" t="str">
        <f>'Test 4-Stats'!W170</f>
        <v>ISUZU</v>
      </c>
      <c r="D172" s="77" t="str">
        <f>'Test 4-Stats'!V170</f>
        <v>ONE TON LDV EXTENDED CAB </v>
      </c>
      <c r="E172" s="77" t="str">
        <f>'Test 4-Stats'!X170</f>
        <v>D-MAX 250 HO HI-RIDER EXTENDED CAB</v>
      </c>
      <c r="F172" s="77" t="str">
        <f t="array" ref="F172:G172">'Test 4-Stats'!Z170:AA170</f>
        <v>DIESEL</v>
      </c>
      <c r="G172" s="77">
        <v>2498.0</v>
      </c>
      <c r="H172" s="77" t="str">
        <f t="array" ref="H172:M172">'Test 4-Stats'!C170:H170</f>
        <v>Business Unit 2</v>
      </c>
      <c r="I172" s="77" t="s">
        <v>110</v>
      </c>
      <c r="J172" s="77" t="s">
        <v>111</v>
      </c>
      <c r="K172" s="77" t="s">
        <v>533</v>
      </c>
      <c r="L172" s="77" t="s">
        <v>128</v>
      </c>
      <c r="M172" s="77" t="s">
        <v>141</v>
      </c>
      <c r="N172" s="78">
        <f t="array" ref="N172:P172">'Test 4-Stats'!AL170:AN170</f>
        <v>44025</v>
      </c>
      <c r="O172" s="78">
        <v>45851.0</v>
      </c>
      <c r="P172" s="77">
        <v>60.0</v>
      </c>
      <c r="Q172" s="77" t="str">
        <f>'Test 4-Stats'!CX170</f>
        <v>Active</v>
      </c>
      <c r="R172" s="79"/>
      <c r="S172" s="79"/>
      <c r="T172" s="79"/>
      <c r="U172" s="79"/>
      <c r="V172" s="79"/>
      <c r="W172" s="79"/>
      <c r="X172" s="79"/>
      <c r="Y172" s="79"/>
      <c r="Z172" s="79"/>
    </row>
    <row r="173" ht="14.25" customHeight="1">
      <c r="A173" s="76" t="str">
        <f>'Test 4-Stats'!S171</f>
        <v>Reg 172</v>
      </c>
      <c r="B173" s="77">
        <f>'Test 4-Stats'!Y171</f>
        <v>2021</v>
      </c>
      <c r="C173" s="77" t="str">
        <f>'Test 4-Stats'!W171</f>
        <v>ISUZU</v>
      </c>
      <c r="D173" s="77" t="str">
        <f>'Test 4-Stats'!V171</f>
        <v>ONE TON LDV DOUBLE CAB</v>
      </c>
      <c r="E173" s="77" t="str">
        <f>'Test 4-Stats'!X171</f>
        <v>D-MAX 250 HO HI-RIDER D/CAB 4X4</v>
      </c>
      <c r="F173" s="77" t="str">
        <f t="array" ref="F173:G173">'Test 4-Stats'!Z171:AA171</f>
        <v>DIESEL</v>
      </c>
      <c r="G173" s="77">
        <v>2498.0</v>
      </c>
      <c r="H173" s="77" t="str">
        <f t="array" ref="H173:M173">'Test 4-Stats'!C171:H171</f>
        <v>Business Unit 3</v>
      </c>
      <c r="I173" s="77" t="s">
        <v>125</v>
      </c>
      <c r="J173" s="77" t="s">
        <v>126</v>
      </c>
      <c r="K173" s="77" t="s">
        <v>538</v>
      </c>
      <c r="L173" s="77" t="s">
        <v>161</v>
      </c>
      <c r="M173" s="77" t="s">
        <v>114</v>
      </c>
      <c r="N173" s="78">
        <f t="array" ref="N173:P173">'Test 4-Stats'!AL171:AN171</f>
        <v>44026</v>
      </c>
      <c r="O173" s="78">
        <v>45852.0</v>
      </c>
      <c r="P173" s="77">
        <v>60.0</v>
      </c>
      <c r="Q173" s="77" t="str">
        <f>'Test 4-Stats'!CX171</f>
        <v>Active</v>
      </c>
      <c r="R173" s="79"/>
      <c r="S173" s="79"/>
      <c r="T173" s="79"/>
      <c r="U173" s="79"/>
      <c r="V173" s="79"/>
      <c r="W173" s="79"/>
      <c r="X173" s="79"/>
      <c r="Y173" s="79"/>
      <c r="Z173" s="79"/>
    </row>
    <row r="174" ht="14.25" customHeight="1">
      <c r="A174" s="76" t="str">
        <f>'Test 4-Stats'!S172</f>
        <v>Reg 173</v>
      </c>
      <c r="B174" s="77">
        <f>'Test 4-Stats'!Y172</f>
        <v>2021</v>
      </c>
      <c r="C174" s="77" t="str">
        <f>'Test 4-Stats'!W172</f>
        <v>ISUZU</v>
      </c>
      <c r="D174" s="77" t="str">
        <f>'Test 4-Stats'!V172</f>
        <v>ONE TON LDV DOUBLE CAB</v>
      </c>
      <c r="E174" s="77" t="str">
        <f>'Test 4-Stats'!X172</f>
        <v>D-MAX 250 HO HI-RIDER D/CAB 4X4</v>
      </c>
      <c r="F174" s="77" t="str">
        <f t="array" ref="F174:G174">'Test 4-Stats'!Z172:AA172</f>
        <v>DIESEL</v>
      </c>
      <c r="G174" s="77">
        <v>2498.0</v>
      </c>
      <c r="H174" s="77" t="str">
        <f t="array" ref="H174:M174">'Test 4-Stats'!C172:H172</f>
        <v>Business Unit 1</v>
      </c>
      <c r="I174" s="77" t="s">
        <v>137</v>
      </c>
      <c r="J174" s="77" t="s">
        <v>138</v>
      </c>
      <c r="K174" s="77" t="s">
        <v>235</v>
      </c>
      <c r="L174" s="77" t="s">
        <v>128</v>
      </c>
      <c r="M174" s="77" t="s">
        <v>129</v>
      </c>
      <c r="N174" s="78">
        <f t="array" ref="N174:P174">'Test 4-Stats'!AL172:AN172</f>
        <v>44027</v>
      </c>
      <c r="O174" s="78">
        <v>45853.0</v>
      </c>
      <c r="P174" s="77">
        <v>60.0</v>
      </c>
      <c r="Q174" s="77" t="str">
        <f>'Test 4-Stats'!CX172</f>
        <v>Active</v>
      </c>
      <c r="R174" s="79"/>
      <c r="S174" s="79"/>
      <c r="T174" s="79"/>
      <c r="U174" s="79"/>
      <c r="V174" s="79"/>
      <c r="W174" s="79"/>
      <c r="X174" s="79"/>
      <c r="Y174" s="79"/>
      <c r="Z174" s="79"/>
    </row>
    <row r="175" ht="14.25" customHeight="1">
      <c r="A175" s="76" t="str">
        <f>'Test 4-Stats'!S173</f>
        <v>Reg 174</v>
      </c>
      <c r="B175" s="77">
        <f>'Test 4-Stats'!Y173</f>
        <v>2021</v>
      </c>
      <c r="C175" s="77" t="str">
        <f>'Test 4-Stats'!W173</f>
        <v>ISUZU</v>
      </c>
      <c r="D175" s="77" t="str">
        <f>'Test 4-Stats'!V173</f>
        <v>ONE TON LDV DOUBLE CAB</v>
      </c>
      <c r="E175" s="77" t="str">
        <f>'Test 4-Stats'!X173</f>
        <v>D-MAX 250 HO HI-RIDER D/CAB 4X4</v>
      </c>
      <c r="F175" s="77" t="str">
        <f t="array" ref="F175:G175">'Test 4-Stats'!Z173:AA173</f>
        <v>DIESEL</v>
      </c>
      <c r="G175" s="77">
        <v>2498.0</v>
      </c>
      <c r="H175" s="77" t="str">
        <f t="array" ref="H175:M175">'Test 4-Stats'!C173:H173</f>
        <v>Business Unit 2</v>
      </c>
      <c r="I175" s="77" t="s">
        <v>110</v>
      </c>
      <c r="J175" s="77" t="s">
        <v>111</v>
      </c>
      <c r="K175" s="77" t="s">
        <v>235</v>
      </c>
      <c r="L175" s="77" t="s">
        <v>128</v>
      </c>
      <c r="M175" s="77" t="s">
        <v>141</v>
      </c>
      <c r="N175" s="78">
        <f t="array" ref="N175:P175">'Test 4-Stats'!AL173:AN173</f>
        <v>44028</v>
      </c>
      <c r="O175" s="78">
        <v>45854.0</v>
      </c>
      <c r="P175" s="77">
        <v>60.0</v>
      </c>
      <c r="Q175" s="77" t="str">
        <f>'Test 4-Stats'!CX173</f>
        <v>Active</v>
      </c>
      <c r="R175" s="79"/>
      <c r="S175" s="79"/>
      <c r="T175" s="79"/>
      <c r="U175" s="79"/>
      <c r="V175" s="79"/>
      <c r="W175" s="79"/>
      <c r="X175" s="79"/>
      <c r="Y175" s="79"/>
      <c r="Z175" s="79"/>
    </row>
    <row r="176" ht="14.25" customHeight="1">
      <c r="A176" s="76" t="str">
        <f>'Test 4-Stats'!S174</f>
        <v>Reg 175</v>
      </c>
      <c r="B176" s="77">
        <f>'Test 4-Stats'!Y174</f>
        <v>2021</v>
      </c>
      <c r="C176" s="77" t="str">
        <f>'Test 4-Stats'!W174</f>
        <v>NISSAN</v>
      </c>
      <c r="D176" s="77" t="str">
        <f>'Test 4-Stats'!V174</f>
        <v>SEDAN</v>
      </c>
      <c r="E176" s="77" t="str">
        <f>'Test 4-Stats'!X174</f>
        <v>ALMERA 1.5 ACENTA AT</v>
      </c>
      <c r="F176" s="77" t="str">
        <f t="array" ref="F176:G176">'Test 4-Stats'!Z174:AA174</f>
        <v>PETROL</v>
      </c>
      <c r="G176" s="77">
        <v>1498.0</v>
      </c>
      <c r="H176" s="77" t="str">
        <f t="array" ref="H176:M176">'Test 4-Stats'!C174:H174</f>
        <v>Business Unit 3</v>
      </c>
      <c r="I176" s="77" t="s">
        <v>125</v>
      </c>
      <c r="J176" s="77" t="s">
        <v>126</v>
      </c>
      <c r="K176" s="77" t="s">
        <v>235</v>
      </c>
      <c r="L176" s="77" t="s">
        <v>128</v>
      </c>
      <c r="M176" s="77" t="s">
        <v>114</v>
      </c>
      <c r="N176" s="78">
        <f t="array" ref="N176:P176">'Test 4-Stats'!AL174:AN174</f>
        <v>44152</v>
      </c>
      <c r="O176" s="78">
        <v>45978.0</v>
      </c>
      <c r="P176" s="77">
        <v>60.0</v>
      </c>
      <c r="Q176" s="77" t="str">
        <f>'Test 4-Stats'!CX174</f>
        <v>Active</v>
      </c>
      <c r="R176" s="79"/>
      <c r="S176" s="79"/>
      <c r="T176" s="79"/>
      <c r="U176" s="79"/>
      <c r="V176" s="79"/>
      <c r="W176" s="79"/>
      <c r="X176" s="79"/>
      <c r="Y176" s="79"/>
      <c r="Z176" s="79"/>
    </row>
    <row r="177" ht="14.25" customHeight="1">
      <c r="A177" s="76" t="str">
        <f>'Test 4-Stats'!S175</f>
        <v>Reg 176</v>
      </c>
      <c r="B177" s="77">
        <f>'Test 4-Stats'!Y175</f>
        <v>2023</v>
      </c>
      <c r="C177" s="77" t="str">
        <f>'Test 4-Stats'!W175</f>
        <v>ISUZU</v>
      </c>
      <c r="D177" s="77" t="str">
        <f>'Test 4-Stats'!V175</f>
        <v>ONE TON LDV DOUBLE CAB</v>
      </c>
      <c r="E177" s="77" t="str">
        <f>'Test 4-Stats'!X175</f>
        <v>D-MAX 250 HO HI-RIDER D/CAB</v>
      </c>
      <c r="F177" s="77" t="str">
        <f t="array" ref="F177:G177">'Test 4-Stats'!Z175:AA175</f>
        <v>DIESEL</v>
      </c>
      <c r="G177" s="77">
        <v>2498.0</v>
      </c>
      <c r="H177" s="77" t="str">
        <f t="array" ref="H177:M177">'Test 4-Stats'!C175:H175</f>
        <v>Business Unit 1</v>
      </c>
      <c r="I177" s="77" t="s">
        <v>110</v>
      </c>
      <c r="J177" s="77" t="s">
        <v>111</v>
      </c>
      <c r="K177" s="77" t="s">
        <v>549</v>
      </c>
      <c r="L177" s="77" t="s">
        <v>128</v>
      </c>
      <c r="M177" s="77" t="s">
        <v>129</v>
      </c>
      <c r="N177" s="78">
        <f t="array" ref="N177:P177">'Test 4-Stats'!AL175:AN175</f>
        <v>44030</v>
      </c>
      <c r="O177" s="78">
        <v>45856.0</v>
      </c>
      <c r="P177" s="77">
        <v>60.0</v>
      </c>
      <c r="Q177" s="77" t="str">
        <f>'Test 4-Stats'!CX175</f>
        <v>Active</v>
      </c>
      <c r="R177" s="79"/>
      <c r="S177" s="79"/>
      <c r="T177" s="79"/>
      <c r="U177" s="79"/>
      <c r="V177" s="79"/>
      <c r="W177" s="79"/>
      <c r="X177" s="79"/>
      <c r="Y177" s="79"/>
      <c r="Z177" s="79"/>
    </row>
    <row r="178" ht="14.25" customHeight="1">
      <c r="A178" s="76" t="str">
        <f>'Test 4-Stats'!S176</f>
        <v>Reg 177</v>
      </c>
      <c r="B178" s="77">
        <f>'Test 4-Stats'!Y176</f>
        <v>2021</v>
      </c>
      <c r="C178" s="77" t="str">
        <f>'Test 4-Stats'!W176</f>
        <v>FORD</v>
      </c>
      <c r="D178" s="77" t="str">
        <f>'Test 4-Stats'!V176</f>
        <v>ONE TON LDV DOUBLE CAB</v>
      </c>
      <c r="E178" s="77" t="str">
        <f>'Test 4-Stats'!X176</f>
        <v>RANGER 2.2 TDCI XL 4X4 D CAB</v>
      </c>
      <c r="F178" s="77" t="str">
        <f t="array" ref="F178:G178">'Test 4-Stats'!Z176:AA176</f>
        <v>DIESEL</v>
      </c>
      <c r="G178" s="77">
        <v>2198.0</v>
      </c>
      <c r="H178" s="77" t="str">
        <f t="array" ref="H178:M178">'Test 4-Stats'!C176:H176</f>
        <v>Business Unit 2</v>
      </c>
      <c r="I178" s="77" t="s">
        <v>125</v>
      </c>
      <c r="J178" s="77" t="s">
        <v>126</v>
      </c>
      <c r="K178" s="77" t="s">
        <v>176</v>
      </c>
      <c r="L178" s="77" t="s">
        <v>140</v>
      </c>
      <c r="M178" s="77" t="s">
        <v>141</v>
      </c>
      <c r="N178" s="78">
        <f t="array" ref="N178:P178">'Test 4-Stats'!AL176:AN176</f>
        <v>44031</v>
      </c>
      <c r="O178" s="78">
        <v>45857.0</v>
      </c>
      <c r="P178" s="77">
        <v>60.0</v>
      </c>
      <c r="Q178" s="77" t="str">
        <f>'Test 4-Stats'!CX176</f>
        <v>Active</v>
      </c>
      <c r="R178" s="79"/>
      <c r="S178" s="79"/>
      <c r="T178" s="79"/>
      <c r="U178" s="79"/>
      <c r="V178" s="79"/>
      <c r="W178" s="79"/>
      <c r="X178" s="79"/>
      <c r="Y178" s="79"/>
      <c r="Z178" s="79"/>
    </row>
    <row r="179" ht="14.25" customHeight="1">
      <c r="A179" s="76" t="str">
        <f>'Test 4-Stats'!S177</f>
        <v>Reg 178</v>
      </c>
      <c r="B179" s="77">
        <f>'Test 4-Stats'!Y177</f>
        <v>2021</v>
      </c>
      <c r="C179" s="77" t="str">
        <f>'Test 4-Stats'!W177</f>
        <v>ISUZU</v>
      </c>
      <c r="D179" s="77" t="str">
        <f>'Test 4-Stats'!V177</f>
        <v>ONE TON LDV DOUBLE CAB</v>
      </c>
      <c r="E179" s="77" t="str">
        <f>'Test 4-Stats'!X177</f>
        <v>D-MAX 250 HO HI-RIDER D/CAB</v>
      </c>
      <c r="F179" s="77" t="str">
        <f t="array" ref="F179:G179">'Test 4-Stats'!Z177:AA177</f>
        <v>DIESEL</v>
      </c>
      <c r="G179" s="77">
        <v>2498.0</v>
      </c>
      <c r="H179" s="77" t="str">
        <f t="array" ref="H179:M179">'Test 4-Stats'!C177:H177</f>
        <v>Business Unit 3</v>
      </c>
      <c r="I179" s="77" t="s">
        <v>137</v>
      </c>
      <c r="J179" s="77" t="s">
        <v>138</v>
      </c>
      <c r="K179" s="77" t="s">
        <v>555</v>
      </c>
      <c r="L179" s="77" t="s">
        <v>128</v>
      </c>
      <c r="M179" s="77" t="s">
        <v>114</v>
      </c>
      <c r="N179" s="78">
        <f t="array" ref="N179:P179">'Test 4-Stats'!AL177:AN177</f>
        <v>44032</v>
      </c>
      <c r="O179" s="78">
        <v>45858.0</v>
      </c>
      <c r="P179" s="77">
        <v>60.0</v>
      </c>
      <c r="Q179" s="77" t="str">
        <f>'Test 4-Stats'!CX177</f>
        <v>Active</v>
      </c>
      <c r="R179" s="79"/>
      <c r="S179" s="79"/>
      <c r="T179" s="79"/>
      <c r="U179" s="79"/>
      <c r="V179" s="79"/>
      <c r="W179" s="79"/>
      <c r="X179" s="79"/>
      <c r="Y179" s="79"/>
      <c r="Z179" s="79"/>
    </row>
    <row r="180" ht="14.25" customHeight="1">
      <c r="A180" s="76" t="str">
        <f>'Test 4-Stats'!S178</f>
        <v>Reg 179</v>
      </c>
      <c r="B180" s="77">
        <f>'Test 4-Stats'!Y178</f>
        <v>2021</v>
      </c>
      <c r="C180" s="77" t="str">
        <f>'Test 4-Stats'!W178</f>
        <v>FORD</v>
      </c>
      <c r="D180" s="77" t="str">
        <f>'Test 4-Stats'!V178</f>
        <v>ONE TON LDV DOUBLE CAB</v>
      </c>
      <c r="E180" s="77" t="str">
        <f>'Test 4-Stats'!X178</f>
        <v>RANGER 2.2 TDCI XL 4X4 D CAB</v>
      </c>
      <c r="F180" s="77" t="str">
        <f t="array" ref="F180:G180">'Test 4-Stats'!Z178:AA178</f>
        <v>DIESEL</v>
      </c>
      <c r="G180" s="77">
        <v>2198.0</v>
      </c>
      <c r="H180" s="77" t="str">
        <f t="array" ref="H180:M180">'Test 4-Stats'!C178:H178</f>
        <v>Business Unit 1</v>
      </c>
      <c r="I180" s="77" t="s">
        <v>110</v>
      </c>
      <c r="J180" s="77" t="s">
        <v>111</v>
      </c>
      <c r="K180" s="77" t="s">
        <v>176</v>
      </c>
      <c r="L180" s="77" t="s">
        <v>140</v>
      </c>
      <c r="M180" s="77" t="s">
        <v>129</v>
      </c>
      <c r="N180" s="78">
        <f t="array" ref="N180:P180">'Test 4-Stats'!AL178:AN178</f>
        <v>44033</v>
      </c>
      <c r="O180" s="78">
        <v>45859.0</v>
      </c>
      <c r="P180" s="77">
        <v>60.0</v>
      </c>
      <c r="Q180" s="77" t="str">
        <f>'Test 4-Stats'!CX178</f>
        <v>Active</v>
      </c>
      <c r="R180" s="79"/>
      <c r="S180" s="79"/>
      <c r="T180" s="79"/>
      <c r="U180" s="79"/>
      <c r="V180" s="79"/>
      <c r="W180" s="79"/>
      <c r="X180" s="79"/>
      <c r="Y180" s="79"/>
      <c r="Z180" s="79"/>
    </row>
    <row r="181" ht="14.25" customHeight="1">
      <c r="A181" s="76" t="str">
        <f>'Test 4-Stats'!S179</f>
        <v>Reg 180</v>
      </c>
      <c r="B181" s="77">
        <f>'Test 4-Stats'!Y179</f>
        <v>2021</v>
      </c>
      <c r="C181" s="77" t="str">
        <f>'Test 4-Stats'!W179</f>
        <v>ISUZU</v>
      </c>
      <c r="D181" s="77" t="str">
        <f>'Test 4-Stats'!V179</f>
        <v>ONE TON LDV DOUBLE CAB</v>
      </c>
      <c r="E181" s="77" t="str">
        <f>'Test 4-Stats'!X179</f>
        <v>D-MAX 250 HO HI-RIDER D/CAB 4X4</v>
      </c>
      <c r="F181" s="77" t="str">
        <f t="array" ref="F181:G181">'Test 4-Stats'!Z179:AA179</f>
        <v>DIESEL</v>
      </c>
      <c r="G181" s="77">
        <v>2498.0</v>
      </c>
      <c r="H181" s="77" t="str">
        <f t="array" ref="H181:M181">'Test 4-Stats'!C179:H179</f>
        <v>Business Unit 2</v>
      </c>
      <c r="I181" s="77" t="s">
        <v>125</v>
      </c>
      <c r="J181" s="77" t="s">
        <v>126</v>
      </c>
      <c r="K181" s="77" t="s">
        <v>235</v>
      </c>
      <c r="L181" s="77" t="s">
        <v>128</v>
      </c>
      <c r="M181" s="77" t="s">
        <v>141</v>
      </c>
      <c r="N181" s="78">
        <f t="array" ref="N181:P181">'Test 4-Stats'!AL179:AN179</f>
        <v>44034</v>
      </c>
      <c r="O181" s="78">
        <v>45860.0</v>
      </c>
      <c r="P181" s="77">
        <v>60.0</v>
      </c>
      <c r="Q181" s="77" t="str">
        <f>'Test 4-Stats'!CX179</f>
        <v>Active</v>
      </c>
      <c r="R181" s="79"/>
      <c r="S181" s="79"/>
      <c r="T181" s="79"/>
      <c r="U181" s="79"/>
      <c r="V181" s="79"/>
      <c r="W181" s="79"/>
      <c r="X181" s="79"/>
      <c r="Y181" s="79"/>
      <c r="Z181" s="79"/>
    </row>
    <row r="182" ht="14.25" customHeight="1">
      <c r="A182" s="76" t="str">
        <f>'Test 4-Stats'!S180</f>
        <v>Reg 181</v>
      </c>
      <c r="B182" s="77">
        <f>'Test 4-Stats'!Y180</f>
        <v>2023</v>
      </c>
      <c r="C182" s="77" t="str">
        <f>'Test 4-Stats'!W180</f>
        <v>SUZUKI</v>
      </c>
      <c r="D182" s="77" t="str">
        <f>'Test 4-Stats'!V180</f>
        <v>SEDAN</v>
      </c>
      <c r="E182" s="77" t="str">
        <f>'Test 4-Stats'!X180</f>
        <v>CIAZ 1.5 GL</v>
      </c>
      <c r="F182" s="77" t="str">
        <f t="array" ref="F182:G182">'Test 4-Stats'!Z180:AA180</f>
        <v>PETROL</v>
      </c>
      <c r="G182" s="77">
        <v>1498.0</v>
      </c>
      <c r="H182" s="77" t="str">
        <f t="array" ref="H182:M182">'Test 4-Stats'!C180:H180</f>
        <v>Business Unit 3</v>
      </c>
      <c r="I182" s="77" t="s">
        <v>137</v>
      </c>
      <c r="J182" s="77" t="s">
        <v>138</v>
      </c>
      <c r="K182" s="77" t="s">
        <v>235</v>
      </c>
      <c r="L182" s="77" t="s">
        <v>128</v>
      </c>
      <c r="M182" s="77" t="s">
        <v>114</v>
      </c>
      <c r="N182" s="78">
        <f t="array" ref="N182:P182">'Test 4-Stats'!AL180:AN180</f>
        <v>44035</v>
      </c>
      <c r="O182" s="78">
        <v>45861.0</v>
      </c>
      <c r="P182" s="77">
        <v>60.0</v>
      </c>
      <c r="Q182" s="77" t="str">
        <f>'Test 4-Stats'!CX180</f>
        <v>Active</v>
      </c>
      <c r="R182" s="79"/>
      <c r="S182" s="79"/>
      <c r="T182" s="79"/>
      <c r="U182" s="79"/>
      <c r="V182" s="79"/>
      <c r="W182" s="79"/>
      <c r="X182" s="79"/>
      <c r="Y182" s="79"/>
      <c r="Z182" s="79"/>
    </row>
    <row r="183" ht="14.25" customHeight="1">
      <c r="A183" s="76" t="str">
        <f>'Test 4-Stats'!S181</f>
        <v>Reg 182</v>
      </c>
      <c r="B183" s="77">
        <f>'Test 4-Stats'!Y181</f>
        <v>2021</v>
      </c>
      <c r="C183" s="77" t="str">
        <f>'Test 4-Stats'!W181</f>
        <v>ISUZU</v>
      </c>
      <c r="D183" s="77" t="str">
        <f>'Test 4-Stats'!V181</f>
        <v>ONE TON LDV DOUBLE CAB</v>
      </c>
      <c r="E183" s="77" t="str">
        <f>'Test 4-Stats'!X181</f>
        <v>D-MAX 250 HO HI-RIDER D/CAB 4X4</v>
      </c>
      <c r="F183" s="77" t="str">
        <f t="array" ref="F183:G183">'Test 4-Stats'!Z181:AA181</f>
        <v>DIESEL</v>
      </c>
      <c r="G183" s="77">
        <v>2498.0</v>
      </c>
      <c r="H183" s="77" t="str">
        <f t="array" ref="H183:M183">'Test 4-Stats'!C181:H181</f>
        <v>Business Unit 1</v>
      </c>
      <c r="I183" s="77" t="s">
        <v>110</v>
      </c>
      <c r="J183" s="77" t="s">
        <v>111</v>
      </c>
      <c r="K183" s="77" t="s">
        <v>533</v>
      </c>
      <c r="L183" s="77" t="s">
        <v>128</v>
      </c>
      <c r="M183" s="77" t="s">
        <v>129</v>
      </c>
      <c r="N183" s="78">
        <f t="array" ref="N183:P183">'Test 4-Stats'!AL181:AN181</f>
        <v>44036</v>
      </c>
      <c r="O183" s="78">
        <v>45862.0</v>
      </c>
      <c r="P183" s="77">
        <v>60.0</v>
      </c>
      <c r="Q183" s="77" t="str">
        <f>'Test 4-Stats'!CX181</f>
        <v>Active</v>
      </c>
      <c r="R183" s="79"/>
      <c r="S183" s="79"/>
      <c r="T183" s="79"/>
      <c r="U183" s="79"/>
      <c r="V183" s="79"/>
      <c r="W183" s="79"/>
      <c r="X183" s="79"/>
      <c r="Y183" s="79"/>
      <c r="Z183" s="79"/>
    </row>
    <row r="184" ht="14.25" customHeight="1">
      <c r="A184" s="76" t="str">
        <f>'Test 4-Stats'!S182</f>
        <v>Reg 183</v>
      </c>
      <c r="B184" s="77">
        <f>'Test 4-Stats'!Y182</f>
        <v>2024</v>
      </c>
      <c r="C184" s="77" t="str">
        <f>'Test 4-Stats'!W182</f>
        <v>FORD</v>
      </c>
      <c r="D184" s="77" t="str">
        <f>'Test 4-Stats'!V182</f>
        <v>ONE TON LDV EXTENDED CAB </v>
      </c>
      <c r="E184" s="77" t="str">
        <f>'Test 4-Stats'!X182</f>
        <v>RANGER 2.0 SiT XL X CAB AT 4X4</v>
      </c>
      <c r="F184" s="77" t="str">
        <f t="array" ref="F184:G184">'Test 4-Stats'!Z182:AA182</f>
        <v>DIESEL</v>
      </c>
      <c r="G184" s="77">
        <v>1998.0</v>
      </c>
      <c r="H184" s="77" t="str">
        <f t="array" ref="H184:M184">'Test 4-Stats'!C182:H182</f>
        <v>Business Unit 2</v>
      </c>
      <c r="I184" s="77" t="s">
        <v>125</v>
      </c>
      <c r="J184" s="77" t="s">
        <v>126</v>
      </c>
      <c r="K184" s="77" t="s">
        <v>235</v>
      </c>
      <c r="L184" s="77" t="s">
        <v>128</v>
      </c>
      <c r="M184" s="77" t="s">
        <v>141</v>
      </c>
      <c r="N184" s="78">
        <f t="array" ref="N184:P184">'Test 4-Stats'!AL182:AN182</f>
        <v>44190</v>
      </c>
      <c r="O184" s="78">
        <v>46016.0</v>
      </c>
      <c r="P184" s="77">
        <v>60.0</v>
      </c>
      <c r="Q184" s="77" t="str">
        <f>'Test 4-Stats'!CX182</f>
        <v>Active</v>
      </c>
      <c r="R184" s="79"/>
      <c r="S184" s="79"/>
      <c r="T184" s="79"/>
      <c r="U184" s="79"/>
      <c r="V184" s="79"/>
      <c r="W184" s="79"/>
      <c r="X184" s="79"/>
      <c r="Y184" s="79"/>
      <c r="Z184" s="79"/>
    </row>
    <row r="185" ht="14.25" customHeight="1">
      <c r="A185" s="76" t="str">
        <f>'Test 4-Stats'!S183</f>
        <v>Reg 184</v>
      </c>
      <c r="B185" s="77">
        <f>'Test 4-Stats'!Y183</f>
        <v>2024</v>
      </c>
      <c r="C185" s="77" t="str">
        <f>'Test 4-Stats'!W183</f>
        <v>FORD</v>
      </c>
      <c r="D185" s="77" t="str">
        <f>'Test 4-Stats'!V183</f>
        <v>ONE TON LDV EXTENDED CAB </v>
      </c>
      <c r="E185" s="77" t="str">
        <f>'Test 4-Stats'!X183</f>
        <v>RANGER 2.0 SiT XL X CAB AT 4X4</v>
      </c>
      <c r="F185" s="77" t="str">
        <f t="array" ref="F185:G185">'Test 4-Stats'!Z183:AA183</f>
        <v>DIESEL</v>
      </c>
      <c r="G185" s="77">
        <v>1998.0</v>
      </c>
      <c r="H185" s="77" t="str">
        <f t="array" ref="H185:M185">'Test 4-Stats'!C183:H183</f>
        <v>Business Unit 3</v>
      </c>
      <c r="I185" s="77" t="s">
        <v>137</v>
      </c>
      <c r="J185" s="77" t="s">
        <v>138</v>
      </c>
      <c r="K185" s="77" t="s">
        <v>235</v>
      </c>
      <c r="L185" s="77" t="s">
        <v>128</v>
      </c>
      <c r="M185" s="77" t="s">
        <v>114</v>
      </c>
      <c r="N185" s="78">
        <f t="array" ref="N185:P185">'Test 4-Stats'!AL183:AN183</f>
        <v>44038</v>
      </c>
      <c r="O185" s="78">
        <v>45864.0</v>
      </c>
      <c r="P185" s="77">
        <v>60.0</v>
      </c>
      <c r="Q185" s="77" t="str">
        <f>'Test 4-Stats'!CX183</f>
        <v>Active</v>
      </c>
      <c r="R185" s="79"/>
      <c r="S185" s="79"/>
      <c r="T185" s="79"/>
      <c r="U185" s="79"/>
      <c r="V185" s="79"/>
      <c r="W185" s="79"/>
      <c r="X185" s="79"/>
      <c r="Y185" s="79"/>
      <c r="Z185" s="79"/>
    </row>
    <row r="186" ht="14.25" customHeight="1">
      <c r="A186" s="76" t="str">
        <f>'Test 4-Stats'!S184</f>
        <v>Reg 185</v>
      </c>
      <c r="B186" s="77">
        <f>'Test 4-Stats'!Y184</f>
        <v>2024</v>
      </c>
      <c r="C186" s="77" t="str">
        <f>'Test 4-Stats'!W184</f>
        <v>FORD</v>
      </c>
      <c r="D186" s="77" t="str">
        <f>'Test 4-Stats'!V184</f>
        <v>ONE TON LDV EXTENDED CAB </v>
      </c>
      <c r="E186" s="77" t="str">
        <f>'Test 4-Stats'!X184</f>
        <v>RANGER 2.0 SiT XL X CAB AT 4X4</v>
      </c>
      <c r="F186" s="77" t="str">
        <f t="array" ref="F186:G186">'Test 4-Stats'!Z184:AA184</f>
        <v>DIESEL</v>
      </c>
      <c r="G186" s="77">
        <v>1998.0</v>
      </c>
      <c r="H186" s="77" t="str">
        <f t="array" ref="H186:M186">'Test 4-Stats'!C184:H184</f>
        <v>Business Unit 1</v>
      </c>
      <c r="I186" s="77" t="s">
        <v>110</v>
      </c>
      <c r="J186" s="77" t="s">
        <v>111</v>
      </c>
      <c r="K186" s="77" t="s">
        <v>235</v>
      </c>
      <c r="L186" s="77" t="s">
        <v>128</v>
      </c>
      <c r="M186" s="77" t="s">
        <v>129</v>
      </c>
      <c r="N186" s="78">
        <f t="array" ref="N186:P186">'Test 4-Stats'!AL184:AN184</f>
        <v>44039</v>
      </c>
      <c r="O186" s="78">
        <v>45865.0</v>
      </c>
      <c r="P186" s="77">
        <v>60.0</v>
      </c>
      <c r="Q186" s="77" t="str">
        <f>'Test 4-Stats'!CX184</f>
        <v>Active</v>
      </c>
      <c r="R186" s="79"/>
      <c r="S186" s="79"/>
      <c r="T186" s="79"/>
      <c r="U186" s="79"/>
      <c r="V186" s="79"/>
      <c r="W186" s="79"/>
      <c r="X186" s="79"/>
      <c r="Y186" s="79"/>
      <c r="Z186" s="79"/>
    </row>
    <row r="187" ht="14.25" customHeight="1">
      <c r="A187" s="76" t="str">
        <f>'Test 4-Stats'!S185</f>
        <v>Reg 186</v>
      </c>
      <c r="B187" s="77">
        <f>'Test 4-Stats'!Y185</f>
        <v>2021</v>
      </c>
      <c r="C187" s="77" t="str">
        <f>'Test 4-Stats'!W185</f>
        <v>ISUZU</v>
      </c>
      <c r="D187" s="77" t="str">
        <f>'Test 4-Stats'!V185</f>
        <v>ONE TON LDV DOUBLE CAB</v>
      </c>
      <c r="E187" s="77" t="str">
        <f>'Test 4-Stats'!X185</f>
        <v>D-MAX 250 HO HI-RIDER D/CAB 4X4</v>
      </c>
      <c r="F187" s="77" t="str">
        <f t="array" ref="F187:G187">'Test 4-Stats'!Z185:AA185</f>
        <v>DIESEL</v>
      </c>
      <c r="G187" s="77">
        <v>2498.0</v>
      </c>
      <c r="H187" s="77" t="str">
        <f t="array" ref="H187:M187">'Test 4-Stats'!C185:H185</f>
        <v>Business Unit 2</v>
      </c>
      <c r="I187" s="77" t="s">
        <v>125</v>
      </c>
      <c r="J187" s="77" t="s">
        <v>126</v>
      </c>
      <c r="K187" s="77" t="s">
        <v>196</v>
      </c>
      <c r="L187" s="77" t="s">
        <v>140</v>
      </c>
      <c r="M187" s="77" t="s">
        <v>141</v>
      </c>
      <c r="N187" s="78">
        <f t="array" ref="N187:P187">'Test 4-Stats'!AL185:AN185</f>
        <v>44040</v>
      </c>
      <c r="O187" s="78">
        <v>45866.0</v>
      </c>
      <c r="P187" s="77">
        <v>60.0</v>
      </c>
      <c r="Q187" s="77" t="str">
        <f>'Test 4-Stats'!CX185</f>
        <v>Active</v>
      </c>
      <c r="R187" s="79"/>
      <c r="S187" s="79"/>
      <c r="T187" s="79"/>
      <c r="U187" s="79"/>
      <c r="V187" s="79"/>
      <c r="W187" s="79"/>
      <c r="X187" s="79"/>
      <c r="Y187" s="79"/>
      <c r="Z187" s="79"/>
    </row>
    <row r="188" ht="14.25" customHeight="1">
      <c r="A188" s="76" t="str">
        <f>'Test 4-Stats'!S186</f>
        <v>Reg 187</v>
      </c>
      <c r="B188" s="77">
        <f>'Test 4-Stats'!Y186</f>
        <v>2021</v>
      </c>
      <c r="C188" s="77" t="str">
        <f>'Test 4-Stats'!W186</f>
        <v>ISUZU</v>
      </c>
      <c r="D188" s="77" t="str">
        <f>'Test 4-Stats'!V186</f>
        <v>ONE TON LDV DOUBLE CAB</v>
      </c>
      <c r="E188" s="77" t="str">
        <f>'Test 4-Stats'!X186</f>
        <v>D-MAX 250 HO HI-RIDER D/CAB</v>
      </c>
      <c r="F188" s="77" t="str">
        <f t="array" ref="F188:G188">'Test 4-Stats'!Z186:AA186</f>
        <v>DIESEL</v>
      </c>
      <c r="G188" s="77">
        <v>2498.0</v>
      </c>
      <c r="H188" s="77" t="str">
        <f t="array" ref="H188:M188">'Test 4-Stats'!C186:H186</f>
        <v>Business Unit 3</v>
      </c>
      <c r="I188" s="77" t="s">
        <v>137</v>
      </c>
      <c r="J188" s="77" t="s">
        <v>138</v>
      </c>
      <c r="K188" s="77" t="s">
        <v>172</v>
      </c>
      <c r="L188" s="77" t="s">
        <v>140</v>
      </c>
      <c r="M188" s="77" t="s">
        <v>114</v>
      </c>
      <c r="N188" s="78">
        <f t="array" ref="N188:P188">'Test 4-Stats'!AL186:AN186</f>
        <v>44133</v>
      </c>
      <c r="O188" s="78">
        <v>45959.0</v>
      </c>
      <c r="P188" s="77">
        <v>60.0</v>
      </c>
      <c r="Q188" s="77" t="str">
        <f>'Test 4-Stats'!CX186</f>
        <v>Active</v>
      </c>
      <c r="R188" s="79"/>
      <c r="S188" s="79"/>
      <c r="T188" s="79"/>
      <c r="U188" s="79"/>
      <c r="V188" s="79"/>
      <c r="W188" s="79"/>
      <c r="X188" s="79"/>
      <c r="Y188" s="79"/>
      <c r="Z188" s="79"/>
    </row>
    <row r="189" ht="14.25" customHeight="1">
      <c r="A189" s="76" t="str">
        <f>'Test 4-Stats'!S187</f>
        <v>Reg 188</v>
      </c>
      <c r="B189" s="77">
        <f>'Test 4-Stats'!Y187</f>
        <v>2021</v>
      </c>
      <c r="C189" s="77" t="str">
        <f>'Test 4-Stats'!W187</f>
        <v>NISSAN</v>
      </c>
      <c r="D189" s="77" t="str">
        <f>'Test 4-Stats'!V187</f>
        <v>HALF TON LDV</v>
      </c>
      <c r="E189" s="77" t="str">
        <f>'Test 4-Stats'!X187</f>
        <v>NP200 1.6 8V AC SAFETY PACK</v>
      </c>
      <c r="F189" s="77" t="str">
        <f t="array" ref="F189:G189">'Test 4-Stats'!Z187:AA187</f>
        <v>PETROL</v>
      </c>
      <c r="G189" s="77">
        <v>1598.0</v>
      </c>
      <c r="H189" s="77" t="str">
        <f t="array" ref="H189:M189">'Test 4-Stats'!C187:H187</f>
        <v>Business Unit 1</v>
      </c>
      <c r="I189" s="77" t="s">
        <v>110</v>
      </c>
      <c r="J189" s="77" t="s">
        <v>111</v>
      </c>
      <c r="K189" s="77" t="s">
        <v>172</v>
      </c>
      <c r="L189" s="77" t="s">
        <v>140</v>
      </c>
      <c r="M189" s="77" t="s">
        <v>129</v>
      </c>
      <c r="N189" s="78">
        <f t="array" ref="N189:P189">'Test 4-Stats'!AL187:AN187</f>
        <v>44042</v>
      </c>
      <c r="O189" s="78">
        <v>45868.0</v>
      </c>
      <c r="P189" s="77">
        <v>60.0</v>
      </c>
      <c r="Q189" s="77" t="str">
        <f>'Test 4-Stats'!CX187</f>
        <v>Active</v>
      </c>
      <c r="R189" s="79"/>
      <c r="S189" s="79"/>
      <c r="T189" s="79"/>
      <c r="U189" s="79"/>
      <c r="V189" s="79"/>
      <c r="W189" s="79"/>
      <c r="X189" s="79"/>
      <c r="Y189" s="79"/>
      <c r="Z189" s="79"/>
    </row>
    <row r="190" ht="14.25" customHeight="1">
      <c r="A190" s="76" t="str">
        <f>'Test 4-Stats'!S188</f>
        <v>Reg 189</v>
      </c>
      <c r="B190" s="77">
        <f>'Test 4-Stats'!Y188</f>
        <v>2021</v>
      </c>
      <c r="C190" s="77" t="str">
        <f>'Test 4-Stats'!W188</f>
        <v>FORD</v>
      </c>
      <c r="D190" s="77" t="str">
        <f>'Test 4-Stats'!V188</f>
        <v>ONE TON LDV DOUBLE CAB</v>
      </c>
      <c r="E190" s="77" t="str">
        <f>'Test 4-Stats'!X188</f>
        <v>RANGER 2.2 TDCI XL 4X4 D CAB</v>
      </c>
      <c r="F190" s="77" t="str">
        <f t="array" ref="F190:G190">'Test 4-Stats'!Z188:AA188</f>
        <v>DIESEL</v>
      </c>
      <c r="G190" s="77">
        <v>2198.0</v>
      </c>
      <c r="H190" s="77" t="str">
        <f t="array" ref="H190:M190">'Test 4-Stats'!C188:H188</f>
        <v>Business Unit 2</v>
      </c>
      <c r="I190" s="77" t="s">
        <v>125</v>
      </c>
      <c r="J190" s="77" t="s">
        <v>126</v>
      </c>
      <c r="K190" s="77" t="s">
        <v>176</v>
      </c>
      <c r="L190" s="77" t="s">
        <v>140</v>
      </c>
      <c r="M190" s="77" t="s">
        <v>141</v>
      </c>
      <c r="N190" s="78">
        <f t="array" ref="N190:P190">'Test 4-Stats'!AL188:AN188</f>
        <v>44043</v>
      </c>
      <c r="O190" s="78">
        <v>45869.0</v>
      </c>
      <c r="P190" s="77">
        <v>60.0</v>
      </c>
      <c r="Q190" s="77" t="str">
        <f>'Test 4-Stats'!CX188</f>
        <v>Active</v>
      </c>
      <c r="R190" s="79"/>
      <c r="S190" s="79"/>
      <c r="T190" s="79"/>
      <c r="U190" s="79"/>
      <c r="V190" s="79"/>
      <c r="W190" s="79"/>
      <c r="X190" s="79"/>
      <c r="Y190" s="79"/>
      <c r="Z190" s="79"/>
    </row>
    <row r="191" ht="14.25" customHeight="1">
      <c r="A191" s="76" t="str">
        <f>'Test 4-Stats'!S189</f>
        <v>Reg 190</v>
      </c>
      <c r="B191" s="77">
        <f>'Test 4-Stats'!Y189</f>
        <v>2023</v>
      </c>
      <c r="C191" s="77" t="str">
        <f>'Test 4-Stats'!W189</f>
        <v>ISUZU</v>
      </c>
      <c r="D191" s="77" t="str">
        <f>'Test 4-Stats'!V189</f>
        <v>ONE TON LDV DOUBLE CAB</v>
      </c>
      <c r="E191" s="77" t="str">
        <f>'Test 4-Stats'!X189</f>
        <v>D-MAX 250 HO HI-RIDER D/CAB</v>
      </c>
      <c r="F191" s="77" t="str">
        <f t="array" ref="F191:G191">'Test 4-Stats'!Z189:AA189</f>
        <v>DIESEL</v>
      </c>
      <c r="G191" s="77">
        <v>2498.0</v>
      </c>
      <c r="H191" s="77" t="str">
        <f t="array" ref="H191:M191">'Test 4-Stats'!C189:H189</f>
        <v>Business Unit 3</v>
      </c>
      <c r="I191" s="77" t="s">
        <v>137</v>
      </c>
      <c r="J191" s="77" t="s">
        <v>138</v>
      </c>
      <c r="K191" s="77" t="s">
        <v>176</v>
      </c>
      <c r="L191" s="77" t="s">
        <v>140</v>
      </c>
      <c r="M191" s="77" t="s">
        <v>114</v>
      </c>
      <c r="N191" s="78">
        <f t="array" ref="N191:P191">'Test 4-Stats'!AL189:AN189</f>
        <v>44044</v>
      </c>
      <c r="O191" s="78">
        <v>45870.0</v>
      </c>
      <c r="P191" s="77">
        <v>60.0</v>
      </c>
      <c r="Q191" s="77" t="str">
        <f>'Test 4-Stats'!CX189</f>
        <v>Active</v>
      </c>
      <c r="R191" s="79"/>
      <c r="S191" s="79"/>
      <c r="T191" s="79"/>
      <c r="U191" s="79"/>
      <c r="V191" s="79"/>
      <c r="W191" s="79"/>
      <c r="X191" s="79"/>
      <c r="Y191" s="79"/>
      <c r="Z191" s="79"/>
    </row>
    <row r="192" ht="14.25" customHeight="1">
      <c r="A192" s="76" t="str">
        <f>'Test 4-Stats'!S190</f>
        <v>Reg 191</v>
      </c>
      <c r="B192" s="77">
        <f>'Test 4-Stats'!Y190</f>
        <v>2023</v>
      </c>
      <c r="C192" s="77" t="str">
        <f>'Test 4-Stats'!W190</f>
        <v>ISUZU</v>
      </c>
      <c r="D192" s="77" t="str">
        <f>'Test 4-Stats'!V190</f>
        <v>ONE TON LDV SINGLE CAB</v>
      </c>
      <c r="E192" s="77" t="str">
        <f>'Test 4-Stats'!X190</f>
        <v>D-MAX 250 HO FLEETSIDE (SAFETY)</v>
      </c>
      <c r="F192" s="77" t="str">
        <f t="array" ref="F192:G192">'Test 4-Stats'!Z190:AA190</f>
        <v>DIESEL</v>
      </c>
      <c r="G192" s="77">
        <v>2498.0</v>
      </c>
      <c r="H192" s="77" t="str">
        <f t="array" ref="H192:M192">'Test 4-Stats'!C190:H190</f>
        <v>Business Unit 1</v>
      </c>
      <c r="I192" s="77" t="s">
        <v>110</v>
      </c>
      <c r="J192" s="77" t="s">
        <v>111</v>
      </c>
      <c r="K192" s="77" t="s">
        <v>176</v>
      </c>
      <c r="L192" s="77" t="s">
        <v>140</v>
      </c>
      <c r="M192" s="77" t="s">
        <v>129</v>
      </c>
      <c r="N192" s="78">
        <f t="array" ref="N192:P192">'Test 4-Stats'!AL190:AN190</f>
        <v>44045</v>
      </c>
      <c r="O192" s="78">
        <v>45871.0</v>
      </c>
      <c r="P192" s="77">
        <v>60.0</v>
      </c>
      <c r="Q192" s="77" t="str">
        <f>'Test 4-Stats'!CX190</f>
        <v>Active</v>
      </c>
      <c r="R192" s="79"/>
      <c r="S192" s="79"/>
      <c r="T192" s="79"/>
      <c r="U192" s="79"/>
      <c r="V192" s="79"/>
      <c r="W192" s="79"/>
      <c r="X192" s="79"/>
      <c r="Y192" s="79"/>
      <c r="Z192" s="79"/>
    </row>
    <row r="193" ht="14.25" customHeight="1">
      <c r="A193" s="76" t="str">
        <f>'Test 4-Stats'!S191</f>
        <v>Reg 192</v>
      </c>
      <c r="B193" s="77">
        <f>'Test 4-Stats'!Y191</f>
        <v>2021</v>
      </c>
      <c r="C193" s="77" t="str">
        <f>'Test 4-Stats'!W191</f>
        <v>ISUZU</v>
      </c>
      <c r="D193" s="77" t="str">
        <f>'Test 4-Stats'!V191</f>
        <v>ONE TON LDV DOUBLE CAB</v>
      </c>
      <c r="E193" s="77" t="str">
        <f>'Test 4-Stats'!X191</f>
        <v>D-MAX 250 HO HI-RIDER D/CAB</v>
      </c>
      <c r="F193" s="77" t="str">
        <f t="array" ref="F193:G193">'Test 4-Stats'!Z191:AA191</f>
        <v>DIESEL</v>
      </c>
      <c r="G193" s="77">
        <v>2498.0</v>
      </c>
      <c r="H193" s="77" t="str">
        <f t="array" ref="H193:M193">'Test 4-Stats'!C191:H191</f>
        <v>Business Unit 2</v>
      </c>
      <c r="I193" s="77" t="s">
        <v>125</v>
      </c>
      <c r="J193" s="77" t="s">
        <v>126</v>
      </c>
      <c r="K193" s="77" t="s">
        <v>196</v>
      </c>
      <c r="L193" s="77" t="s">
        <v>140</v>
      </c>
      <c r="M193" s="77" t="s">
        <v>141</v>
      </c>
      <c r="N193" s="78">
        <f t="array" ref="N193:P193">'Test 4-Stats'!AL191:AN191</f>
        <v>44046</v>
      </c>
      <c r="O193" s="78">
        <v>45872.0</v>
      </c>
      <c r="P193" s="77">
        <v>60.0</v>
      </c>
      <c r="Q193" s="77" t="str">
        <f>'Test 4-Stats'!CX191</f>
        <v>Active</v>
      </c>
      <c r="R193" s="79"/>
      <c r="S193" s="79"/>
      <c r="T193" s="79"/>
      <c r="U193" s="79"/>
      <c r="V193" s="79"/>
      <c r="W193" s="79"/>
      <c r="X193" s="79"/>
      <c r="Y193" s="79"/>
      <c r="Z193" s="79"/>
    </row>
    <row r="194" ht="14.25" customHeight="1">
      <c r="A194" s="76" t="str">
        <f>'Test 4-Stats'!S192</f>
        <v>Reg 193</v>
      </c>
      <c r="B194" s="77">
        <f>'Test 4-Stats'!Y192</f>
        <v>2023</v>
      </c>
      <c r="C194" s="77" t="str">
        <f>'Test 4-Stats'!W192</f>
        <v>ISUZU</v>
      </c>
      <c r="D194" s="77" t="str">
        <f>'Test 4-Stats'!V192</f>
        <v>ONE TON LDV EXTENDED CAB </v>
      </c>
      <c r="E194" s="77" t="str">
        <f>'Test 4-Stats'!X192</f>
        <v>D-MAX 3.0 DDI E CAB 4X4 LSE AT</v>
      </c>
      <c r="F194" s="77" t="str">
        <f t="array" ref="F194:G194">'Test 4-Stats'!Z192:AA192</f>
        <v>DIESEL</v>
      </c>
      <c r="G194" s="77">
        <v>2998.0</v>
      </c>
      <c r="H194" s="77" t="str">
        <f t="array" ref="H194:M194">'Test 4-Stats'!C192:H192</f>
        <v>Business Unit 1</v>
      </c>
      <c r="I194" s="77" t="s">
        <v>137</v>
      </c>
      <c r="J194" s="77" t="s">
        <v>138</v>
      </c>
      <c r="K194" s="77" t="s">
        <v>176</v>
      </c>
      <c r="L194" s="77" t="s">
        <v>140</v>
      </c>
      <c r="M194" s="77" t="s">
        <v>114</v>
      </c>
      <c r="N194" s="78">
        <f t="array" ref="N194:P194">'Test 4-Stats'!AL192:AN192</f>
        <v>44169</v>
      </c>
      <c r="O194" s="78">
        <v>45995.0</v>
      </c>
      <c r="P194" s="77">
        <v>60.0</v>
      </c>
      <c r="Q194" s="77" t="str">
        <f>'Test 4-Stats'!CX192</f>
        <v>Active</v>
      </c>
      <c r="R194" s="79"/>
      <c r="S194" s="79"/>
      <c r="T194" s="79"/>
      <c r="U194" s="79"/>
      <c r="V194" s="79"/>
      <c r="W194" s="79"/>
      <c r="X194" s="79"/>
      <c r="Y194" s="79"/>
      <c r="Z194" s="79"/>
    </row>
    <row r="195" ht="14.25" customHeight="1">
      <c r="A195" s="76" t="str">
        <f>'Test 4-Stats'!S193</f>
        <v>Reg 194</v>
      </c>
      <c r="B195" s="77">
        <f>'Test 4-Stats'!Y193</f>
        <v>2021</v>
      </c>
      <c r="C195" s="77" t="str">
        <f>'Test 4-Stats'!W193</f>
        <v>ISUZU</v>
      </c>
      <c r="D195" s="77" t="str">
        <f>'Test 4-Stats'!V193</f>
        <v>ONE TON LDV DOUBLE CAB</v>
      </c>
      <c r="E195" s="77" t="str">
        <f>'Test 4-Stats'!X193</f>
        <v>D-MAX 250 HO HI-RIDER D/CAB</v>
      </c>
      <c r="F195" s="77" t="str">
        <f t="array" ref="F195:G195">'Test 4-Stats'!Z193:AA193</f>
        <v>DIESEL</v>
      </c>
      <c r="G195" s="77">
        <v>2498.0</v>
      </c>
      <c r="H195" s="77" t="str">
        <f t="array" ref="H195:M195">'Test 4-Stats'!C193:H193</f>
        <v>Business Unit 2</v>
      </c>
      <c r="I195" s="77" t="s">
        <v>110</v>
      </c>
      <c r="J195" s="77" t="s">
        <v>111</v>
      </c>
      <c r="K195" s="77" t="s">
        <v>176</v>
      </c>
      <c r="L195" s="77" t="s">
        <v>140</v>
      </c>
      <c r="M195" s="77" t="s">
        <v>129</v>
      </c>
      <c r="N195" s="78">
        <f t="array" ref="N195:P195">'Test 4-Stats'!AL193:AN193</f>
        <v>44048</v>
      </c>
      <c r="O195" s="78">
        <v>45874.0</v>
      </c>
      <c r="P195" s="77">
        <v>60.0</v>
      </c>
      <c r="Q195" s="77" t="str">
        <f>'Test 4-Stats'!CX193</f>
        <v>Active</v>
      </c>
      <c r="R195" s="79"/>
      <c r="S195" s="79"/>
      <c r="T195" s="79"/>
      <c r="U195" s="79"/>
      <c r="V195" s="79"/>
      <c r="W195" s="79"/>
      <c r="X195" s="79"/>
      <c r="Y195" s="79"/>
      <c r="Z195" s="79"/>
    </row>
    <row r="196" ht="14.25" customHeight="1">
      <c r="A196" s="76" t="str">
        <f>'Test 4-Stats'!S194</f>
        <v>Reg 195</v>
      </c>
      <c r="B196" s="77">
        <f>'Test 4-Stats'!Y194</f>
        <v>2023</v>
      </c>
      <c r="C196" s="77" t="str">
        <f>'Test 4-Stats'!W194</f>
        <v>ISUZU</v>
      </c>
      <c r="D196" s="77" t="str">
        <f>'Test 4-Stats'!V194</f>
        <v>ONE TON LDV SINGLE CAB</v>
      </c>
      <c r="E196" s="77" t="str">
        <f>'Test 4-Stats'!X194</f>
        <v>D-MAX 1.9 DDI S CAB HR L</v>
      </c>
      <c r="F196" s="77" t="str">
        <f t="array" ref="F196:G196">'Test 4-Stats'!Z194:AA194</f>
        <v>DIESEL</v>
      </c>
      <c r="G196" s="77">
        <v>1898.0</v>
      </c>
      <c r="H196" s="77" t="str">
        <f t="array" ref="H196:M196">'Test 4-Stats'!C194:H194</f>
        <v>Business Unit 3</v>
      </c>
      <c r="I196" s="77" t="s">
        <v>125</v>
      </c>
      <c r="J196" s="77" t="s">
        <v>126</v>
      </c>
      <c r="K196" s="77" t="s">
        <v>176</v>
      </c>
      <c r="L196" s="77" t="s">
        <v>140</v>
      </c>
      <c r="M196" s="77" t="s">
        <v>141</v>
      </c>
      <c r="N196" s="78">
        <f t="array" ref="N196:P196">'Test 4-Stats'!AL194:AN194</f>
        <v>44049</v>
      </c>
      <c r="O196" s="78">
        <v>45875.0</v>
      </c>
      <c r="P196" s="77">
        <v>60.0</v>
      </c>
      <c r="Q196" s="77" t="str">
        <f>'Test 4-Stats'!CX194</f>
        <v>Active</v>
      </c>
      <c r="R196" s="79"/>
      <c r="S196" s="79"/>
      <c r="T196" s="79"/>
      <c r="U196" s="79"/>
      <c r="V196" s="79"/>
      <c r="W196" s="79"/>
      <c r="X196" s="79"/>
      <c r="Y196" s="79"/>
      <c r="Z196" s="79"/>
    </row>
    <row r="197" ht="14.25" customHeight="1">
      <c r="A197" s="76" t="str">
        <f>'Test 4-Stats'!S195</f>
        <v>Reg 196</v>
      </c>
      <c r="B197" s="77">
        <f>'Test 4-Stats'!Y195</f>
        <v>2021</v>
      </c>
      <c r="C197" s="77" t="str">
        <f>'Test 4-Stats'!W195</f>
        <v>ISUZU</v>
      </c>
      <c r="D197" s="77" t="str">
        <f>'Test 4-Stats'!V195</f>
        <v>ONE TON LDV DOUBLE CAB</v>
      </c>
      <c r="E197" s="77" t="str">
        <f>'Test 4-Stats'!X195</f>
        <v>D-MAX 250 HO HI-RIDER D/CAB</v>
      </c>
      <c r="F197" s="77" t="str">
        <f t="array" ref="F197:G197">'Test 4-Stats'!Z195:AA195</f>
        <v>DIESEL</v>
      </c>
      <c r="G197" s="77">
        <v>2498.0</v>
      </c>
      <c r="H197" s="77" t="str">
        <f t="array" ref="H197:M197">'Test 4-Stats'!C195:H195</f>
        <v>Business Unit 1</v>
      </c>
      <c r="I197" s="77" t="s">
        <v>137</v>
      </c>
      <c r="J197" s="77" t="s">
        <v>138</v>
      </c>
      <c r="K197" s="77" t="s">
        <v>176</v>
      </c>
      <c r="L197" s="77" t="s">
        <v>140</v>
      </c>
      <c r="M197" s="77" t="s">
        <v>114</v>
      </c>
      <c r="N197" s="78">
        <f t="array" ref="N197:P197">'Test 4-Stats'!AL195:AN195</f>
        <v>44050</v>
      </c>
      <c r="O197" s="78">
        <v>45876.0</v>
      </c>
      <c r="P197" s="77">
        <v>60.0</v>
      </c>
      <c r="Q197" s="77" t="str">
        <f>'Test 4-Stats'!CX195</f>
        <v>Active</v>
      </c>
      <c r="R197" s="79"/>
      <c r="S197" s="79"/>
      <c r="T197" s="79"/>
      <c r="U197" s="79"/>
      <c r="V197" s="79"/>
      <c r="W197" s="79"/>
      <c r="X197" s="79"/>
      <c r="Y197" s="79"/>
      <c r="Z197" s="79"/>
    </row>
    <row r="198" ht="14.25" customHeight="1">
      <c r="A198" s="76" t="str">
        <f>'Test 4-Stats'!S196</f>
        <v>Reg 197</v>
      </c>
      <c r="B198" s="77">
        <f>'Test 4-Stats'!Y196</f>
        <v>2022</v>
      </c>
      <c r="C198" s="77" t="str">
        <f>'Test 4-Stats'!W196</f>
        <v>ISUZU</v>
      </c>
      <c r="D198" s="77" t="str">
        <f>'Test 4-Stats'!V196</f>
        <v>ONE TON LDV SINGLE CAB</v>
      </c>
      <c r="E198" s="77" t="str">
        <f>'Test 4-Stats'!X196</f>
        <v>D-MAX 250 HO FLEETSIDE (SAFETY)</v>
      </c>
      <c r="F198" s="77" t="str">
        <f t="array" ref="F198:G198">'Test 4-Stats'!Z196:AA196</f>
        <v>DIESEL</v>
      </c>
      <c r="G198" s="77">
        <v>2498.0</v>
      </c>
      <c r="H198" s="77" t="str">
        <f t="array" ref="H198:M198">'Test 4-Stats'!C196:H196</f>
        <v>Business Unit 2</v>
      </c>
      <c r="I198" s="77" t="s">
        <v>110</v>
      </c>
      <c r="J198" s="77" t="s">
        <v>111</v>
      </c>
      <c r="K198" s="77" t="s">
        <v>176</v>
      </c>
      <c r="L198" s="77" t="s">
        <v>140</v>
      </c>
      <c r="M198" s="77" t="s">
        <v>129</v>
      </c>
      <c r="N198" s="78">
        <f t="array" ref="N198:P198">'Test 4-Stats'!AL196:AN196</f>
        <v>44051</v>
      </c>
      <c r="O198" s="78">
        <v>45877.0</v>
      </c>
      <c r="P198" s="77">
        <v>60.0</v>
      </c>
      <c r="Q198" s="77" t="str">
        <f>'Test 4-Stats'!CX196</f>
        <v>Active</v>
      </c>
      <c r="R198" s="79"/>
      <c r="S198" s="79"/>
      <c r="T198" s="79"/>
      <c r="U198" s="79"/>
      <c r="V198" s="79"/>
      <c r="W198" s="79"/>
      <c r="X198" s="79"/>
      <c r="Y198" s="79"/>
      <c r="Z198" s="79"/>
    </row>
    <row r="199" ht="14.25" customHeight="1">
      <c r="A199" s="76" t="str">
        <f>'Test 4-Stats'!S197</f>
        <v>Reg 198</v>
      </c>
      <c r="B199" s="77">
        <f>'Test 4-Stats'!Y197</f>
        <v>2021</v>
      </c>
      <c r="C199" s="77" t="str">
        <f>'Test 4-Stats'!W197</f>
        <v>ISUZU</v>
      </c>
      <c r="D199" s="77" t="str">
        <f>'Test 4-Stats'!V197</f>
        <v>ONE TON LDV DOUBLE CAB</v>
      </c>
      <c r="E199" s="77" t="str">
        <f>'Test 4-Stats'!X197</f>
        <v>D-MAX 250 HO HI-RIDER D/CAB</v>
      </c>
      <c r="F199" s="77" t="str">
        <f t="array" ref="F199:G199">'Test 4-Stats'!Z197:AA197</f>
        <v>DIESEL</v>
      </c>
      <c r="G199" s="77">
        <v>2498.0</v>
      </c>
      <c r="H199" s="77" t="str">
        <f t="array" ref="H199:M199">'Test 4-Stats'!C197:H197</f>
        <v>Business Unit 3</v>
      </c>
      <c r="I199" s="77" t="s">
        <v>125</v>
      </c>
      <c r="J199" s="77" t="s">
        <v>126</v>
      </c>
      <c r="K199" s="77" t="s">
        <v>176</v>
      </c>
      <c r="L199" s="77" t="s">
        <v>140</v>
      </c>
      <c r="M199" s="77" t="s">
        <v>141</v>
      </c>
      <c r="N199" s="78">
        <f t="array" ref="N199:P199">'Test 4-Stats'!AL197:AN197</f>
        <v>44052</v>
      </c>
      <c r="O199" s="78">
        <v>45878.0</v>
      </c>
      <c r="P199" s="77">
        <v>60.0</v>
      </c>
      <c r="Q199" s="77" t="str">
        <f>'Test 4-Stats'!CX197</f>
        <v>Active</v>
      </c>
      <c r="R199" s="79"/>
      <c r="S199" s="79"/>
      <c r="T199" s="79"/>
      <c r="U199" s="79"/>
      <c r="V199" s="79"/>
      <c r="W199" s="79"/>
      <c r="X199" s="79"/>
      <c r="Y199" s="79"/>
      <c r="Z199" s="79"/>
    </row>
    <row r="200" ht="14.25" customHeight="1">
      <c r="A200" s="76" t="str">
        <f>'Test 4-Stats'!S198</f>
        <v>Reg 199</v>
      </c>
      <c r="B200" s="77">
        <f>'Test 4-Stats'!Y198</f>
        <v>2021</v>
      </c>
      <c r="C200" s="77" t="str">
        <f>'Test 4-Stats'!W198</f>
        <v>TOYOTA</v>
      </c>
      <c r="D200" s="77" t="str">
        <f>'Test 4-Stats'!V198</f>
        <v>MINIBUS</v>
      </c>
      <c r="E200" s="77" t="str">
        <f>'Test 4-Stats'!X198</f>
        <v>QUANTUM 2.5 D-4D 14-SEATER BUS</v>
      </c>
      <c r="F200" s="77" t="str">
        <f t="array" ref="F200:G200">'Test 4-Stats'!Z198:AA198</f>
        <v>DIESEL</v>
      </c>
      <c r="G200" s="77">
        <v>2498.0</v>
      </c>
      <c r="H200" s="77" t="str">
        <f t="array" ref="H200:M200">'Test 4-Stats'!C198:H198</f>
        <v>Business Unit 1</v>
      </c>
      <c r="I200" s="77" t="s">
        <v>137</v>
      </c>
      <c r="J200" s="77" t="s">
        <v>138</v>
      </c>
      <c r="K200" s="77" t="s">
        <v>179</v>
      </c>
      <c r="L200" s="77" t="s">
        <v>140</v>
      </c>
      <c r="M200" s="77" t="s">
        <v>114</v>
      </c>
      <c r="N200" s="78">
        <f t="array" ref="N200:P200">'Test 4-Stats'!AL198:AN198</f>
        <v>44114</v>
      </c>
      <c r="O200" s="78">
        <v>45940.0</v>
      </c>
      <c r="P200" s="77">
        <v>60.0</v>
      </c>
      <c r="Q200" s="77" t="str">
        <f>'Test 4-Stats'!CX198</f>
        <v>Active</v>
      </c>
      <c r="R200" s="79"/>
      <c r="S200" s="79"/>
      <c r="T200" s="79"/>
      <c r="U200" s="79"/>
      <c r="V200" s="79"/>
      <c r="W200" s="79"/>
      <c r="X200" s="79"/>
      <c r="Y200" s="79"/>
      <c r="Z200" s="79"/>
    </row>
    <row r="201" ht="14.25" customHeight="1">
      <c r="A201" s="76" t="str">
        <f>'Test 4-Stats'!S199</f>
        <v>Reg 200</v>
      </c>
      <c r="B201" s="77">
        <f>'Test 4-Stats'!Y199</f>
        <v>2021</v>
      </c>
      <c r="C201" s="77" t="str">
        <f>'Test 4-Stats'!W199</f>
        <v>TOYOTA</v>
      </c>
      <c r="D201" s="77" t="str">
        <f>'Test 4-Stats'!V199</f>
        <v>MINIBUS</v>
      </c>
      <c r="E201" s="77" t="str">
        <f>'Test 4-Stats'!X199</f>
        <v>QUANTUM 2.5 D-4D 14-SEATER BUS</v>
      </c>
      <c r="F201" s="77" t="str">
        <f t="array" ref="F201:G201">'Test 4-Stats'!Z199:AA199</f>
        <v>DIESEL</v>
      </c>
      <c r="G201" s="77">
        <v>2498.0</v>
      </c>
      <c r="H201" s="77" t="str">
        <f t="array" ref="H201:M201">'Test 4-Stats'!C199:H199</f>
        <v>Business Unit 2</v>
      </c>
      <c r="I201" s="77" t="s">
        <v>110</v>
      </c>
      <c r="J201" s="77" t="s">
        <v>111</v>
      </c>
      <c r="K201" s="77" t="s">
        <v>179</v>
      </c>
      <c r="L201" s="77" t="s">
        <v>140</v>
      </c>
      <c r="M201" s="77" t="s">
        <v>129</v>
      </c>
      <c r="N201" s="78">
        <f t="array" ref="N201:P201">'Test 4-Stats'!AL199:AN199</f>
        <v>44054</v>
      </c>
      <c r="O201" s="78">
        <v>45880.0</v>
      </c>
      <c r="P201" s="77">
        <v>60.0</v>
      </c>
      <c r="Q201" s="77" t="str">
        <f>'Test 4-Stats'!CX199</f>
        <v>Active</v>
      </c>
      <c r="R201" s="79"/>
      <c r="S201" s="79"/>
      <c r="T201" s="79"/>
      <c r="U201" s="79"/>
      <c r="V201" s="79"/>
      <c r="W201" s="79"/>
      <c r="X201" s="79"/>
      <c r="Y201" s="79"/>
      <c r="Z201" s="79"/>
    </row>
    <row r="202" ht="14.25" customHeight="1">
      <c r="A202" s="76" t="str">
        <f>'Test 4-Stats'!S200</f>
        <v>Reg 201</v>
      </c>
      <c r="B202" s="77">
        <f>'Test 4-Stats'!Y200</f>
        <v>2024</v>
      </c>
      <c r="C202" s="77" t="str">
        <f>'Test 4-Stats'!W200</f>
        <v>FORD</v>
      </c>
      <c r="D202" s="77" t="str">
        <f>'Test 4-Stats'!V200</f>
        <v>ONE TON LDV DOUBLE CAB</v>
      </c>
      <c r="E202" s="77" t="str">
        <f>'Test 4-Stats'!X200</f>
        <v>RANGER 2.0 SiT D CAB BASE 4X2</v>
      </c>
      <c r="F202" s="77" t="str">
        <f t="array" ref="F202:G202">'Test 4-Stats'!Z200:AA200</f>
        <v>DIESEL</v>
      </c>
      <c r="G202" s="77">
        <v>1998.0</v>
      </c>
      <c r="H202" s="77" t="str">
        <f t="array" ref="H202:M202">'Test 4-Stats'!C200:H200</f>
        <v>Business Unit 3</v>
      </c>
      <c r="I202" s="77" t="s">
        <v>125</v>
      </c>
      <c r="J202" s="77" t="s">
        <v>126</v>
      </c>
      <c r="K202" s="77" t="s">
        <v>176</v>
      </c>
      <c r="L202" s="77" t="s">
        <v>140</v>
      </c>
      <c r="M202" s="77" t="s">
        <v>141</v>
      </c>
      <c r="N202" s="78">
        <f t="array" ref="N202:P202">'Test 4-Stats'!AL200:AN200</f>
        <v>44055</v>
      </c>
      <c r="O202" s="78">
        <v>45881.0</v>
      </c>
      <c r="P202" s="77">
        <v>60.0</v>
      </c>
      <c r="Q202" s="77" t="str">
        <f>'Test 4-Stats'!CX200</f>
        <v>Active</v>
      </c>
      <c r="R202" s="79"/>
      <c r="S202" s="79"/>
      <c r="T202" s="79"/>
      <c r="U202" s="79"/>
      <c r="V202" s="79"/>
      <c r="W202" s="79"/>
      <c r="X202" s="79"/>
      <c r="Y202" s="79"/>
      <c r="Z202" s="79"/>
    </row>
    <row r="203" ht="14.25" customHeight="1">
      <c r="A203" s="76" t="str">
        <f>'Test 4-Stats'!S201</f>
        <v>Reg 202</v>
      </c>
      <c r="B203" s="77">
        <f>'Test 4-Stats'!Y201</f>
        <v>2024</v>
      </c>
      <c r="C203" s="77" t="str">
        <f>'Test 4-Stats'!W201</f>
        <v>FORD</v>
      </c>
      <c r="D203" s="77" t="str">
        <f>'Test 4-Stats'!V201</f>
        <v>ONE TON LDV DOUBLE CAB</v>
      </c>
      <c r="E203" s="77" t="str">
        <f>'Test 4-Stats'!X201</f>
        <v>RANGER 2.0 SiT D CAB BASE 4X4</v>
      </c>
      <c r="F203" s="77" t="str">
        <f t="array" ref="F203:G203">'Test 4-Stats'!Z201:AA201</f>
        <v>DIESEL</v>
      </c>
      <c r="G203" s="77">
        <v>1998.0</v>
      </c>
      <c r="H203" s="77" t="str">
        <f t="array" ref="H203:M203">'Test 4-Stats'!C201:H201</f>
        <v>Business Unit 1</v>
      </c>
      <c r="I203" s="77" t="s">
        <v>137</v>
      </c>
      <c r="J203" s="77" t="s">
        <v>138</v>
      </c>
      <c r="K203" s="77" t="s">
        <v>332</v>
      </c>
      <c r="L203" s="77" t="s">
        <v>140</v>
      </c>
      <c r="M203" s="77" t="s">
        <v>114</v>
      </c>
      <c r="N203" s="78">
        <f t="array" ref="N203:P203">'Test 4-Stats'!AL201:AN201</f>
        <v>44056</v>
      </c>
      <c r="O203" s="78">
        <v>45882.0</v>
      </c>
      <c r="P203" s="77">
        <v>60.0</v>
      </c>
      <c r="Q203" s="77" t="str">
        <f>'Test 4-Stats'!CX201</f>
        <v>Active</v>
      </c>
      <c r="R203" s="79"/>
      <c r="S203" s="79"/>
      <c r="T203" s="79"/>
      <c r="U203" s="79"/>
      <c r="V203" s="79"/>
      <c r="W203" s="79"/>
      <c r="X203" s="79"/>
      <c r="Y203" s="79"/>
      <c r="Z203" s="79"/>
    </row>
    <row r="204" ht="14.25" customHeight="1">
      <c r="A204" s="76" t="str">
        <f>'Test 4-Stats'!S202</f>
        <v>Reg 203</v>
      </c>
      <c r="B204" s="77">
        <f>'Test 4-Stats'!Y202</f>
        <v>2024</v>
      </c>
      <c r="C204" s="77" t="str">
        <f>'Test 4-Stats'!W202</f>
        <v>FORD</v>
      </c>
      <c r="D204" s="77" t="str">
        <f>'Test 4-Stats'!V202</f>
        <v>ONE TON LDV DOUBLE CAB</v>
      </c>
      <c r="E204" s="77" t="str">
        <f>'Test 4-Stats'!X202</f>
        <v>RANGER 2.0 SiT D CAB BASE 4X2</v>
      </c>
      <c r="F204" s="77" t="str">
        <f t="array" ref="F204:G204">'Test 4-Stats'!Z202:AA202</f>
        <v>DIESEL</v>
      </c>
      <c r="G204" s="77">
        <v>1998.0</v>
      </c>
      <c r="H204" s="77" t="str">
        <f t="array" ref="H204:M204">'Test 4-Stats'!C202:H202</f>
        <v>Business Unit 2</v>
      </c>
      <c r="I204" s="77" t="s">
        <v>110</v>
      </c>
      <c r="J204" s="77" t="s">
        <v>111</v>
      </c>
      <c r="K204" s="77" t="s">
        <v>172</v>
      </c>
      <c r="L204" s="77" t="s">
        <v>140</v>
      </c>
      <c r="M204" s="77" t="s">
        <v>129</v>
      </c>
      <c r="N204" s="78">
        <f t="array" ref="N204:P204">'Test 4-Stats'!AL202:AN202</f>
        <v>44149</v>
      </c>
      <c r="O204" s="78">
        <v>45975.0</v>
      </c>
      <c r="P204" s="77">
        <v>60.0</v>
      </c>
      <c r="Q204" s="77" t="str">
        <f>'Test 4-Stats'!CX202</f>
        <v>Active</v>
      </c>
      <c r="R204" s="79"/>
      <c r="S204" s="79"/>
      <c r="T204" s="79"/>
      <c r="U204" s="79"/>
      <c r="V204" s="79"/>
      <c r="W204" s="79"/>
      <c r="X204" s="79"/>
      <c r="Y204" s="79"/>
      <c r="Z204" s="79"/>
    </row>
    <row r="205" ht="14.25" customHeight="1">
      <c r="A205" s="76" t="str">
        <f>'Test 4-Stats'!S203</f>
        <v>Reg 204</v>
      </c>
      <c r="B205" s="77">
        <f>'Test 4-Stats'!Y203</f>
        <v>2024</v>
      </c>
      <c r="C205" s="77" t="str">
        <f>'Test 4-Stats'!W203</f>
        <v>FORD</v>
      </c>
      <c r="D205" s="77" t="str">
        <f>'Test 4-Stats'!V203</f>
        <v>ONE TON LDV DOUBLE CAB</v>
      </c>
      <c r="E205" s="77" t="str">
        <f>'Test 4-Stats'!X203</f>
        <v>RANGER 2.0 SiT D CAB BASE 4X2</v>
      </c>
      <c r="F205" s="77" t="str">
        <f t="array" ref="F205:G205">'Test 4-Stats'!Z203:AA203</f>
        <v>DIESEL</v>
      </c>
      <c r="G205" s="77">
        <v>1998.0</v>
      </c>
      <c r="H205" s="77" t="str">
        <f t="array" ref="H205:M205">'Test 4-Stats'!C203:H203</f>
        <v>Business Unit 3</v>
      </c>
      <c r="I205" s="77" t="s">
        <v>125</v>
      </c>
      <c r="J205" s="77" t="s">
        <v>126</v>
      </c>
      <c r="K205" s="77" t="s">
        <v>172</v>
      </c>
      <c r="L205" s="77" t="s">
        <v>140</v>
      </c>
      <c r="M205" s="77" t="s">
        <v>141</v>
      </c>
      <c r="N205" s="78">
        <f t="array" ref="N205:P205">'Test 4-Stats'!AL203:AN203</f>
        <v>44058</v>
      </c>
      <c r="O205" s="78">
        <v>45884.0</v>
      </c>
      <c r="P205" s="77">
        <v>60.0</v>
      </c>
      <c r="Q205" s="77" t="str">
        <f>'Test 4-Stats'!CX203</f>
        <v>Active</v>
      </c>
      <c r="R205" s="79"/>
      <c r="S205" s="79"/>
      <c r="T205" s="79"/>
      <c r="U205" s="79"/>
      <c r="V205" s="79"/>
      <c r="W205" s="79"/>
      <c r="X205" s="79"/>
      <c r="Y205" s="79"/>
      <c r="Z205" s="79"/>
    </row>
    <row r="206" ht="14.25" customHeight="1">
      <c r="A206" s="76" t="str">
        <f>'Test 4-Stats'!S204</f>
        <v>Reg 205</v>
      </c>
      <c r="B206" s="77">
        <f>'Test 4-Stats'!Y204</f>
        <v>2024</v>
      </c>
      <c r="C206" s="77" t="str">
        <f>'Test 4-Stats'!W204</f>
        <v>FORD</v>
      </c>
      <c r="D206" s="77" t="str">
        <f>'Test 4-Stats'!V204</f>
        <v>ONE TON LDV DOUBLE CAB</v>
      </c>
      <c r="E206" s="77" t="str">
        <f>'Test 4-Stats'!X204</f>
        <v>RANGER 2.0 SiT D CAB BASE 4X2</v>
      </c>
      <c r="F206" s="77" t="str">
        <f t="array" ref="F206:G206">'Test 4-Stats'!Z204:AA204</f>
        <v>DIESEL</v>
      </c>
      <c r="G206" s="77">
        <v>1998.0</v>
      </c>
      <c r="H206" s="77" t="str">
        <f t="array" ref="H206:M206">'Test 4-Stats'!C204:H204</f>
        <v>Business Unit 1</v>
      </c>
      <c r="I206" s="77" t="s">
        <v>137</v>
      </c>
      <c r="J206" s="77" t="s">
        <v>138</v>
      </c>
      <c r="K206" s="77" t="s">
        <v>172</v>
      </c>
      <c r="L206" s="77" t="s">
        <v>140</v>
      </c>
      <c r="M206" s="77" t="s">
        <v>114</v>
      </c>
      <c r="N206" s="78">
        <f t="array" ref="N206:P206">'Test 4-Stats'!AL204:AN204</f>
        <v>44059</v>
      </c>
      <c r="O206" s="78">
        <v>45885.0</v>
      </c>
      <c r="P206" s="77">
        <v>60.0</v>
      </c>
      <c r="Q206" s="77" t="str">
        <f>'Test 4-Stats'!CX204</f>
        <v>Active</v>
      </c>
      <c r="R206" s="79"/>
      <c r="S206" s="79"/>
      <c r="T206" s="79"/>
      <c r="U206" s="79"/>
      <c r="V206" s="79"/>
      <c r="W206" s="79"/>
      <c r="X206" s="79"/>
      <c r="Y206" s="79"/>
      <c r="Z206" s="79"/>
    </row>
    <row r="207" ht="14.25" customHeight="1">
      <c r="A207" s="76" t="str">
        <f>'Test 4-Stats'!S205</f>
        <v>Reg 206</v>
      </c>
      <c r="B207" s="77">
        <f>'Test 4-Stats'!Y205</f>
        <v>2024</v>
      </c>
      <c r="C207" s="77" t="str">
        <f>'Test 4-Stats'!W205</f>
        <v>FORD</v>
      </c>
      <c r="D207" s="77" t="str">
        <f>'Test 4-Stats'!V205</f>
        <v>ONE TON LDV DOUBLE CAB</v>
      </c>
      <c r="E207" s="77" t="str">
        <f>'Test 4-Stats'!X205</f>
        <v>RANGER 2.0 SiT D CAB BASE 4X2</v>
      </c>
      <c r="F207" s="77" t="str">
        <f t="array" ref="F207:G207">'Test 4-Stats'!Z205:AA205</f>
        <v>DIESEL</v>
      </c>
      <c r="G207" s="77">
        <v>1998.0</v>
      </c>
      <c r="H207" s="77" t="str">
        <f t="array" ref="H207:M207">'Test 4-Stats'!C205:H205</f>
        <v>Business Unit 2</v>
      </c>
      <c r="I207" s="77" t="s">
        <v>110</v>
      </c>
      <c r="J207" s="77" t="s">
        <v>111</v>
      </c>
      <c r="K207" s="77" t="s">
        <v>172</v>
      </c>
      <c r="L207" s="77" t="s">
        <v>140</v>
      </c>
      <c r="M207" s="77" t="s">
        <v>129</v>
      </c>
      <c r="N207" s="78">
        <f t="array" ref="N207:P207">'Test 4-Stats'!AL205:AN205</f>
        <v>44060</v>
      </c>
      <c r="O207" s="78">
        <v>45886.0</v>
      </c>
      <c r="P207" s="77">
        <v>60.0</v>
      </c>
      <c r="Q207" s="77" t="str">
        <f>'Test 4-Stats'!CX205</f>
        <v>Active</v>
      </c>
      <c r="R207" s="79"/>
      <c r="S207" s="79"/>
      <c r="T207" s="79"/>
      <c r="U207" s="79"/>
      <c r="V207" s="79"/>
      <c r="W207" s="79"/>
      <c r="X207" s="79"/>
      <c r="Y207" s="79"/>
      <c r="Z207" s="79"/>
    </row>
    <row r="208" ht="14.25" customHeight="1">
      <c r="A208" s="76" t="str">
        <f>'Test 4-Stats'!S206</f>
        <v>Reg 207</v>
      </c>
      <c r="B208" s="77">
        <f>'Test 4-Stats'!Y206</f>
        <v>2024</v>
      </c>
      <c r="C208" s="77" t="str">
        <f>'Test 4-Stats'!W206</f>
        <v>TOYOTA</v>
      </c>
      <c r="D208" s="77" t="str">
        <f>'Test 4-Stats'!V206</f>
        <v>SEDAN</v>
      </c>
      <c r="E208" s="77" t="str">
        <f>'Test 4-Stats'!X206</f>
        <v>COROLLA QUEST 1.8 CVT</v>
      </c>
      <c r="F208" s="77" t="str">
        <f t="array" ref="F208:G208">'Test 4-Stats'!Z206:AA206</f>
        <v>PETROL</v>
      </c>
      <c r="G208" s="77">
        <v>1798.0</v>
      </c>
      <c r="H208" s="77" t="str">
        <f t="array" ref="H208:M208">'Test 4-Stats'!C206:H206</f>
        <v>Business Unit 3</v>
      </c>
      <c r="I208" s="77" t="s">
        <v>125</v>
      </c>
      <c r="J208" s="77" t="s">
        <v>126</v>
      </c>
      <c r="K208" s="77" t="s">
        <v>176</v>
      </c>
      <c r="L208" s="77" t="s">
        <v>140</v>
      </c>
      <c r="M208" s="77" t="s">
        <v>141</v>
      </c>
      <c r="N208" s="78">
        <f t="array" ref="N208:P208">'Test 4-Stats'!AL206:AN206</f>
        <v>44061</v>
      </c>
      <c r="O208" s="78">
        <v>45887.0</v>
      </c>
      <c r="P208" s="77">
        <v>60.0</v>
      </c>
      <c r="Q208" s="77" t="str">
        <f>'Test 4-Stats'!CX206</f>
        <v>Active</v>
      </c>
      <c r="R208" s="79"/>
      <c r="S208" s="79"/>
      <c r="T208" s="79"/>
      <c r="U208" s="79"/>
      <c r="V208" s="79"/>
      <c r="W208" s="79"/>
      <c r="X208" s="79"/>
      <c r="Y208" s="79"/>
      <c r="Z208" s="79"/>
    </row>
    <row r="209" ht="14.25" customHeight="1">
      <c r="A209" s="76" t="str">
        <f>'Test 4-Stats'!S207</f>
        <v>Reg 208</v>
      </c>
      <c r="B209" s="77">
        <f>'Test 4-Stats'!Y207</f>
        <v>2024</v>
      </c>
      <c r="C209" s="77" t="str">
        <f>'Test 4-Stats'!W207</f>
        <v>FORD</v>
      </c>
      <c r="D209" s="77" t="str">
        <f>'Test 4-Stats'!V207</f>
        <v>ONE TON LDV DOUBLE CAB</v>
      </c>
      <c r="E209" s="77" t="str">
        <f>'Test 4-Stats'!X207</f>
        <v>RANGER 2.0 SiT D CAB BASE 4X2</v>
      </c>
      <c r="F209" s="77" t="str">
        <f t="array" ref="F209:G209">'Test 4-Stats'!Z207:AA207</f>
        <v>DIESEL</v>
      </c>
      <c r="G209" s="77">
        <v>1998.0</v>
      </c>
      <c r="H209" s="77" t="str">
        <f t="array" ref="H209:M209">'Test 4-Stats'!C207:H207</f>
        <v>Business Unit 1</v>
      </c>
      <c r="I209" s="77" t="s">
        <v>137</v>
      </c>
      <c r="J209" s="77" t="s">
        <v>138</v>
      </c>
      <c r="K209" s="77" t="s">
        <v>172</v>
      </c>
      <c r="L209" s="77" t="s">
        <v>140</v>
      </c>
      <c r="M209" s="77" t="s">
        <v>114</v>
      </c>
      <c r="N209" s="78">
        <f t="array" ref="N209:P209">'Test 4-Stats'!AL207:AN207</f>
        <v>44062</v>
      </c>
      <c r="O209" s="78">
        <v>45888.0</v>
      </c>
      <c r="P209" s="77">
        <v>60.0</v>
      </c>
      <c r="Q209" s="77" t="str">
        <f>'Test 4-Stats'!CX207</f>
        <v>Active</v>
      </c>
      <c r="R209" s="79"/>
      <c r="S209" s="79"/>
      <c r="T209" s="79"/>
      <c r="U209" s="79"/>
      <c r="V209" s="79"/>
      <c r="W209" s="79"/>
      <c r="X209" s="79"/>
      <c r="Y209" s="79"/>
      <c r="Z209" s="79"/>
    </row>
    <row r="210" ht="14.25" customHeight="1">
      <c r="A210" s="76" t="str">
        <f>'Test 4-Stats'!S208</f>
        <v>Reg 209</v>
      </c>
      <c r="B210" s="77">
        <f>'Test 4-Stats'!Y208</f>
        <v>2024</v>
      </c>
      <c r="C210" s="77" t="str">
        <f>'Test 4-Stats'!W208</f>
        <v>FORD</v>
      </c>
      <c r="D210" s="77" t="str">
        <f>'Test 4-Stats'!V208</f>
        <v>ONE TON LDV DOUBLE CAB</v>
      </c>
      <c r="E210" s="77" t="str">
        <f>'Test 4-Stats'!X208</f>
        <v>RANGER 2.0 SiT D CAB BASE 4X2</v>
      </c>
      <c r="F210" s="77" t="str">
        <f t="array" ref="F210:G210">'Test 4-Stats'!Z208:AA208</f>
        <v>DIESEL</v>
      </c>
      <c r="G210" s="77">
        <v>1998.0</v>
      </c>
      <c r="H210" s="77" t="str">
        <f t="array" ref="H210:M210">'Test 4-Stats'!C208:H208</f>
        <v>Business Unit 2</v>
      </c>
      <c r="I210" s="77" t="s">
        <v>110</v>
      </c>
      <c r="J210" s="77" t="s">
        <v>111</v>
      </c>
      <c r="K210" s="77" t="s">
        <v>172</v>
      </c>
      <c r="L210" s="77" t="s">
        <v>140</v>
      </c>
      <c r="M210" s="77" t="s">
        <v>129</v>
      </c>
      <c r="N210" s="78">
        <f t="array" ref="N210:P210">'Test 4-Stats'!AL208:AN208</f>
        <v>44063</v>
      </c>
      <c r="O210" s="78">
        <v>45889.0</v>
      </c>
      <c r="P210" s="77">
        <v>60.0</v>
      </c>
      <c r="Q210" s="77" t="str">
        <f>'Test 4-Stats'!CX208</f>
        <v>Active</v>
      </c>
      <c r="R210" s="79"/>
      <c r="S210" s="79"/>
      <c r="T210" s="79"/>
      <c r="U210" s="79"/>
      <c r="V210" s="79"/>
      <c r="W210" s="79"/>
      <c r="X210" s="79"/>
      <c r="Y210" s="79"/>
      <c r="Z210" s="79"/>
    </row>
    <row r="211" ht="14.25" customHeight="1">
      <c r="A211" s="76" t="str">
        <f>'Test 4-Stats'!S209</f>
        <v>Reg 210</v>
      </c>
      <c r="B211" s="77">
        <f>'Test 4-Stats'!Y209</f>
        <v>2024</v>
      </c>
      <c r="C211" s="77" t="str">
        <f>'Test 4-Stats'!W209</f>
        <v>FORD</v>
      </c>
      <c r="D211" s="77" t="str">
        <f>'Test 4-Stats'!V209</f>
        <v>ONE TON LDV DOUBLE CAB</v>
      </c>
      <c r="E211" s="77" t="str">
        <f>'Test 4-Stats'!X209</f>
        <v>RANGER 2.0 SiT D CAB BASE 4X2</v>
      </c>
      <c r="F211" s="77" t="str">
        <f t="array" ref="F211:G211">'Test 4-Stats'!Z209:AA209</f>
        <v>DIESEL</v>
      </c>
      <c r="G211" s="77">
        <v>1998.0</v>
      </c>
      <c r="H211" s="77" t="str">
        <f t="array" ref="H211:M211">'Test 4-Stats'!C209:H209</f>
        <v>Business Unit 3</v>
      </c>
      <c r="I211" s="77" t="s">
        <v>125</v>
      </c>
      <c r="J211" s="77" t="s">
        <v>126</v>
      </c>
      <c r="K211" s="77" t="s">
        <v>172</v>
      </c>
      <c r="L211" s="77" t="s">
        <v>140</v>
      </c>
      <c r="M211" s="77" t="s">
        <v>141</v>
      </c>
      <c r="N211" s="78">
        <f t="array" ref="N211:P211">'Test 4-Stats'!AL209:AN209</f>
        <v>44064</v>
      </c>
      <c r="O211" s="78">
        <v>45890.0</v>
      </c>
      <c r="P211" s="77">
        <v>60.0</v>
      </c>
      <c r="Q211" s="77" t="str">
        <f>'Test 4-Stats'!CX209</f>
        <v>Active</v>
      </c>
      <c r="R211" s="79"/>
      <c r="S211" s="79"/>
      <c r="T211" s="79"/>
      <c r="U211" s="79"/>
      <c r="V211" s="79"/>
      <c r="W211" s="79"/>
      <c r="X211" s="79"/>
      <c r="Y211" s="79"/>
      <c r="Z211" s="79"/>
    </row>
    <row r="212" ht="14.25" customHeight="1">
      <c r="A212" s="76" t="str">
        <f>'Test 4-Stats'!S210</f>
        <v>Reg 211</v>
      </c>
      <c r="B212" s="77">
        <f>'Test 4-Stats'!Y210</f>
        <v>2024</v>
      </c>
      <c r="C212" s="77" t="str">
        <f>'Test 4-Stats'!W210</f>
        <v>TOYOTA</v>
      </c>
      <c r="D212" s="77" t="str">
        <f>'Test 4-Stats'!V210</f>
        <v>MINIBUS</v>
      </c>
      <c r="E212" s="77" t="str">
        <f>'Test 4-Stats'!X210</f>
        <v>QUANTUM 2.8 GL LWB 14 SEATER</v>
      </c>
      <c r="F212" s="77" t="str">
        <f t="array" ref="F212:G212">'Test 4-Stats'!Z210:AA210</f>
        <v>DIESEL</v>
      </c>
      <c r="G212" s="77">
        <v>2798.0</v>
      </c>
      <c r="H212" s="77" t="str">
        <f t="array" ref="H212:M212">'Test 4-Stats'!C210:H210</f>
        <v>Business Unit 1</v>
      </c>
      <c r="I212" s="77" t="s">
        <v>110</v>
      </c>
      <c r="J212" s="77" t="s">
        <v>111</v>
      </c>
      <c r="K212" s="77" t="s">
        <v>172</v>
      </c>
      <c r="L212" s="77" t="s">
        <v>140</v>
      </c>
      <c r="M212" s="77" t="s">
        <v>114</v>
      </c>
      <c r="N212" s="78">
        <f t="array" ref="N212:P212">'Test 4-Stats'!AL210:AN210</f>
        <v>44096</v>
      </c>
      <c r="O212" s="78">
        <v>45922.0</v>
      </c>
      <c r="P212" s="77">
        <v>60.0</v>
      </c>
      <c r="Q212" s="77" t="str">
        <f>'Test 4-Stats'!CX210</f>
        <v>Active</v>
      </c>
      <c r="R212" s="79"/>
      <c r="S212" s="79"/>
      <c r="T212" s="79"/>
      <c r="U212" s="79"/>
      <c r="V212" s="79"/>
      <c r="W212" s="79"/>
      <c r="X212" s="79"/>
      <c r="Y212" s="79"/>
      <c r="Z212" s="79"/>
    </row>
    <row r="213" ht="14.25" customHeight="1">
      <c r="A213" s="76" t="str">
        <f>'Test 4-Stats'!S211</f>
        <v>Reg 212</v>
      </c>
      <c r="B213" s="77">
        <f>'Test 4-Stats'!Y211</f>
        <v>2024</v>
      </c>
      <c r="C213" s="77" t="str">
        <f>'Test 4-Stats'!W211</f>
        <v>FORD</v>
      </c>
      <c r="D213" s="77" t="str">
        <f>'Test 4-Stats'!V211</f>
        <v>ONE TON LDV DOUBLE CAB</v>
      </c>
      <c r="E213" s="77" t="str">
        <f>'Test 4-Stats'!X211</f>
        <v>RANGER 2.0 SiT D CAB BASE 4X2</v>
      </c>
      <c r="F213" s="77" t="str">
        <f t="array" ref="F213:G213">'Test 4-Stats'!Z211:AA211</f>
        <v>DIESEL</v>
      </c>
      <c r="G213" s="77">
        <v>1998.0</v>
      </c>
      <c r="H213" s="77" t="str">
        <f t="array" ref="H213:M213">'Test 4-Stats'!C211:H211</f>
        <v>Business Unit 2</v>
      </c>
      <c r="I213" s="77" t="s">
        <v>125</v>
      </c>
      <c r="J213" s="77" t="s">
        <v>126</v>
      </c>
      <c r="K213" s="77" t="s">
        <v>196</v>
      </c>
      <c r="L213" s="77" t="s">
        <v>140</v>
      </c>
      <c r="M213" s="77" t="s">
        <v>129</v>
      </c>
      <c r="N213" s="78">
        <f t="array" ref="N213:P213">'Test 4-Stats'!AL211:AN211</f>
        <v>44066</v>
      </c>
      <c r="O213" s="78">
        <v>45892.0</v>
      </c>
      <c r="P213" s="77">
        <v>60.0</v>
      </c>
      <c r="Q213" s="77" t="str">
        <f>'Test 4-Stats'!CX211</f>
        <v>Active</v>
      </c>
      <c r="R213" s="79"/>
      <c r="S213" s="79"/>
      <c r="T213" s="79"/>
      <c r="U213" s="79"/>
      <c r="V213" s="79"/>
      <c r="W213" s="79"/>
      <c r="X213" s="79"/>
      <c r="Y213" s="79"/>
      <c r="Z213" s="79"/>
    </row>
    <row r="214" ht="14.25" customHeight="1">
      <c r="A214" s="76" t="str">
        <f>'Test 4-Stats'!S212</f>
        <v>Reg 213</v>
      </c>
      <c r="B214" s="77">
        <f>'Test 4-Stats'!Y212</f>
        <v>2024</v>
      </c>
      <c r="C214" s="77" t="str">
        <f>'Test 4-Stats'!W212</f>
        <v>FORD</v>
      </c>
      <c r="D214" s="77" t="str">
        <f>'Test 4-Stats'!V212</f>
        <v>ONE TON LDV DOUBLE CAB</v>
      </c>
      <c r="E214" s="77" t="str">
        <f>'Test 4-Stats'!X212</f>
        <v>RANGER 2.0 SiT D CAB BASE 4X2</v>
      </c>
      <c r="F214" s="77" t="str">
        <f t="array" ref="F214:G214">'Test 4-Stats'!Z212:AA212</f>
        <v>DIESEL</v>
      </c>
      <c r="G214" s="77">
        <v>1998.0</v>
      </c>
      <c r="H214" s="77" t="str">
        <f t="array" ref="H214:M214">'Test 4-Stats'!C212:H212</f>
        <v>Business Unit 3</v>
      </c>
      <c r="I214" s="77" t="s">
        <v>137</v>
      </c>
      <c r="J214" s="77" t="s">
        <v>138</v>
      </c>
      <c r="K214" s="77" t="s">
        <v>196</v>
      </c>
      <c r="L214" s="77" t="s">
        <v>140</v>
      </c>
      <c r="M214" s="77" t="s">
        <v>141</v>
      </c>
      <c r="N214" s="78">
        <f t="array" ref="N214:P214">'Test 4-Stats'!AL212:AN212</f>
        <v>44067</v>
      </c>
      <c r="O214" s="78">
        <v>45893.0</v>
      </c>
      <c r="P214" s="77">
        <v>60.0</v>
      </c>
      <c r="Q214" s="77" t="str">
        <f>'Test 4-Stats'!CX212</f>
        <v>Active</v>
      </c>
      <c r="R214" s="79"/>
      <c r="S214" s="79"/>
      <c r="T214" s="79"/>
      <c r="U214" s="79"/>
      <c r="V214" s="79"/>
      <c r="W214" s="79"/>
      <c r="X214" s="79"/>
      <c r="Y214" s="79"/>
      <c r="Z214" s="79"/>
    </row>
    <row r="215" ht="14.25" customHeight="1">
      <c r="A215" s="76" t="str">
        <f>'Test 4-Stats'!S213</f>
        <v>Reg 214</v>
      </c>
      <c r="B215" s="77">
        <f>'Test 4-Stats'!Y213</f>
        <v>2024</v>
      </c>
      <c r="C215" s="77" t="str">
        <f>'Test 4-Stats'!W213</f>
        <v>SUZUKI</v>
      </c>
      <c r="D215" s="77" t="str">
        <f>'Test 4-Stats'!V213</f>
        <v>SEDAN</v>
      </c>
      <c r="E215" s="77" t="str">
        <f>'Test 4-Stats'!X213</f>
        <v>CIAZ 1.5 GL</v>
      </c>
      <c r="F215" s="77" t="str">
        <f t="array" ref="F215:G215">'Test 4-Stats'!Z213:AA213</f>
        <v>PETROL</v>
      </c>
      <c r="G215" s="77">
        <v>1498.0</v>
      </c>
      <c r="H215" s="77" t="str">
        <f t="array" ref="H215:M215">'Test 4-Stats'!C213:H213</f>
        <v>Business Unit 1</v>
      </c>
      <c r="I215" s="77" t="s">
        <v>110</v>
      </c>
      <c r="J215" s="77" t="s">
        <v>111</v>
      </c>
      <c r="K215" s="77" t="s">
        <v>176</v>
      </c>
      <c r="L215" s="77" t="s">
        <v>140</v>
      </c>
      <c r="M215" s="77" t="s">
        <v>114</v>
      </c>
      <c r="N215" s="78">
        <f t="array" ref="N215:P215">'Test 4-Stats'!AL213:AN213</f>
        <v>44129</v>
      </c>
      <c r="O215" s="78">
        <v>45955.0</v>
      </c>
      <c r="P215" s="77">
        <v>60.0</v>
      </c>
      <c r="Q215" s="77" t="str">
        <f>'Test 4-Stats'!CX213</f>
        <v>Active</v>
      </c>
      <c r="R215" s="79"/>
      <c r="S215" s="79"/>
      <c r="T215" s="79"/>
      <c r="U215" s="79"/>
      <c r="V215" s="79"/>
      <c r="W215" s="79"/>
      <c r="X215" s="79"/>
      <c r="Y215" s="79"/>
      <c r="Z215" s="79"/>
    </row>
    <row r="216" ht="14.25" customHeight="1">
      <c r="A216" s="76" t="str">
        <f>'Test 4-Stats'!S214</f>
        <v>Reg 215</v>
      </c>
      <c r="B216" s="77">
        <f>'Test 4-Stats'!Y214</f>
        <v>2024</v>
      </c>
      <c r="C216" s="77" t="str">
        <f>'Test 4-Stats'!W214</f>
        <v>ISUZU</v>
      </c>
      <c r="D216" s="77" t="str">
        <f>'Test 4-Stats'!V214</f>
        <v>ONE TON LDV SINGLE CAB</v>
      </c>
      <c r="E216" s="77" t="str">
        <f>'Test 4-Stats'!X214</f>
        <v>D-MAX 250 HO FLEETSIDE (SAFETY)</v>
      </c>
      <c r="F216" s="77" t="str">
        <f t="array" ref="F216:G216">'Test 4-Stats'!Z214:AA214</f>
        <v>DIESEL</v>
      </c>
      <c r="G216" s="77">
        <v>2498.0</v>
      </c>
      <c r="H216" s="77" t="str">
        <f t="array" ref="H216:M216">'Test 4-Stats'!C214:H214</f>
        <v>Business Unit 2</v>
      </c>
      <c r="I216" s="77" t="s">
        <v>125</v>
      </c>
      <c r="J216" s="77" t="s">
        <v>126</v>
      </c>
      <c r="K216" s="77" t="s">
        <v>196</v>
      </c>
      <c r="L216" s="77" t="s">
        <v>140</v>
      </c>
      <c r="M216" s="77" t="s">
        <v>129</v>
      </c>
      <c r="N216" s="78">
        <f t="array" ref="N216:P216">'Test 4-Stats'!AL214:AN214</f>
        <v>44069</v>
      </c>
      <c r="O216" s="78">
        <v>45895.0</v>
      </c>
      <c r="P216" s="77">
        <v>60.0</v>
      </c>
      <c r="Q216" s="77" t="str">
        <f>'Test 4-Stats'!CX214</f>
        <v>Active</v>
      </c>
      <c r="R216" s="79"/>
      <c r="S216" s="79"/>
      <c r="T216" s="79"/>
      <c r="U216" s="79"/>
      <c r="V216" s="79"/>
      <c r="W216" s="79"/>
      <c r="X216" s="79"/>
      <c r="Y216" s="79"/>
      <c r="Z216" s="79"/>
    </row>
    <row r="217" ht="14.25" customHeight="1">
      <c r="A217" s="76" t="str">
        <f>'Test 4-Stats'!S215</f>
        <v>Reg 216</v>
      </c>
      <c r="B217" s="77">
        <f>'Test 4-Stats'!Y215</f>
        <v>2024</v>
      </c>
      <c r="C217" s="77" t="str">
        <f>'Test 4-Stats'!W215</f>
        <v>TOYOTA</v>
      </c>
      <c r="D217" s="77" t="str">
        <f>'Test 4-Stats'!V215</f>
        <v>MINIBUS</v>
      </c>
      <c r="E217" s="77" t="str">
        <f>'Test 4-Stats'!X215</f>
        <v>QUANTUM 2.8 GL LWB 14 SEATER</v>
      </c>
      <c r="F217" s="77" t="str">
        <f t="array" ref="F217:G217">'Test 4-Stats'!Z215:AA215</f>
        <v>DIESEL</v>
      </c>
      <c r="G217" s="77">
        <v>2798.0</v>
      </c>
      <c r="H217" s="77" t="str">
        <f t="array" ref="H217:M217">'Test 4-Stats'!C215:H215</f>
        <v>Business Unit 3</v>
      </c>
      <c r="I217" s="77" t="s">
        <v>137</v>
      </c>
      <c r="J217" s="77" t="s">
        <v>138</v>
      </c>
      <c r="K217" s="77" t="s">
        <v>172</v>
      </c>
      <c r="L217" s="77" t="s">
        <v>140</v>
      </c>
      <c r="M217" s="77" t="s">
        <v>141</v>
      </c>
      <c r="N217" s="78">
        <f t="array" ref="N217:P217">'Test 4-Stats'!AL215:AN215</f>
        <v>44162</v>
      </c>
      <c r="O217" s="78">
        <v>45988.0</v>
      </c>
      <c r="P217" s="77">
        <v>60.0</v>
      </c>
      <c r="Q217" s="77" t="str">
        <f>'Test 4-Stats'!CX215</f>
        <v>Active</v>
      </c>
      <c r="R217" s="79"/>
      <c r="S217" s="79"/>
      <c r="T217" s="79"/>
      <c r="U217" s="79"/>
      <c r="V217" s="79"/>
      <c r="W217" s="79"/>
      <c r="X217" s="79"/>
      <c r="Y217" s="79"/>
      <c r="Z217" s="79"/>
    </row>
    <row r="218" ht="14.25" customHeight="1">
      <c r="A218" s="76" t="str">
        <f>'Test 4-Stats'!S216</f>
        <v>Reg 217</v>
      </c>
      <c r="B218" s="77">
        <f>'Test 4-Stats'!Y216</f>
        <v>2024</v>
      </c>
      <c r="C218" s="77" t="str">
        <f>'Test 4-Stats'!W216</f>
        <v>HYUNDAI</v>
      </c>
      <c r="D218" s="77" t="str">
        <f>'Test 4-Stats'!V216</f>
        <v>MINIBUS</v>
      </c>
      <c r="E218" s="77" t="str">
        <f>'Test 4-Stats'!X216</f>
        <v>STARIA 2.2D EXECUTIVE 9 SEATER AT</v>
      </c>
      <c r="F218" s="77" t="str">
        <f t="array" ref="F218:G218">'Test 4-Stats'!Z216:AA216</f>
        <v>DIESEL</v>
      </c>
      <c r="G218" s="77">
        <v>2198.0</v>
      </c>
      <c r="H218" s="77" t="str">
        <f t="array" ref="H218:M218">'Test 4-Stats'!C216:H216</f>
        <v>Business Unit 1</v>
      </c>
      <c r="I218" s="77" t="s">
        <v>110</v>
      </c>
      <c r="J218" s="77" t="s">
        <v>111</v>
      </c>
      <c r="K218" s="77" t="s">
        <v>179</v>
      </c>
      <c r="L218" s="77" t="s">
        <v>140</v>
      </c>
      <c r="M218" s="77" t="s">
        <v>114</v>
      </c>
      <c r="N218" s="78">
        <f t="array" ref="N218:P218">'Test 4-Stats'!AL216:AN216</f>
        <v>44071</v>
      </c>
      <c r="O218" s="78">
        <v>45897.0</v>
      </c>
      <c r="P218" s="77">
        <v>15.0</v>
      </c>
      <c r="Q218" s="77" t="str">
        <f>'Test 4-Stats'!CX216</f>
        <v>Active</v>
      </c>
      <c r="R218" s="79"/>
      <c r="S218" s="79"/>
      <c r="T218" s="79"/>
      <c r="U218" s="79"/>
      <c r="V218" s="79"/>
      <c r="W218" s="79"/>
      <c r="X218" s="79"/>
      <c r="Y218" s="79"/>
      <c r="Z218" s="79"/>
    </row>
    <row r="219" ht="14.25" customHeight="1">
      <c r="A219" s="76" t="str">
        <f>'Test 4-Stats'!S217</f>
        <v>Reg 218</v>
      </c>
      <c r="B219" s="77">
        <f>'Test 4-Stats'!Y217</f>
        <v>2024</v>
      </c>
      <c r="C219" s="77" t="str">
        <f>'Test 4-Stats'!W217</f>
        <v>HYUNDAI</v>
      </c>
      <c r="D219" s="77" t="str">
        <f>'Test 4-Stats'!V217</f>
        <v>MINIBUS</v>
      </c>
      <c r="E219" s="77" t="str">
        <f>'Test 4-Stats'!X217</f>
        <v>STARIA 2.2D EXECUTIVE 9 SEATER AT</v>
      </c>
      <c r="F219" s="77" t="str">
        <f t="array" ref="F219:G219">'Test 4-Stats'!Z217:AA217</f>
        <v>DIESEL</v>
      </c>
      <c r="G219" s="77">
        <v>2198.0</v>
      </c>
      <c r="H219" s="77" t="str">
        <f t="array" ref="H219:M219">'Test 4-Stats'!C217:H217</f>
        <v>Business Unit 2</v>
      </c>
      <c r="I219" s="77" t="s">
        <v>125</v>
      </c>
      <c r="J219" s="77" t="s">
        <v>126</v>
      </c>
      <c r="K219" s="77" t="s">
        <v>179</v>
      </c>
      <c r="L219" s="77" t="s">
        <v>140</v>
      </c>
      <c r="M219" s="77" t="s">
        <v>129</v>
      </c>
      <c r="N219" s="78">
        <f t="array" ref="N219:P219">'Test 4-Stats'!AL217:AN217</f>
        <v>44072</v>
      </c>
      <c r="O219" s="78">
        <v>45898.0</v>
      </c>
      <c r="P219" s="77">
        <v>15.0</v>
      </c>
      <c r="Q219" s="77" t="str">
        <f>'Test 4-Stats'!CX217</f>
        <v>Active</v>
      </c>
      <c r="R219" s="79"/>
      <c r="S219" s="79"/>
      <c r="T219" s="79"/>
      <c r="U219" s="79"/>
      <c r="V219" s="79"/>
      <c r="W219" s="79"/>
      <c r="X219" s="79"/>
      <c r="Y219" s="79"/>
      <c r="Z219" s="79"/>
    </row>
    <row r="220" ht="14.25" customHeight="1">
      <c r="A220" s="76" t="str">
        <f>'Test 4-Stats'!S218</f>
        <v>Reg 219</v>
      </c>
      <c r="B220" s="77">
        <f>'Test 4-Stats'!Y218</f>
        <v>2024</v>
      </c>
      <c r="C220" s="77" t="str">
        <f>'Test 4-Stats'!W218</f>
        <v>HYUNDAI</v>
      </c>
      <c r="D220" s="77" t="str">
        <f>'Test 4-Stats'!V218</f>
        <v>MINIBUS</v>
      </c>
      <c r="E220" s="77" t="str">
        <f>'Test 4-Stats'!X218</f>
        <v>STARIA 2.2D EXECUTIVE 9 SEATER AT</v>
      </c>
      <c r="F220" s="77" t="str">
        <f t="array" ref="F220:G220">'Test 4-Stats'!Z218:AA218</f>
        <v>DIESEL</v>
      </c>
      <c r="G220" s="77">
        <v>2198.0</v>
      </c>
      <c r="H220" s="77" t="str">
        <f t="array" ref="H220:M220">'Test 4-Stats'!C218:H218</f>
        <v>Business Unit 3</v>
      </c>
      <c r="I220" s="77" t="s">
        <v>137</v>
      </c>
      <c r="J220" s="77" t="s">
        <v>138</v>
      </c>
      <c r="K220" s="77" t="s">
        <v>179</v>
      </c>
      <c r="L220" s="77" t="s">
        <v>140</v>
      </c>
      <c r="M220" s="77" t="s">
        <v>141</v>
      </c>
      <c r="N220" s="78">
        <f t="array" ref="N220:P220">'Test 4-Stats'!AL218:AN218</f>
        <v>44073</v>
      </c>
      <c r="O220" s="78">
        <v>45899.0</v>
      </c>
      <c r="P220" s="77">
        <v>15.0</v>
      </c>
      <c r="Q220" s="77" t="str">
        <f>'Test 4-Stats'!CX218</f>
        <v>Active</v>
      </c>
      <c r="R220" s="79"/>
      <c r="S220" s="79"/>
      <c r="T220" s="79"/>
      <c r="U220" s="79"/>
      <c r="V220" s="79"/>
      <c r="W220" s="79"/>
      <c r="X220" s="79"/>
      <c r="Y220" s="79"/>
      <c r="Z220" s="79"/>
    </row>
    <row r="221" ht="14.25" customHeight="1">
      <c r="A221" s="76" t="str">
        <f>'Test 4-Stats'!S219</f>
        <v>Reg 220</v>
      </c>
      <c r="B221" s="77">
        <f>'Test 4-Stats'!Y219</f>
        <v>2024</v>
      </c>
      <c r="C221" s="77" t="str">
        <f>'Test 4-Stats'!W219</f>
        <v>HYUNDAI</v>
      </c>
      <c r="D221" s="77" t="str">
        <f>'Test 4-Stats'!V219</f>
        <v>MINIBUS</v>
      </c>
      <c r="E221" s="77" t="str">
        <f>'Test 4-Stats'!X219</f>
        <v>STARIA 2.2D EXECUTIVE 9 SEATER AT</v>
      </c>
      <c r="F221" s="77" t="str">
        <f t="array" ref="F221:G221">'Test 4-Stats'!Z219:AA219</f>
        <v>DIESEL</v>
      </c>
      <c r="G221" s="77">
        <v>2198.0</v>
      </c>
      <c r="H221" s="77" t="str">
        <f t="array" ref="H221:M221">'Test 4-Stats'!C219:H219</f>
        <v>Business Unit 1</v>
      </c>
      <c r="I221" s="77" t="s">
        <v>110</v>
      </c>
      <c r="J221" s="77" t="s">
        <v>111</v>
      </c>
      <c r="K221" s="77" t="s">
        <v>179</v>
      </c>
      <c r="L221" s="77" t="s">
        <v>140</v>
      </c>
      <c r="M221" s="77" t="s">
        <v>114</v>
      </c>
      <c r="N221" s="78">
        <f t="array" ref="N221:P221">'Test 4-Stats'!AL219:AN219</f>
        <v>44074</v>
      </c>
      <c r="O221" s="78">
        <v>45900.0</v>
      </c>
      <c r="P221" s="77">
        <v>15.0</v>
      </c>
      <c r="Q221" s="77" t="str">
        <f>'Test 4-Stats'!CX219</f>
        <v>Active</v>
      </c>
      <c r="R221" s="79"/>
      <c r="S221" s="79"/>
      <c r="T221" s="79"/>
      <c r="U221" s="79"/>
      <c r="V221" s="79"/>
      <c r="W221" s="79"/>
      <c r="X221" s="79"/>
      <c r="Y221" s="79"/>
      <c r="Z221" s="79"/>
    </row>
    <row r="222" ht="14.25" customHeight="1">
      <c r="A222" s="76" t="str">
        <f>'Test 4-Stats'!S220</f>
        <v>Reg 221</v>
      </c>
      <c r="B222" s="77">
        <f>'Test 4-Stats'!Y220</f>
        <v>2024</v>
      </c>
      <c r="C222" s="77" t="str">
        <f>'Test 4-Stats'!W220</f>
        <v>HYUNDAI</v>
      </c>
      <c r="D222" s="77" t="str">
        <f>'Test 4-Stats'!V220</f>
        <v>MINIBUS</v>
      </c>
      <c r="E222" s="77" t="str">
        <f>'Test 4-Stats'!X220</f>
        <v>STARIA 2.2D EXECUTIVE 9 SEATER AT</v>
      </c>
      <c r="F222" s="77" t="str">
        <f t="array" ref="F222:G222">'Test 4-Stats'!Z220:AA220</f>
        <v>DIESEL</v>
      </c>
      <c r="G222" s="77">
        <v>2198.0</v>
      </c>
      <c r="H222" s="77" t="str">
        <f t="array" ref="H222:M222">'Test 4-Stats'!C220:H220</f>
        <v>Business Unit 2</v>
      </c>
      <c r="I222" s="77" t="s">
        <v>125</v>
      </c>
      <c r="J222" s="77" t="s">
        <v>126</v>
      </c>
      <c r="K222" s="77" t="s">
        <v>179</v>
      </c>
      <c r="L222" s="77" t="s">
        <v>140</v>
      </c>
      <c r="M222" s="77" t="s">
        <v>129</v>
      </c>
      <c r="N222" s="78">
        <f t="array" ref="N222:P222">'Test 4-Stats'!AL220:AN220</f>
        <v>44166</v>
      </c>
      <c r="O222" s="78">
        <v>45992.0</v>
      </c>
      <c r="P222" s="77">
        <v>15.0</v>
      </c>
      <c r="Q222" s="77" t="str">
        <f>'Test 4-Stats'!CX220</f>
        <v>Active</v>
      </c>
      <c r="R222" s="79"/>
      <c r="S222" s="79"/>
      <c r="T222" s="79"/>
      <c r="U222" s="79"/>
      <c r="V222" s="79"/>
      <c r="W222" s="79"/>
      <c r="X222" s="79"/>
      <c r="Y222" s="79"/>
      <c r="Z222" s="79"/>
    </row>
    <row r="223" ht="14.25" customHeight="1">
      <c r="A223" s="76" t="str">
        <f>'Test 4-Stats'!S221</f>
        <v>Reg 222</v>
      </c>
      <c r="B223" s="77">
        <f>'Test 4-Stats'!Y221</f>
        <v>2024</v>
      </c>
      <c r="C223" s="77" t="str">
        <f>'Test 4-Stats'!W221</f>
        <v>HYUNDAI</v>
      </c>
      <c r="D223" s="77" t="str">
        <f>'Test 4-Stats'!V221</f>
        <v>MINIBUS</v>
      </c>
      <c r="E223" s="77" t="str">
        <f>'Test 4-Stats'!X221</f>
        <v>STARIA 2.2D EXECUTIVE 9 SEATER AT</v>
      </c>
      <c r="F223" s="77" t="str">
        <f t="array" ref="F223:G223">'Test 4-Stats'!Z221:AA221</f>
        <v>DIESEL</v>
      </c>
      <c r="G223" s="77">
        <v>2198.0</v>
      </c>
      <c r="H223" s="77" t="str">
        <f t="array" ref="H223:M223">'Test 4-Stats'!C221:H221</f>
        <v>Business Unit 3</v>
      </c>
      <c r="I223" s="77" t="s">
        <v>137</v>
      </c>
      <c r="J223" s="77" t="s">
        <v>138</v>
      </c>
      <c r="K223" s="77" t="s">
        <v>179</v>
      </c>
      <c r="L223" s="77" t="s">
        <v>140</v>
      </c>
      <c r="M223" s="77" t="s">
        <v>141</v>
      </c>
      <c r="N223" s="78">
        <f t="array" ref="N223:P223">'Test 4-Stats'!AL221:AN221</f>
        <v>44076</v>
      </c>
      <c r="O223" s="78">
        <v>45902.0</v>
      </c>
      <c r="P223" s="77">
        <v>15.0</v>
      </c>
      <c r="Q223" s="77" t="str">
        <f>'Test 4-Stats'!CX221</f>
        <v>Active</v>
      </c>
      <c r="R223" s="79"/>
      <c r="S223" s="79"/>
      <c r="T223" s="79"/>
      <c r="U223" s="79"/>
      <c r="V223" s="79"/>
      <c r="W223" s="79"/>
      <c r="X223" s="79"/>
      <c r="Y223" s="79"/>
      <c r="Z223" s="79"/>
    </row>
    <row r="224" ht="14.25" customHeight="1">
      <c r="A224" s="76" t="str">
        <f>'Test 4-Stats'!S222</f>
        <v>Reg 223</v>
      </c>
      <c r="B224" s="77">
        <f>'Test 4-Stats'!Y222</f>
        <v>2024</v>
      </c>
      <c r="C224" s="77" t="str">
        <f>'Test 4-Stats'!W222</f>
        <v>HYUNDAI</v>
      </c>
      <c r="D224" s="77" t="str">
        <f>'Test 4-Stats'!V222</f>
        <v>MINIBUS</v>
      </c>
      <c r="E224" s="77" t="str">
        <f>'Test 4-Stats'!X222</f>
        <v>STARIA 2.2D EXECUTIVE 9 SEATER AT</v>
      </c>
      <c r="F224" s="77" t="str">
        <f t="array" ref="F224:G224">'Test 4-Stats'!Z222:AA222</f>
        <v>DIESEL</v>
      </c>
      <c r="G224" s="77">
        <v>2198.0</v>
      </c>
      <c r="H224" s="77" t="str">
        <f t="array" ref="H224:M224">'Test 4-Stats'!C222:H222</f>
        <v>Business Unit 1</v>
      </c>
      <c r="I224" s="77" t="s">
        <v>110</v>
      </c>
      <c r="J224" s="77" t="s">
        <v>111</v>
      </c>
      <c r="K224" s="77" t="s">
        <v>179</v>
      </c>
      <c r="L224" s="77" t="s">
        <v>140</v>
      </c>
      <c r="M224" s="77" t="s">
        <v>114</v>
      </c>
      <c r="N224" s="78">
        <f t="array" ref="N224:P224">'Test 4-Stats'!AL222:AN222</f>
        <v>44077</v>
      </c>
      <c r="O224" s="78">
        <v>45903.0</v>
      </c>
      <c r="P224" s="77">
        <v>15.0</v>
      </c>
      <c r="Q224" s="77" t="str">
        <f>'Test 4-Stats'!CX222</f>
        <v>Active</v>
      </c>
      <c r="R224" s="79"/>
      <c r="S224" s="79"/>
      <c r="T224" s="79"/>
      <c r="U224" s="79"/>
      <c r="V224" s="79"/>
      <c r="W224" s="79"/>
      <c r="X224" s="79"/>
      <c r="Y224" s="79"/>
      <c r="Z224" s="79"/>
    </row>
    <row r="225" ht="14.25" customHeight="1">
      <c r="A225" s="76" t="str">
        <f>'Test 4-Stats'!S223</f>
        <v>Reg 224</v>
      </c>
      <c r="B225" s="77">
        <f>'Test 4-Stats'!Y223</f>
        <v>2024</v>
      </c>
      <c r="C225" s="77" t="str">
        <f>'Test 4-Stats'!W223</f>
        <v>ISUZU</v>
      </c>
      <c r="D225" s="77" t="str">
        <f>'Test 4-Stats'!V223</f>
        <v>ONE TON LDV SINGLE CAB</v>
      </c>
      <c r="E225" s="77" t="str">
        <f>'Test 4-Stats'!X223</f>
        <v>D-MAX 250 HO FLEETSIDE (SAFETY)</v>
      </c>
      <c r="F225" s="77" t="str">
        <f t="array" ref="F225:G225">'Test 4-Stats'!Z223:AA223</f>
        <v>DIESEL</v>
      </c>
      <c r="G225" s="77">
        <v>2498.0</v>
      </c>
      <c r="H225" s="77" t="str">
        <f t="array" ref="H225:M225">'Test 4-Stats'!C223:H223</f>
        <v>Business Unit 2</v>
      </c>
      <c r="I225" s="77" t="s">
        <v>125</v>
      </c>
      <c r="J225" s="77" t="s">
        <v>126</v>
      </c>
      <c r="K225" s="77" t="s">
        <v>196</v>
      </c>
      <c r="L225" s="77" t="s">
        <v>140</v>
      </c>
      <c r="M225" s="77" t="s">
        <v>129</v>
      </c>
      <c r="N225" s="78">
        <f t="array" ref="N225:P225">'Test 4-Stats'!AL223:AN223</f>
        <v>44078</v>
      </c>
      <c r="O225" s="78">
        <v>45904.0</v>
      </c>
      <c r="P225" s="77">
        <v>60.0</v>
      </c>
      <c r="Q225" s="77" t="str">
        <f>'Test 4-Stats'!CX223</f>
        <v>Active</v>
      </c>
      <c r="R225" s="79"/>
      <c r="S225" s="79"/>
      <c r="T225" s="79"/>
      <c r="U225" s="79"/>
      <c r="V225" s="79"/>
      <c r="W225" s="79"/>
      <c r="X225" s="79"/>
      <c r="Y225" s="79"/>
      <c r="Z225" s="79"/>
    </row>
    <row r="226" ht="14.25" customHeight="1">
      <c r="A226" s="76" t="str">
        <f>'Test 4-Stats'!S224</f>
        <v>Reg 225</v>
      </c>
      <c r="B226" s="77">
        <f>'Test 4-Stats'!Y224</f>
        <v>2024</v>
      </c>
      <c r="C226" s="77" t="str">
        <f>'Test 4-Stats'!W224</f>
        <v>ISUZU</v>
      </c>
      <c r="D226" s="77" t="str">
        <f>'Test 4-Stats'!V224</f>
        <v>ONE TON LDV SINGLE CAB</v>
      </c>
      <c r="E226" s="77" t="str">
        <f>'Test 4-Stats'!X224</f>
        <v>D-MAX 250 HO FLEETSIDE (SAFETY)</v>
      </c>
      <c r="F226" s="77" t="str">
        <f t="array" ref="F226:G226">'Test 4-Stats'!Z224:AA224</f>
        <v>DIESEL</v>
      </c>
      <c r="G226" s="77">
        <v>2498.0</v>
      </c>
      <c r="H226" s="77" t="str">
        <f t="array" ref="H226:M226">'Test 4-Stats'!C224:H224</f>
        <v>Business Unit 3</v>
      </c>
      <c r="I226" s="77" t="s">
        <v>137</v>
      </c>
      <c r="J226" s="77" t="s">
        <v>138</v>
      </c>
      <c r="K226" s="77" t="s">
        <v>196</v>
      </c>
      <c r="L226" s="77" t="s">
        <v>140</v>
      </c>
      <c r="M226" s="77" t="s">
        <v>141</v>
      </c>
      <c r="N226" s="78">
        <f t="array" ref="N226:P226">'Test 4-Stats'!AL224:AN224</f>
        <v>44079</v>
      </c>
      <c r="O226" s="78">
        <v>45905.0</v>
      </c>
      <c r="P226" s="77">
        <v>60.0</v>
      </c>
      <c r="Q226" s="77" t="str">
        <f>'Test 4-Stats'!CX224</f>
        <v>Active</v>
      </c>
      <c r="R226" s="79"/>
      <c r="S226" s="79"/>
      <c r="T226" s="79"/>
      <c r="U226" s="79"/>
      <c r="V226" s="79"/>
      <c r="W226" s="79"/>
      <c r="X226" s="79"/>
      <c r="Y226" s="79"/>
      <c r="Z226" s="79"/>
    </row>
    <row r="227" ht="14.25" customHeight="1">
      <c r="A227" s="76" t="str">
        <f>'Test 4-Stats'!S225</f>
        <v>Reg 226</v>
      </c>
      <c r="B227" s="77">
        <f>'Test 4-Stats'!Y225</f>
        <v>2024</v>
      </c>
      <c r="C227" s="77" t="str">
        <f>'Test 4-Stats'!W225</f>
        <v>ISUZU</v>
      </c>
      <c r="D227" s="77" t="str">
        <f>'Test 4-Stats'!V225</f>
        <v>ONE TON LDV SINGLE CAB</v>
      </c>
      <c r="E227" s="77" t="str">
        <f>'Test 4-Stats'!X225</f>
        <v>D-MAX 250 HO FLEETSIDE (SAFETY)</v>
      </c>
      <c r="F227" s="77" t="str">
        <f t="array" ref="F227:G227">'Test 4-Stats'!Z225:AA225</f>
        <v>DIESEL</v>
      </c>
      <c r="G227" s="77">
        <v>2498.0</v>
      </c>
      <c r="H227" s="77" t="str">
        <f t="array" ref="H227:M227">'Test 4-Stats'!C225:H225</f>
        <v>Business Unit 1</v>
      </c>
      <c r="I227" s="77" t="s">
        <v>110</v>
      </c>
      <c r="J227" s="77" t="s">
        <v>111</v>
      </c>
      <c r="K227" s="77" t="s">
        <v>196</v>
      </c>
      <c r="L227" s="77" t="s">
        <v>140</v>
      </c>
      <c r="M227" s="77" t="s">
        <v>114</v>
      </c>
      <c r="N227" s="78">
        <f t="array" ref="N227:P227">'Test 4-Stats'!AL225:AN225</f>
        <v>44080</v>
      </c>
      <c r="O227" s="78">
        <v>45906.0</v>
      </c>
      <c r="P227" s="77">
        <v>60.0</v>
      </c>
      <c r="Q227" s="77" t="str">
        <f>'Test 4-Stats'!CX225</f>
        <v>Active</v>
      </c>
      <c r="R227" s="79"/>
      <c r="S227" s="79"/>
      <c r="T227" s="79"/>
      <c r="U227" s="79"/>
      <c r="V227" s="79"/>
      <c r="W227" s="79"/>
      <c r="X227" s="79"/>
      <c r="Y227" s="79"/>
      <c r="Z227" s="79"/>
    </row>
    <row r="228" ht="14.25" customHeight="1">
      <c r="A228" s="76" t="str">
        <f>'Test 4-Stats'!S226</f>
        <v>Reg 227</v>
      </c>
      <c r="B228" s="77">
        <f>'Test 4-Stats'!Y226</f>
        <v>2024</v>
      </c>
      <c r="C228" s="77" t="str">
        <f>'Test 4-Stats'!W226</f>
        <v>ISUZU</v>
      </c>
      <c r="D228" s="77" t="str">
        <f>'Test 4-Stats'!V226</f>
        <v>ONE TON LDV SINGLE CAB</v>
      </c>
      <c r="E228" s="77" t="str">
        <f>'Test 4-Stats'!X226</f>
        <v>D-MAX 250 HO FLEETSIDE (SAFETY)</v>
      </c>
      <c r="F228" s="77" t="str">
        <f t="array" ref="F228:G228">'Test 4-Stats'!Z226:AA226</f>
        <v>DIESEL</v>
      </c>
      <c r="G228" s="77">
        <v>2498.0</v>
      </c>
      <c r="H228" s="77" t="str">
        <f t="array" ref="H228:M228">'Test 4-Stats'!C226:H226</f>
        <v>Business Unit 2</v>
      </c>
      <c r="I228" s="77" t="s">
        <v>125</v>
      </c>
      <c r="J228" s="77" t="s">
        <v>126</v>
      </c>
      <c r="K228" s="77" t="s">
        <v>196</v>
      </c>
      <c r="L228" s="77" t="s">
        <v>140</v>
      </c>
      <c r="M228" s="77" t="s">
        <v>129</v>
      </c>
      <c r="N228" s="78">
        <f t="array" ref="N228:P228">'Test 4-Stats'!AL226:AN226</f>
        <v>44104</v>
      </c>
      <c r="O228" s="78">
        <v>45930.0</v>
      </c>
      <c r="P228" s="77">
        <v>60.0</v>
      </c>
      <c r="Q228" s="77" t="str">
        <f>'Test 4-Stats'!CX226</f>
        <v>Active</v>
      </c>
      <c r="R228" s="79"/>
      <c r="S228" s="79"/>
      <c r="T228" s="79"/>
      <c r="U228" s="79"/>
      <c r="V228" s="79"/>
      <c r="W228" s="79"/>
      <c r="X228" s="79"/>
      <c r="Y228" s="79"/>
      <c r="Z228" s="79"/>
    </row>
    <row r="229" ht="14.25" customHeight="1">
      <c r="A229" s="76" t="str">
        <f>'Test 4-Stats'!S227</f>
        <v>Reg 228</v>
      </c>
      <c r="B229" s="77">
        <f>'Test 4-Stats'!Y227</f>
        <v>2024</v>
      </c>
      <c r="C229" s="77" t="str">
        <f>'Test 4-Stats'!W227</f>
        <v>ISUZU</v>
      </c>
      <c r="D229" s="77" t="str">
        <f>'Test 4-Stats'!V227</f>
        <v>ONE TON LDV SINGLE CAB</v>
      </c>
      <c r="E229" s="77" t="str">
        <f>'Test 4-Stats'!X227</f>
        <v>D-MAX 250 HO FLEETSIDE (SAFETY)</v>
      </c>
      <c r="F229" s="77" t="str">
        <f t="array" ref="F229:G229">'Test 4-Stats'!Z227:AA227</f>
        <v>DIESEL</v>
      </c>
      <c r="G229" s="77">
        <v>2498.0</v>
      </c>
      <c r="H229" s="77" t="str">
        <f t="array" ref="H229:M229">'Test 4-Stats'!C227:H227</f>
        <v>Business Unit 1</v>
      </c>
      <c r="I229" s="77" t="s">
        <v>137</v>
      </c>
      <c r="J229" s="77" t="s">
        <v>138</v>
      </c>
      <c r="K229" s="77" t="s">
        <v>196</v>
      </c>
      <c r="L229" s="77" t="s">
        <v>140</v>
      </c>
      <c r="M229" s="77" t="s">
        <v>141</v>
      </c>
      <c r="N229" s="78">
        <f t="array" ref="N229:P229">'Test 4-Stats'!AL227:AN227</f>
        <v>44105</v>
      </c>
      <c r="O229" s="78">
        <v>45931.0</v>
      </c>
      <c r="P229" s="77">
        <v>60.0</v>
      </c>
      <c r="Q229" s="77" t="str">
        <f>'Test 4-Stats'!CX227</f>
        <v>Active</v>
      </c>
      <c r="R229" s="79"/>
      <c r="S229" s="79"/>
      <c r="T229" s="79"/>
      <c r="U229" s="79"/>
      <c r="V229" s="79"/>
      <c r="W229" s="79"/>
      <c r="X229" s="79"/>
      <c r="Y229" s="79"/>
      <c r="Z229" s="79"/>
    </row>
    <row r="230" ht="14.25" customHeight="1">
      <c r="A230" s="76" t="str">
        <f>'Test 4-Stats'!S228</f>
        <v>Reg 229</v>
      </c>
      <c r="B230" s="77">
        <f>'Test 4-Stats'!Y228</f>
        <v>2024</v>
      </c>
      <c r="C230" s="77" t="str">
        <f>'Test 4-Stats'!W228</f>
        <v>ISUZU</v>
      </c>
      <c r="D230" s="77" t="str">
        <f>'Test 4-Stats'!V228</f>
        <v>ONE TON LDV SINGLE CAB</v>
      </c>
      <c r="E230" s="77" t="str">
        <f>'Test 4-Stats'!X228</f>
        <v>D-MAX 250 HO FLEETSIDE (SAFETY)</v>
      </c>
      <c r="F230" s="77" t="str">
        <f t="array" ref="F230:G230">'Test 4-Stats'!Z228:AA228</f>
        <v>DIESEL</v>
      </c>
      <c r="G230" s="77">
        <v>2498.0</v>
      </c>
      <c r="H230" s="77" t="str">
        <f t="array" ref="H230:M230">'Test 4-Stats'!C228:H228</f>
        <v>Business Unit 2</v>
      </c>
      <c r="I230" s="77" t="s">
        <v>110</v>
      </c>
      <c r="J230" s="77" t="s">
        <v>111</v>
      </c>
      <c r="K230" s="77" t="s">
        <v>196</v>
      </c>
      <c r="L230" s="77" t="s">
        <v>140</v>
      </c>
      <c r="M230" s="77" t="s">
        <v>114</v>
      </c>
      <c r="N230" s="78">
        <f t="array" ref="N230:P230">'Test 4-Stats'!AL228:AN228</f>
        <v>44167</v>
      </c>
      <c r="O230" s="78">
        <v>45993.0</v>
      </c>
      <c r="P230" s="77">
        <v>60.0</v>
      </c>
      <c r="Q230" s="77" t="str">
        <f>'Test 4-Stats'!CX228</f>
        <v>Active</v>
      </c>
      <c r="R230" s="79"/>
      <c r="S230" s="79"/>
      <c r="T230" s="79"/>
      <c r="U230" s="79"/>
      <c r="V230" s="79"/>
      <c r="W230" s="79"/>
      <c r="X230" s="79"/>
      <c r="Y230" s="79"/>
      <c r="Z230" s="79"/>
    </row>
    <row r="231" ht="14.25" customHeight="1">
      <c r="A231" s="76" t="str">
        <f>'Test 4-Stats'!S229</f>
        <v>Reg 230</v>
      </c>
      <c r="B231" s="77">
        <f>'Test 4-Stats'!Y229</f>
        <v>2024</v>
      </c>
      <c r="C231" s="77" t="str">
        <f>'Test 4-Stats'!W229</f>
        <v>ISUZU</v>
      </c>
      <c r="D231" s="77" t="str">
        <f>'Test 4-Stats'!V229</f>
        <v>ONE TON LDV SINGLE CAB</v>
      </c>
      <c r="E231" s="77" t="str">
        <f>'Test 4-Stats'!X229</f>
        <v>D-MAX 250 HO FLEETSIDE (SAFETY)</v>
      </c>
      <c r="F231" s="77" t="str">
        <f t="array" ref="F231:G231">'Test 4-Stats'!Z229:AA229</f>
        <v>DIESEL</v>
      </c>
      <c r="G231" s="77">
        <v>2498.0</v>
      </c>
      <c r="H231" s="77" t="str">
        <f t="array" ref="H231:M231">'Test 4-Stats'!C229:H229</f>
        <v>Business Unit 3</v>
      </c>
      <c r="I231" s="77" t="s">
        <v>125</v>
      </c>
      <c r="J231" s="77" t="s">
        <v>126</v>
      </c>
      <c r="K231" s="77" t="s">
        <v>196</v>
      </c>
      <c r="L231" s="77" t="s">
        <v>140</v>
      </c>
      <c r="M231" s="77" t="s">
        <v>129</v>
      </c>
      <c r="N231" s="78">
        <f t="array" ref="N231:P231">'Test 4-Stats'!AL229:AN229</f>
        <v>44107</v>
      </c>
      <c r="O231" s="78">
        <v>45933.0</v>
      </c>
      <c r="P231" s="77">
        <v>60.0</v>
      </c>
      <c r="Q231" s="77" t="str">
        <f>'Test 4-Stats'!CX229</f>
        <v>Active</v>
      </c>
      <c r="R231" s="79"/>
      <c r="S231" s="79"/>
      <c r="T231" s="79"/>
      <c r="U231" s="79"/>
      <c r="V231" s="79"/>
      <c r="W231" s="79"/>
      <c r="X231" s="79"/>
      <c r="Y231" s="79"/>
      <c r="Z231" s="79"/>
    </row>
    <row r="232" ht="14.25" customHeight="1">
      <c r="A232" s="76" t="str">
        <f>'Test 4-Stats'!S230</f>
        <v>Reg 231</v>
      </c>
      <c r="B232" s="77">
        <f>'Test 4-Stats'!Y230</f>
        <v>2024</v>
      </c>
      <c r="C232" s="77" t="str">
        <f>'Test 4-Stats'!W230</f>
        <v>ISUZU</v>
      </c>
      <c r="D232" s="77" t="str">
        <f>'Test 4-Stats'!V230</f>
        <v>ONE TON LDV SINGLE CAB</v>
      </c>
      <c r="E232" s="77" t="str">
        <f>'Test 4-Stats'!X230</f>
        <v>D-MAX 250 HO FLEETSIDE (SAFETY)</v>
      </c>
      <c r="F232" s="77" t="str">
        <f t="array" ref="F232:G232">'Test 4-Stats'!Z230:AA230</f>
        <v>DIESEL</v>
      </c>
      <c r="G232" s="77">
        <v>2498.0</v>
      </c>
      <c r="H232" s="77" t="str">
        <f t="array" ref="H232:M232">'Test 4-Stats'!C230:H230</f>
        <v>Business Unit 1</v>
      </c>
      <c r="I232" s="77" t="s">
        <v>137</v>
      </c>
      <c r="J232" s="77" t="s">
        <v>138</v>
      </c>
      <c r="K232" s="77" t="s">
        <v>196</v>
      </c>
      <c r="L232" s="77" t="s">
        <v>140</v>
      </c>
      <c r="M232" s="77" t="s">
        <v>141</v>
      </c>
      <c r="N232" s="78">
        <f t="array" ref="N232:P232">'Test 4-Stats'!AL230:AN230</f>
        <v>44108</v>
      </c>
      <c r="O232" s="78">
        <v>45934.0</v>
      </c>
      <c r="P232" s="77">
        <v>60.0</v>
      </c>
      <c r="Q232" s="77" t="str">
        <f>'Test 4-Stats'!CX230</f>
        <v>Active</v>
      </c>
      <c r="R232" s="79"/>
      <c r="S232" s="79"/>
      <c r="T232" s="79"/>
      <c r="U232" s="79"/>
      <c r="V232" s="79"/>
      <c r="W232" s="79"/>
      <c r="X232" s="79"/>
      <c r="Y232" s="79"/>
      <c r="Z232" s="79"/>
    </row>
    <row r="233" ht="14.25" customHeight="1">
      <c r="A233" s="76" t="str">
        <f>'Test 4-Stats'!S231</f>
        <v>Reg 232</v>
      </c>
      <c r="B233" s="77">
        <f>'Test 4-Stats'!Y231</f>
        <v>2024</v>
      </c>
      <c r="C233" s="77" t="str">
        <f>'Test 4-Stats'!W231</f>
        <v>ISUZU</v>
      </c>
      <c r="D233" s="77" t="str">
        <f>'Test 4-Stats'!V231</f>
        <v>ONE TON LDV DOUBLE CAB</v>
      </c>
      <c r="E233" s="77" t="str">
        <f>'Test 4-Stats'!X231</f>
        <v>D-MAX 250 HO HI-RIDER D/CAB</v>
      </c>
      <c r="F233" s="77" t="str">
        <f t="array" ref="F233:G233">'Test 4-Stats'!Z231:AA231</f>
        <v>DIESEL</v>
      </c>
      <c r="G233" s="77">
        <v>2498.0</v>
      </c>
      <c r="H233" s="77" t="str">
        <f t="array" ref="H233:M233">'Test 4-Stats'!C231:H231</f>
        <v>Business Unit 2</v>
      </c>
      <c r="I233" s="77" t="s">
        <v>110</v>
      </c>
      <c r="J233" s="77" t="s">
        <v>111</v>
      </c>
      <c r="K233" s="77" t="s">
        <v>176</v>
      </c>
      <c r="L233" s="77" t="s">
        <v>140</v>
      </c>
      <c r="M233" s="77" t="s">
        <v>114</v>
      </c>
      <c r="N233" s="78">
        <f t="array" ref="N233:P233">'Test 4-Stats'!AL231:AN231</f>
        <v>44109</v>
      </c>
      <c r="O233" s="78">
        <v>45935.0</v>
      </c>
      <c r="P233" s="77">
        <v>60.0</v>
      </c>
      <c r="Q233" s="77" t="str">
        <f>'Test 4-Stats'!CX231</f>
        <v>Active</v>
      </c>
      <c r="R233" s="79"/>
      <c r="S233" s="79"/>
      <c r="T233" s="79"/>
      <c r="U233" s="79"/>
      <c r="V233" s="79"/>
      <c r="W233" s="79"/>
      <c r="X233" s="79"/>
      <c r="Y233" s="79"/>
      <c r="Z233" s="79"/>
    </row>
    <row r="234" ht="14.25" customHeight="1">
      <c r="A234" s="76" t="str">
        <f>'Test 4-Stats'!S232</f>
        <v>Reg 233</v>
      </c>
      <c r="B234" s="77">
        <f>'Test 4-Stats'!Y232</f>
        <v>2024</v>
      </c>
      <c r="C234" s="77" t="str">
        <f>'Test 4-Stats'!W232</f>
        <v>ISUZU</v>
      </c>
      <c r="D234" s="77" t="str">
        <f>'Test 4-Stats'!V232</f>
        <v>ONE TON LDV DOUBLE CAB</v>
      </c>
      <c r="E234" s="77" t="str">
        <f>'Test 4-Stats'!X232</f>
        <v>D-MAX 250 HO HI-RIDER D/CAB</v>
      </c>
      <c r="F234" s="77" t="str">
        <f t="array" ref="F234:G234">'Test 4-Stats'!Z232:AA232</f>
        <v>DIESEL</v>
      </c>
      <c r="G234" s="77">
        <v>2498.0</v>
      </c>
      <c r="H234" s="77" t="str">
        <f t="array" ref="H234:M234">'Test 4-Stats'!C232:H232</f>
        <v>Business Unit 3</v>
      </c>
      <c r="I234" s="77" t="s">
        <v>125</v>
      </c>
      <c r="J234" s="77" t="s">
        <v>126</v>
      </c>
      <c r="K234" s="77" t="s">
        <v>176</v>
      </c>
      <c r="L234" s="77" t="s">
        <v>140</v>
      </c>
      <c r="M234" s="77" t="s">
        <v>129</v>
      </c>
      <c r="N234" s="78">
        <f t="array" ref="N234:P234">'Test 4-Stats'!AL232:AN232</f>
        <v>44110</v>
      </c>
      <c r="O234" s="78">
        <v>45936.0</v>
      </c>
      <c r="P234" s="77">
        <v>60.0</v>
      </c>
      <c r="Q234" s="77" t="str">
        <f>'Test 4-Stats'!CX232</f>
        <v>Active</v>
      </c>
      <c r="R234" s="79"/>
      <c r="S234" s="79"/>
      <c r="T234" s="79"/>
      <c r="U234" s="79"/>
      <c r="V234" s="79"/>
      <c r="W234" s="79"/>
      <c r="X234" s="79"/>
      <c r="Y234" s="79"/>
      <c r="Z234" s="79"/>
    </row>
    <row r="235" ht="14.25" customHeight="1">
      <c r="A235" s="76" t="str">
        <f>'Test 4-Stats'!S233</f>
        <v>Reg 234</v>
      </c>
      <c r="B235" s="77">
        <f>'Test 4-Stats'!Y233</f>
        <v>2024</v>
      </c>
      <c r="C235" s="77" t="str">
        <f>'Test 4-Stats'!W233</f>
        <v>ISUZU</v>
      </c>
      <c r="D235" s="77" t="str">
        <f>'Test 4-Stats'!V233</f>
        <v>ONE TON LDV DOUBLE CAB</v>
      </c>
      <c r="E235" s="77" t="str">
        <f>'Test 4-Stats'!X233</f>
        <v>D-MAX 250 HO HI-RIDER D/CAB</v>
      </c>
      <c r="F235" s="77" t="str">
        <f t="array" ref="F235:G235">'Test 4-Stats'!Z233:AA233</f>
        <v>DIESEL</v>
      </c>
      <c r="G235" s="77">
        <v>2498.0</v>
      </c>
      <c r="H235" s="77" t="str">
        <f t="array" ref="H235:M235">'Test 4-Stats'!C233:H233</f>
        <v>Business Unit 1</v>
      </c>
      <c r="I235" s="77" t="s">
        <v>137</v>
      </c>
      <c r="J235" s="77" t="s">
        <v>138</v>
      </c>
      <c r="K235" s="77" t="s">
        <v>176</v>
      </c>
      <c r="L235" s="77" t="s">
        <v>140</v>
      </c>
      <c r="M235" s="77" t="s">
        <v>141</v>
      </c>
      <c r="N235" s="78">
        <f t="array" ref="N235:P235">'Test 4-Stats'!AL233:AN233</f>
        <v>44111</v>
      </c>
      <c r="O235" s="78">
        <v>45937.0</v>
      </c>
      <c r="P235" s="77">
        <v>60.0</v>
      </c>
      <c r="Q235" s="77" t="str">
        <f>'Test 4-Stats'!CX233</f>
        <v>Active</v>
      </c>
      <c r="R235" s="79"/>
      <c r="S235" s="79"/>
      <c r="T235" s="79"/>
      <c r="U235" s="79"/>
      <c r="V235" s="79"/>
      <c r="W235" s="79"/>
      <c r="X235" s="79"/>
      <c r="Y235" s="79"/>
      <c r="Z235" s="79"/>
    </row>
    <row r="236" ht="14.25" customHeight="1">
      <c r="A236" s="76" t="str">
        <f>'Test 4-Stats'!S234</f>
        <v>Reg 235</v>
      </c>
      <c r="B236" s="77">
        <f>'Test 4-Stats'!Y234</f>
        <v>2024</v>
      </c>
      <c r="C236" s="77" t="str">
        <f>'Test 4-Stats'!W234</f>
        <v>ISUZU</v>
      </c>
      <c r="D236" s="77" t="str">
        <f>'Test 4-Stats'!V234</f>
        <v>ONE TON LDV DOUBLE CAB</v>
      </c>
      <c r="E236" s="77" t="str">
        <f>'Test 4-Stats'!X234</f>
        <v>D-MAX 250 HO HI-RIDER D/CAB</v>
      </c>
      <c r="F236" s="77" t="str">
        <f t="array" ref="F236:G236">'Test 4-Stats'!Z234:AA234</f>
        <v>DIESEL</v>
      </c>
      <c r="G236" s="77">
        <v>2498.0</v>
      </c>
      <c r="H236" s="77" t="str">
        <f t="array" ref="H236:M236">'Test 4-Stats'!C234:H234</f>
        <v>Business Unit 2</v>
      </c>
      <c r="I236" s="77" t="s">
        <v>110</v>
      </c>
      <c r="J236" s="77" t="s">
        <v>111</v>
      </c>
      <c r="K236" s="77" t="s">
        <v>176</v>
      </c>
      <c r="L236" s="77" t="s">
        <v>140</v>
      </c>
      <c r="M236" s="77" t="s">
        <v>114</v>
      </c>
      <c r="N236" s="78">
        <f t="array" ref="N236:P236">'Test 4-Stats'!AL234:AN234</f>
        <v>44173</v>
      </c>
      <c r="O236" s="78">
        <v>45999.0</v>
      </c>
      <c r="P236" s="77">
        <v>60.0</v>
      </c>
      <c r="Q236" s="77" t="str">
        <f>'Test 4-Stats'!CX234</f>
        <v>Active</v>
      </c>
      <c r="R236" s="79"/>
      <c r="S236" s="79"/>
      <c r="T236" s="79"/>
      <c r="U236" s="79"/>
      <c r="V236" s="79"/>
      <c r="W236" s="79"/>
      <c r="X236" s="79"/>
      <c r="Y236" s="79"/>
      <c r="Z236" s="79"/>
    </row>
    <row r="237" ht="14.25" customHeight="1">
      <c r="A237" s="76" t="str">
        <f>'Test 4-Stats'!S235</f>
        <v>Reg 236</v>
      </c>
      <c r="B237" s="77">
        <f>'Test 4-Stats'!Y235</f>
        <v>2024</v>
      </c>
      <c r="C237" s="77" t="str">
        <f>'Test 4-Stats'!W235</f>
        <v>ISUZU</v>
      </c>
      <c r="D237" s="77" t="str">
        <f>'Test 4-Stats'!V235</f>
        <v>ONE TON LDV DOUBLE CAB</v>
      </c>
      <c r="E237" s="77" t="str">
        <f>'Test 4-Stats'!X235</f>
        <v>D-MAX 250 HO HI-RIDER D/CAB</v>
      </c>
      <c r="F237" s="77" t="str">
        <f t="array" ref="F237:G237">'Test 4-Stats'!Z235:AA235</f>
        <v>DIESEL</v>
      </c>
      <c r="G237" s="77">
        <v>2498.0</v>
      </c>
      <c r="H237" s="77" t="str">
        <f t="array" ref="H237:M237">'Test 4-Stats'!C235:H235</f>
        <v>Business Unit 3</v>
      </c>
      <c r="I237" s="77" t="s">
        <v>125</v>
      </c>
      <c r="J237" s="77" t="s">
        <v>126</v>
      </c>
      <c r="K237" s="77" t="s">
        <v>210</v>
      </c>
      <c r="L237" s="77" t="s">
        <v>128</v>
      </c>
      <c r="M237" s="77" t="s">
        <v>129</v>
      </c>
      <c r="N237" s="78">
        <f t="array" ref="N237:P237">'Test 4-Stats'!AL235:AN235</f>
        <v>44113</v>
      </c>
      <c r="O237" s="78">
        <v>45939.0</v>
      </c>
      <c r="P237" s="77">
        <v>60.0</v>
      </c>
      <c r="Q237" s="77" t="str">
        <f>'Test 4-Stats'!CX235</f>
        <v>Active</v>
      </c>
      <c r="R237" s="79"/>
      <c r="S237" s="79"/>
      <c r="T237" s="79"/>
      <c r="U237" s="79"/>
      <c r="V237" s="79"/>
      <c r="W237" s="79"/>
      <c r="X237" s="79"/>
      <c r="Y237" s="79"/>
      <c r="Z237" s="79"/>
    </row>
    <row r="238" ht="14.25" customHeight="1">
      <c r="A238" s="76" t="str">
        <f>'Test 4-Stats'!S236</f>
        <v>Reg 237</v>
      </c>
      <c r="B238" s="77">
        <f>'Test 4-Stats'!Y236</f>
        <v>2024</v>
      </c>
      <c r="C238" s="77" t="str">
        <f>'Test 4-Stats'!W236</f>
        <v>ISUZU</v>
      </c>
      <c r="D238" s="77" t="str">
        <f>'Test 4-Stats'!V236</f>
        <v>ONE TON LDV SINGLE CAB</v>
      </c>
      <c r="E238" s="77" t="str">
        <f>'Test 4-Stats'!X236</f>
        <v>D-MAX 250 HO FLEETSIDE (SAFETY)</v>
      </c>
      <c r="F238" s="77" t="str">
        <f t="array" ref="F238:G238">'Test 4-Stats'!Z236:AA236</f>
        <v>DIESEL</v>
      </c>
      <c r="G238" s="77">
        <v>2498.0</v>
      </c>
      <c r="H238" s="77" t="str">
        <f t="array" ref="H238:M238">'Test 4-Stats'!C236:H236</f>
        <v>Business Unit 1</v>
      </c>
      <c r="I238" s="77" t="s">
        <v>137</v>
      </c>
      <c r="J238" s="77" t="s">
        <v>138</v>
      </c>
      <c r="K238" s="77" t="s">
        <v>196</v>
      </c>
      <c r="L238" s="77" t="s">
        <v>140</v>
      </c>
      <c r="M238" s="77" t="s">
        <v>141</v>
      </c>
      <c r="N238" s="78">
        <f t="array" ref="N238:P238">'Test 4-Stats'!AL236:AN236</f>
        <v>44114</v>
      </c>
      <c r="O238" s="78">
        <v>45940.0</v>
      </c>
      <c r="P238" s="77">
        <v>60.0</v>
      </c>
      <c r="Q238" s="77" t="str">
        <f>'Test 4-Stats'!CX236</f>
        <v>Active</v>
      </c>
      <c r="R238" s="79"/>
      <c r="S238" s="79"/>
      <c r="T238" s="79"/>
      <c r="U238" s="79"/>
      <c r="V238" s="79"/>
      <c r="W238" s="79"/>
      <c r="X238" s="79"/>
      <c r="Y238" s="79"/>
      <c r="Z238" s="79"/>
    </row>
    <row r="239" ht="14.25" customHeight="1">
      <c r="A239" s="76" t="str">
        <f>'Test 4-Stats'!S237</f>
        <v>Reg 238</v>
      </c>
      <c r="B239" s="77">
        <f>'Test 4-Stats'!Y237</f>
        <v>2024</v>
      </c>
      <c r="C239" s="77" t="str">
        <f>'Test 4-Stats'!W237</f>
        <v>ISUZU</v>
      </c>
      <c r="D239" s="77" t="str">
        <f>'Test 4-Stats'!V237</f>
        <v>ONE TON LDV DOUBLE CAB</v>
      </c>
      <c r="E239" s="77" t="str">
        <f>'Test 4-Stats'!X237</f>
        <v>D-MAX 250 HO HI-RIDER D/CAB</v>
      </c>
      <c r="F239" s="77" t="str">
        <f t="array" ref="F239:G239">'Test 4-Stats'!Z237:AA237</f>
        <v>DIESEL</v>
      </c>
      <c r="G239" s="77">
        <v>2498.0</v>
      </c>
      <c r="H239" s="77" t="str">
        <f t="array" ref="H239:M239">'Test 4-Stats'!C237:H237</f>
        <v>Business Unit 2</v>
      </c>
      <c r="I239" s="77" t="s">
        <v>110</v>
      </c>
      <c r="J239" s="77" t="s">
        <v>111</v>
      </c>
      <c r="K239" s="77" t="s">
        <v>176</v>
      </c>
      <c r="L239" s="77" t="s">
        <v>140</v>
      </c>
      <c r="M239" s="77" t="s">
        <v>114</v>
      </c>
      <c r="N239" s="78">
        <f t="array" ref="N239:P239">'Test 4-Stats'!AL237:AN237</f>
        <v>44115</v>
      </c>
      <c r="O239" s="78">
        <v>45941.0</v>
      </c>
      <c r="P239" s="77">
        <v>60.0</v>
      </c>
      <c r="Q239" s="77" t="str">
        <f>'Test 4-Stats'!CX237</f>
        <v>Active</v>
      </c>
      <c r="R239" s="79"/>
      <c r="S239" s="79"/>
      <c r="T239" s="79"/>
      <c r="U239" s="79"/>
      <c r="V239" s="79"/>
      <c r="W239" s="79"/>
      <c r="X239" s="79"/>
      <c r="Y239" s="79"/>
      <c r="Z239" s="79"/>
    </row>
    <row r="240" ht="14.25" customHeight="1">
      <c r="A240" s="76" t="str">
        <f>'Test 4-Stats'!S238</f>
        <v>Reg 239</v>
      </c>
      <c r="B240" s="77">
        <f>'Test 4-Stats'!Y238</f>
        <v>2024</v>
      </c>
      <c r="C240" s="77" t="str">
        <f>'Test 4-Stats'!W238</f>
        <v>FORD</v>
      </c>
      <c r="D240" s="77" t="str">
        <f>'Test 4-Stats'!V238</f>
        <v>ONE TON LDV DOUBLE CAB</v>
      </c>
      <c r="E240" s="77" t="str">
        <f>'Test 4-Stats'!X238</f>
        <v>RANGER 2.0 SiT D CAB BASE 4X4</v>
      </c>
      <c r="F240" s="77" t="str">
        <f t="array" ref="F240:G240">'Test 4-Stats'!Z238:AA238</f>
        <v>DIESEL</v>
      </c>
      <c r="G240" s="77">
        <v>1998.0</v>
      </c>
      <c r="H240" s="77" t="str">
        <f t="array" ref="H240:M240">'Test 4-Stats'!C238:H238</f>
        <v>Business Unit 3</v>
      </c>
      <c r="I240" s="77" t="s">
        <v>125</v>
      </c>
      <c r="J240" s="77" t="s">
        <v>126</v>
      </c>
      <c r="K240" s="77" t="s">
        <v>176</v>
      </c>
      <c r="L240" s="77" t="s">
        <v>140</v>
      </c>
      <c r="M240" s="77" t="s">
        <v>129</v>
      </c>
      <c r="N240" s="78">
        <f t="array" ref="N240:P240">'Test 4-Stats'!AL238:AN238</f>
        <v>44116</v>
      </c>
      <c r="O240" s="78">
        <v>45942.0</v>
      </c>
      <c r="P240" s="77">
        <v>40.0</v>
      </c>
      <c r="Q240" s="77" t="str">
        <f>'Test 4-Stats'!CX238</f>
        <v>Active</v>
      </c>
      <c r="R240" s="79"/>
      <c r="S240" s="79"/>
      <c r="T240" s="79"/>
      <c r="U240" s="79"/>
      <c r="V240" s="79"/>
      <c r="W240" s="79"/>
      <c r="X240" s="79"/>
      <c r="Y240" s="79"/>
      <c r="Z240" s="79"/>
    </row>
    <row r="241" ht="14.25" customHeight="1">
      <c r="A241" s="76" t="str">
        <f>'Test 4-Stats'!S239</f>
        <v>Reg 240</v>
      </c>
      <c r="B241" s="77">
        <f>'Test 4-Stats'!Y239</f>
        <v>2024</v>
      </c>
      <c r="C241" s="77" t="str">
        <f>'Test 4-Stats'!W239</f>
        <v>FORD</v>
      </c>
      <c r="D241" s="77" t="str">
        <f>'Test 4-Stats'!V239</f>
        <v>ONE TON LDV DOUBLE CAB</v>
      </c>
      <c r="E241" s="77" t="str">
        <f>'Test 4-Stats'!X239</f>
        <v>RANGER 2.0 SiT D CAB BASE 4X4</v>
      </c>
      <c r="F241" s="77" t="str">
        <f t="array" ref="F241:G241">'Test 4-Stats'!Z239:AA239</f>
        <v>DIESEL</v>
      </c>
      <c r="G241" s="77">
        <v>1998.0</v>
      </c>
      <c r="H241" s="77" t="str">
        <f t="array" ref="H241:M241">'Test 4-Stats'!C239:H239</f>
        <v>Business Unit 1</v>
      </c>
      <c r="I241" s="77" t="s">
        <v>137</v>
      </c>
      <c r="J241" s="77" t="s">
        <v>138</v>
      </c>
      <c r="K241" s="77" t="s">
        <v>176</v>
      </c>
      <c r="L241" s="77" t="s">
        <v>140</v>
      </c>
      <c r="M241" s="77" t="s">
        <v>141</v>
      </c>
      <c r="N241" s="78">
        <f t="array" ref="N241:P241">'Test 4-Stats'!AL239:AN239</f>
        <v>44117</v>
      </c>
      <c r="O241" s="78">
        <v>45943.0</v>
      </c>
      <c r="P241" s="77">
        <v>40.0</v>
      </c>
      <c r="Q241" s="77" t="str">
        <f>'Test 4-Stats'!CX239</f>
        <v>Active</v>
      </c>
      <c r="R241" s="79"/>
      <c r="S241" s="79"/>
      <c r="T241" s="79"/>
      <c r="U241" s="79"/>
      <c r="V241" s="79"/>
      <c r="W241" s="79"/>
      <c r="X241" s="79"/>
      <c r="Y241" s="79"/>
      <c r="Z241" s="79"/>
    </row>
    <row r="242" ht="14.25" customHeight="1">
      <c r="A242" s="76" t="str">
        <f>'Test 4-Stats'!S240</f>
        <v>Reg 241</v>
      </c>
      <c r="B242" s="77">
        <f>'Test 4-Stats'!Y240</f>
        <v>2024</v>
      </c>
      <c r="C242" s="77" t="str">
        <f>'Test 4-Stats'!W240</f>
        <v>NISSAN</v>
      </c>
      <c r="D242" s="77" t="str">
        <f>'Test 4-Stats'!V240</f>
        <v>ONE TON LDV SINGLE CAB</v>
      </c>
      <c r="E242" s="77" t="str">
        <f>'Test 4-Stats'!X240</f>
        <v>NAVARA 2.5D SE 4X2 S CAB</v>
      </c>
      <c r="F242" s="77" t="str">
        <f t="array" ref="F242:G242">'Test 4-Stats'!Z240:AA240</f>
        <v>DIESEL</v>
      </c>
      <c r="G242" s="77">
        <v>2498.0</v>
      </c>
      <c r="H242" s="77" t="str">
        <f t="array" ref="H242:M242">'Test 4-Stats'!C240:H240</f>
        <v>Business Unit 2</v>
      </c>
      <c r="I242" s="77" t="s">
        <v>110</v>
      </c>
      <c r="J242" s="77" t="s">
        <v>111</v>
      </c>
      <c r="K242" s="77" t="s">
        <v>196</v>
      </c>
      <c r="L242" s="77" t="s">
        <v>140</v>
      </c>
      <c r="M242" s="77" t="s">
        <v>114</v>
      </c>
      <c r="N242" s="78">
        <f t="array" ref="N242:P242">'Test 4-Stats'!AL240:AN240</f>
        <v>44118</v>
      </c>
      <c r="O242" s="78">
        <v>45944.0</v>
      </c>
      <c r="P242" s="77">
        <v>60.0</v>
      </c>
      <c r="Q242" s="77" t="str">
        <f>'Test 4-Stats'!CX240</f>
        <v>Active</v>
      </c>
      <c r="R242" s="79"/>
      <c r="S242" s="79"/>
      <c r="T242" s="79"/>
      <c r="U242" s="79"/>
      <c r="V242" s="79"/>
      <c r="W242" s="79"/>
      <c r="X242" s="79"/>
      <c r="Y242" s="79"/>
      <c r="Z242" s="79"/>
    </row>
    <row r="243" ht="14.25" customHeight="1">
      <c r="A243" s="76" t="str">
        <f>'Test 4-Stats'!S241</f>
        <v>Reg 242</v>
      </c>
      <c r="B243" s="77">
        <f>'Test 4-Stats'!Y241</f>
        <v>2024</v>
      </c>
      <c r="C243" s="77" t="str">
        <f>'Test 4-Stats'!W241</f>
        <v>ISUZU</v>
      </c>
      <c r="D243" s="77" t="str">
        <f>'Test 4-Stats'!V241</f>
        <v>ONE TON LDV DOUBLE CAB</v>
      </c>
      <c r="E243" s="77" t="str">
        <f>'Test 4-Stats'!X241</f>
        <v>D-MAX 250 HO HI-RIDER D/CAB</v>
      </c>
      <c r="F243" s="77" t="str">
        <f t="array" ref="F243:G243">'Test 4-Stats'!Z241:AA241</f>
        <v>DIESEL</v>
      </c>
      <c r="G243" s="77">
        <v>2498.0</v>
      </c>
      <c r="H243" s="77" t="str">
        <f t="array" ref="H243:M243">'Test 4-Stats'!C241:H241</f>
        <v>Business Unit 3</v>
      </c>
      <c r="I243" s="77" t="s">
        <v>125</v>
      </c>
      <c r="J243" s="77" t="s">
        <v>126</v>
      </c>
      <c r="K243" s="77" t="s">
        <v>176</v>
      </c>
      <c r="L243" s="77" t="s">
        <v>140</v>
      </c>
      <c r="M243" s="77" t="s">
        <v>129</v>
      </c>
      <c r="N243" s="78">
        <f t="array" ref="N243:P243">'Test 4-Stats'!AL241:AN241</f>
        <v>44119</v>
      </c>
      <c r="O243" s="78">
        <v>45945.0</v>
      </c>
      <c r="P243" s="77">
        <v>60.0</v>
      </c>
      <c r="Q243" s="77" t="str">
        <f>'Test 4-Stats'!CX241</f>
        <v>Active</v>
      </c>
      <c r="R243" s="79"/>
      <c r="S243" s="79"/>
      <c r="T243" s="79"/>
      <c r="U243" s="79"/>
      <c r="V243" s="79"/>
      <c r="W243" s="79"/>
      <c r="X243" s="79"/>
      <c r="Y243" s="79"/>
      <c r="Z243" s="79"/>
    </row>
    <row r="244" ht="14.25" customHeight="1">
      <c r="A244" s="76" t="str">
        <f>'Test 4-Stats'!S242</f>
        <v>Reg 243</v>
      </c>
      <c r="B244" s="77">
        <f>'Test 4-Stats'!Y242</f>
        <v>2024</v>
      </c>
      <c r="C244" s="77" t="str">
        <f>'Test 4-Stats'!W242</f>
        <v>ISUZU</v>
      </c>
      <c r="D244" s="77" t="str">
        <f>'Test 4-Stats'!V242</f>
        <v>ONE TON LDV DOUBLE CAB</v>
      </c>
      <c r="E244" s="77" t="str">
        <f>'Test 4-Stats'!X242</f>
        <v>D-MAX 250 HO HI-RIDER D/CAB</v>
      </c>
      <c r="F244" s="77" t="str">
        <f t="array" ref="F244:G244">'Test 4-Stats'!Z242:AA242</f>
        <v>DIESEL</v>
      </c>
      <c r="G244" s="77">
        <v>2498.0</v>
      </c>
      <c r="H244" s="77" t="str">
        <f t="array" ref="H244:M244">'Test 4-Stats'!C242:H242</f>
        <v>Business Unit 1</v>
      </c>
      <c r="I244" s="77" t="s">
        <v>137</v>
      </c>
      <c r="J244" s="77" t="s">
        <v>138</v>
      </c>
      <c r="K244" s="77" t="s">
        <v>176</v>
      </c>
      <c r="L244" s="77" t="s">
        <v>140</v>
      </c>
      <c r="M244" s="77" t="s">
        <v>141</v>
      </c>
      <c r="N244" s="78">
        <f t="array" ref="N244:P244">'Test 4-Stats'!AL242:AN242</f>
        <v>44188</v>
      </c>
      <c r="O244" s="78">
        <v>46014.0</v>
      </c>
      <c r="P244" s="77">
        <v>44.0</v>
      </c>
      <c r="Q244" s="77" t="str">
        <f>'Test 4-Stats'!CX242</f>
        <v>Active</v>
      </c>
      <c r="R244" s="79"/>
      <c r="S244" s="79"/>
      <c r="T244" s="79"/>
      <c r="U244" s="79"/>
      <c r="V244" s="79"/>
      <c r="W244" s="79"/>
      <c r="X244" s="79"/>
      <c r="Y244" s="79"/>
      <c r="Z244" s="79"/>
    </row>
    <row r="245" ht="14.25" customHeight="1">
      <c r="A245" s="76" t="str">
        <f>'Test 4-Stats'!S243</f>
        <v>Reg 244</v>
      </c>
      <c r="B245" s="77">
        <f>'Test 4-Stats'!Y243</f>
        <v>2024</v>
      </c>
      <c r="C245" s="77" t="str">
        <f>'Test 4-Stats'!W243</f>
        <v>ISUZU</v>
      </c>
      <c r="D245" s="77" t="str">
        <f>'Test 4-Stats'!V243</f>
        <v>ONE TON LDV DOUBLE CAB</v>
      </c>
      <c r="E245" s="77" t="str">
        <f>'Test 4-Stats'!X243</f>
        <v>D-MAX 250 HO HI-RIDER D/CAB</v>
      </c>
      <c r="F245" s="77" t="str">
        <f t="array" ref="F245:G245">'Test 4-Stats'!Z243:AA243</f>
        <v>DIESEL</v>
      </c>
      <c r="G245" s="77">
        <v>2498.0</v>
      </c>
      <c r="H245" s="77" t="str">
        <f t="array" ref="H245:M245">'Test 4-Stats'!C243:H243</f>
        <v>Business Unit 2</v>
      </c>
      <c r="I245" s="77" t="s">
        <v>110</v>
      </c>
      <c r="J245" s="77" t="s">
        <v>111</v>
      </c>
      <c r="K245" s="77" t="s">
        <v>176</v>
      </c>
      <c r="L245" s="77" t="s">
        <v>140</v>
      </c>
      <c r="M245" s="77" t="s">
        <v>114</v>
      </c>
      <c r="N245" s="78">
        <f t="array" ref="N245:P245">'Test 4-Stats'!AL243:AN243</f>
        <v>44098</v>
      </c>
      <c r="O245" s="78">
        <v>45924.0</v>
      </c>
      <c r="P245" s="77">
        <v>44.0</v>
      </c>
      <c r="Q245" s="77" t="str">
        <f>'Test 4-Stats'!CX243</f>
        <v>Active</v>
      </c>
      <c r="R245" s="79"/>
      <c r="S245" s="79"/>
      <c r="T245" s="79"/>
      <c r="U245" s="79"/>
      <c r="V245" s="79"/>
      <c r="W245" s="79"/>
      <c r="X245" s="79"/>
      <c r="Y245" s="79"/>
      <c r="Z245" s="79"/>
    </row>
    <row r="246" ht="14.25" customHeight="1">
      <c r="A246" s="76" t="str">
        <f>'Test 4-Stats'!S244</f>
        <v>Reg 245</v>
      </c>
      <c r="B246" s="77">
        <f>'Test 4-Stats'!Y244</f>
        <v>2024</v>
      </c>
      <c r="C246" s="77" t="str">
        <f>'Test 4-Stats'!W244</f>
        <v>NISSAN</v>
      </c>
      <c r="D246" s="77" t="str">
        <f>'Test 4-Stats'!V244</f>
        <v>ONE TON LDV DOUBLE CAB</v>
      </c>
      <c r="E246" s="77" t="str">
        <f>'Test 4-Stats'!X244</f>
        <v>NAVARA 2.5D SE 4X2 D CAB</v>
      </c>
      <c r="F246" s="77" t="str">
        <f t="array" ref="F246:G246">'Test 4-Stats'!Z244:AA244</f>
        <v>DIESEL</v>
      </c>
      <c r="G246" s="77">
        <v>2498.0</v>
      </c>
      <c r="H246" s="77" t="str">
        <f t="array" ref="H246:M246">'Test 4-Stats'!C244:H244</f>
        <v>Business Unit 3</v>
      </c>
      <c r="I246" s="77" t="s">
        <v>125</v>
      </c>
      <c r="J246" s="77" t="s">
        <v>126</v>
      </c>
      <c r="K246" s="77" t="s">
        <v>176</v>
      </c>
      <c r="L246" s="77" t="s">
        <v>140</v>
      </c>
      <c r="M246" s="77" t="s">
        <v>129</v>
      </c>
      <c r="N246" s="78">
        <f t="array" ref="N246:P246">'Test 4-Stats'!AL244:AN244</f>
        <v>44099</v>
      </c>
      <c r="O246" s="78">
        <v>45925.0</v>
      </c>
      <c r="P246" s="77">
        <v>60.0</v>
      </c>
      <c r="Q246" s="77" t="str">
        <f>'Test 4-Stats'!CX244</f>
        <v>Active</v>
      </c>
      <c r="R246" s="79"/>
      <c r="S246" s="79"/>
      <c r="T246" s="79"/>
      <c r="U246" s="79"/>
      <c r="V246" s="79"/>
      <c r="W246" s="79"/>
      <c r="X246" s="79"/>
      <c r="Y246" s="79"/>
      <c r="Z246" s="79"/>
    </row>
    <row r="247" ht="14.25" customHeight="1">
      <c r="A247" s="76" t="str">
        <f>'Test 4-Stats'!S245</f>
        <v>Reg 246</v>
      </c>
      <c r="B247" s="77">
        <f>'Test 4-Stats'!Y245</f>
        <v>2024</v>
      </c>
      <c r="C247" s="77" t="str">
        <f>'Test 4-Stats'!W245</f>
        <v>ISUZU</v>
      </c>
      <c r="D247" s="77" t="str">
        <f>'Test 4-Stats'!V245</f>
        <v>ONE TON LDV DOUBLE CAB</v>
      </c>
      <c r="E247" s="77" t="str">
        <f>'Test 4-Stats'!X245</f>
        <v>D-MAX 250 HO HI-RIDER D/CAB</v>
      </c>
      <c r="F247" s="77" t="str">
        <f t="array" ref="F247:G247">'Test 4-Stats'!Z245:AA245</f>
        <v>DIESEL</v>
      </c>
      <c r="G247" s="77">
        <v>2498.0</v>
      </c>
      <c r="H247" s="77" t="str">
        <f t="array" ref="H247:M247">'Test 4-Stats'!C245:H245</f>
        <v>Business Unit 1</v>
      </c>
      <c r="I247" s="77" t="s">
        <v>110</v>
      </c>
      <c r="J247" s="77" t="s">
        <v>111</v>
      </c>
      <c r="K247" s="77" t="s">
        <v>176</v>
      </c>
      <c r="L247" s="77" t="s">
        <v>140</v>
      </c>
      <c r="M247" s="77" t="s">
        <v>141</v>
      </c>
      <c r="N247" s="78">
        <f t="array" ref="N247:P247">'Test 4-Stats'!AL245:AN245</f>
        <v>44100</v>
      </c>
      <c r="O247" s="78">
        <v>45926.0</v>
      </c>
      <c r="P247" s="77">
        <v>60.0</v>
      </c>
      <c r="Q247" s="77" t="str">
        <f>'Test 4-Stats'!CX245</f>
        <v>Active</v>
      </c>
      <c r="R247" s="79"/>
      <c r="S247" s="79"/>
      <c r="T247" s="79"/>
      <c r="U247" s="79"/>
      <c r="V247" s="79"/>
      <c r="W247" s="79"/>
      <c r="X247" s="79"/>
      <c r="Y247" s="79"/>
      <c r="Z247" s="79"/>
    </row>
    <row r="248" ht="14.25" customHeight="1">
      <c r="A248" s="76" t="str">
        <f>'Test 4-Stats'!S246</f>
        <v>Reg 247</v>
      </c>
      <c r="B248" s="77">
        <f>'Test 4-Stats'!Y246</f>
        <v>2024</v>
      </c>
      <c r="C248" s="77" t="str">
        <f>'Test 4-Stats'!W246</f>
        <v>ISUZU</v>
      </c>
      <c r="D248" s="77" t="str">
        <f>'Test 4-Stats'!V246</f>
        <v>ONE TON LDV DOUBLE CAB</v>
      </c>
      <c r="E248" s="77" t="str">
        <f>'Test 4-Stats'!X246</f>
        <v>D-MAX 250 HO HI-RIDER D/CAB</v>
      </c>
      <c r="F248" s="77" t="str">
        <f t="array" ref="F248:G248">'Test 4-Stats'!Z246:AA246</f>
        <v>DIESEL</v>
      </c>
      <c r="G248" s="77">
        <v>2498.0</v>
      </c>
      <c r="H248" s="77" t="str">
        <f t="array" ref="H248:M248">'Test 4-Stats'!C246:H246</f>
        <v>Business Unit 2</v>
      </c>
      <c r="I248" s="77" t="s">
        <v>125</v>
      </c>
      <c r="J248" s="77" t="s">
        <v>126</v>
      </c>
      <c r="K248" s="77" t="s">
        <v>196</v>
      </c>
      <c r="L248" s="77" t="s">
        <v>140</v>
      </c>
      <c r="M248" s="77" t="s">
        <v>114</v>
      </c>
      <c r="N248" s="78">
        <f t="array" ref="N248:P248">'Test 4-Stats'!AL246:AN246</f>
        <v>44192</v>
      </c>
      <c r="O248" s="78">
        <v>46018.0</v>
      </c>
      <c r="P248" s="77">
        <v>60.0</v>
      </c>
      <c r="Q248" s="77" t="str">
        <f>'Test 4-Stats'!CX246</f>
        <v>Active</v>
      </c>
      <c r="R248" s="79"/>
      <c r="S248" s="79"/>
      <c r="T248" s="79"/>
      <c r="U248" s="79"/>
      <c r="V248" s="79"/>
      <c r="W248" s="79"/>
      <c r="X248" s="79"/>
      <c r="Y248" s="79"/>
      <c r="Z248" s="79"/>
    </row>
    <row r="249" ht="14.25" customHeight="1">
      <c r="A249" s="76" t="str">
        <f>'Test 4-Stats'!S247</f>
        <v>Reg 248</v>
      </c>
      <c r="B249" s="77">
        <f>'Test 4-Stats'!Y247</f>
        <v>2024</v>
      </c>
      <c r="C249" s="77" t="str">
        <f>'Test 4-Stats'!W247</f>
        <v>HYUNDAI</v>
      </c>
      <c r="D249" s="77" t="str">
        <f>'Test 4-Stats'!V247</f>
        <v>MINIBUS</v>
      </c>
      <c r="E249" s="77" t="str">
        <f>'Test 4-Stats'!X247</f>
        <v>STARIA 2.2D EXECUTIVE 9 SEATER AT</v>
      </c>
      <c r="F249" s="77" t="str">
        <f t="array" ref="F249:G249">'Test 4-Stats'!Z247:AA247</f>
        <v>DIESEL</v>
      </c>
      <c r="G249" s="77">
        <v>2198.0</v>
      </c>
      <c r="H249" s="77" t="str">
        <f t="array" ref="H249:M249">'Test 4-Stats'!C247:H247</f>
        <v>Business Unit 3</v>
      </c>
      <c r="I249" s="77" t="s">
        <v>137</v>
      </c>
      <c r="J249" s="77" t="s">
        <v>138</v>
      </c>
      <c r="K249" s="77" t="s">
        <v>176</v>
      </c>
      <c r="L249" s="77" t="s">
        <v>140</v>
      </c>
      <c r="M249" s="77" t="s">
        <v>129</v>
      </c>
      <c r="N249" s="78">
        <f t="array" ref="N249:P249">'Test 4-Stats'!AL247:AN247</f>
        <v>44102</v>
      </c>
      <c r="O249" s="78">
        <v>45928.0</v>
      </c>
      <c r="P249" s="77">
        <v>60.0</v>
      </c>
      <c r="Q249" s="77" t="str">
        <f>'Test 4-Stats'!CX247</f>
        <v>Active</v>
      </c>
      <c r="R249" s="79"/>
      <c r="S249" s="79"/>
      <c r="T249" s="79"/>
      <c r="U249" s="79"/>
      <c r="V249" s="79"/>
      <c r="W249" s="79"/>
      <c r="X249" s="79"/>
      <c r="Y249" s="79"/>
      <c r="Z249" s="79"/>
    </row>
    <row r="250" ht="14.25" customHeight="1">
      <c r="A250" s="76" t="str">
        <f>'Test 4-Stats'!S248</f>
        <v>Reg 249</v>
      </c>
      <c r="B250" s="77">
        <f>'Test 4-Stats'!Y248</f>
        <v>2024</v>
      </c>
      <c r="C250" s="77" t="str">
        <f>'Test 4-Stats'!W248</f>
        <v>MERCEDES</v>
      </c>
      <c r="D250" s="77" t="str">
        <f>'Test 4-Stats'!V248</f>
        <v>MINIBUS</v>
      </c>
      <c r="E250" s="77" t="str">
        <f>'Test 4-Stats'!X248</f>
        <v>VITO 114 CDI TOURER PRO</v>
      </c>
      <c r="F250" s="77" t="str">
        <f t="array" ref="F250:G250">'Test 4-Stats'!Z248:AA248</f>
        <v>DIESEL</v>
      </c>
      <c r="G250" s="77">
        <v>1998.0</v>
      </c>
      <c r="H250" s="77" t="str">
        <f t="array" ref="H250:M250">'Test 4-Stats'!C248:H248</f>
        <v>Business Unit 1</v>
      </c>
      <c r="I250" s="77" t="s">
        <v>110</v>
      </c>
      <c r="J250" s="77" t="s">
        <v>111</v>
      </c>
      <c r="K250" s="77" t="s">
        <v>402</v>
      </c>
      <c r="L250" s="77" t="s">
        <v>140</v>
      </c>
      <c r="M250" s="77" t="s">
        <v>141</v>
      </c>
      <c r="N250" s="78">
        <f t="array" ref="N250:P250">'Test 4-Stats'!AL248:AN248</f>
        <v>44103</v>
      </c>
      <c r="O250" s="78">
        <v>45929.0</v>
      </c>
      <c r="P250" s="77">
        <v>60.0</v>
      </c>
      <c r="Q250" s="77" t="str">
        <f>'Test 4-Stats'!CX248</f>
        <v>Active</v>
      </c>
      <c r="R250" s="79"/>
      <c r="S250" s="79"/>
      <c r="T250" s="79"/>
      <c r="U250" s="79"/>
      <c r="V250" s="79"/>
      <c r="W250" s="79"/>
      <c r="X250" s="79"/>
      <c r="Y250" s="79"/>
      <c r="Z250" s="79"/>
    </row>
    <row r="251" ht="14.25" customHeight="1">
      <c r="A251" s="76" t="str">
        <f>'Test 4-Stats'!S249</f>
        <v>Reg 250</v>
      </c>
      <c r="B251" s="77">
        <f>'Test 4-Stats'!Y249</f>
        <v>2024</v>
      </c>
      <c r="C251" s="77" t="str">
        <f>'Test 4-Stats'!W249</f>
        <v>FORD</v>
      </c>
      <c r="D251" s="77" t="str">
        <f>'Test 4-Stats'!V249</f>
        <v>ONE TON LDV DOUBLE CAB</v>
      </c>
      <c r="E251" s="77" t="str">
        <f>'Test 4-Stats'!X249</f>
        <v>RANGER 2.0 SiT D CAB BASE 4X2</v>
      </c>
      <c r="F251" s="77" t="str">
        <f t="array" ref="F251:G251">'Test 4-Stats'!Z249:AA249</f>
        <v>DIESEL</v>
      </c>
      <c r="G251" s="77">
        <v>1998.0</v>
      </c>
      <c r="H251" s="77" t="str">
        <f t="array" ref="H251:M251">'Test 4-Stats'!C249:H249</f>
        <v>Business Unit 2</v>
      </c>
      <c r="I251" s="77" t="s">
        <v>125</v>
      </c>
      <c r="J251" s="77" t="s">
        <v>126</v>
      </c>
      <c r="K251" s="77" t="s">
        <v>176</v>
      </c>
      <c r="L251" s="77" t="s">
        <v>140</v>
      </c>
      <c r="M251" s="77" t="s">
        <v>114</v>
      </c>
      <c r="N251" s="78">
        <f t="array" ref="N251:P251">'Test 4-Stats'!AL249:AN249</f>
        <v>44165</v>
      </c>
      <c r="O251" s="78">
        <v>45991.0</v>
      </c>
      <c r="P251" s="77">
        <v>60.0</v>
      </c>
      <c r="Q251" s="77" t="str">
        <f>'Test 4-Stats'!CX249</f>
        <v>Active</v>
      </c>
      <c r="R251" s="79"/>
      <c r="S251" s="79"/>
      <c r="T251" s="79"/>
      <c r="U251" s="79"/>
      <c r="V251" s="79"/>
      <c r="W251" s="79"/>
      <c r="X251" s="79"/>
      <c r="Y251" s="79"/>
      <c r="Z251" s="79"/>
    </row>
    <row r="252" ht="14.25" customHeight="1">
      <c r="A252" s="76" t="str">
        <f>'Test 4-Stats'!S250</f>
        <v>Reg 251</v>
      </c>
      <c r="B252" s="77">
        <f>'Test 4-Stats'!Y250</f>
        <v>2024</v>
      </c>
      <c r="C252" s="77" t="str">
        <f>'Test 4-Stats'!W250</f>
        <v>FORD</v>
      </c>
      <c r="D252" s="77" t="str">
        <f>'Test 4-Stats'!V250</f>
        <v>ONE TON LDV DOUBLE CAB</v>
      </c>
      <c r="E252" s="77" t="str">
        <f>'Test 4-Stats'!X250</f>
        <v>RANGER 2.0 SiT D CAB BASE 4X2</v>
      </c>
      <c r="F252" s="77" t="str">
        <f t="array" ref="F252:G252">'Test 4-Stats'!Z250:AA250</f>
        <v>DIESEL</v>
      </c>
      <c r="G252" s="77">
        <v>1998.0</v>
      </c>
      <c r="H252" s="77" t="str">
        <f t="array" ref="H252:M252">'Test 4-Stats'!C250:H250</f>
        <v>Business Unit 3</v>
      </c>
      <c r="I252" s="77" t="s">
        <v>137</v>
      </c>
      <c r="J252" s="77" t="s">
        <v>138</v>
      </c>
      <c r="K252" s="77" t="s">
        <v>176</v>
      </c>
      <c r="L252" s="77" t="s">
        <v>140</v>
      </c>
      <c r="M252" s="77" t="s">
        <v>129</v>
      </c>
      <c r="N252" s="78">
        <f t="array" ref="N252:P252">'Test 4-Stats'!AL250:AN250</f>
        <v>44105</v>
      </c>
      <c r="O252" s="78">
        <v>45931.0</v>
      </c>
      <c r="P252" s="77">
        <v>60.0</v>
      </c>
      <c r="Q252" s="77" t="str">
        <f>'Test 4-Stats'!CX250</f>
        <v>Active</v>
      </c>
      <c r="R252" s="79"/>
      <c r="S252" s="79"/>
      <c r="T252" s="79"/>
      <c r="U252" s="79"/>
      <c r="V252" s="79"/>
      <c r="W252" s="79"/>
      <c r="X252" s="79"/>
      <c r="Y252" s="79"/>
      <c r="Z252" s="79"/>
    </row>
    <row r="253" ht="14.25" customHeight="1">
      <c r="A253" s="76" t="str">
        <f>'Test 4-Stats'!S251</f>
        <v>Reg 252</v>
      </c>
      <c r="B253" s="77">
        <f>'Test 4-Stats'!Y251</f>
        <v>2024</v>
      </c>
      <c r="C253" s="77" t="str">
        <f>'Test 4-Stats'!W251</f>
        <v>FORD</v>
      </c>
      <c r="D253" s="77" t="str">
        <f>'Test 4-Stats'!V251</f>
        <v>ONE TON LDV DOUBLE CAB</v>
      </c>
      <c r="E253" s="77" t="str">
        <f>'Test 4-Stats'!X251</f>
        <v>RANGER 2.0 SiT D CAB BASE 4X2</v>
      </c>
      <c r="F253" s="77" t="str">
        <f t="array" ref="F253:G253">'Test 4-Stats'!Z251:AA251</f>
        <v>DIESEL</v>
      </c>
      <c r="G253" s="77">
        <v>1998.0</v>
      </c>
      <c r="H253" s="77" t="str">
        <f t="array" ref="H253:M253">'Test 4-Stats'!C251:H251</f>
        <v>Business Unit 1</v>
      </c>
      <c r="I253" s="77" t="s">
        <v>110</v>
      </c>
      <c r="J253" s="77" t="s">
        <v>111</v>
      </c>
      <c r="K253" s="77" t="s">
        <v>196</v>
      </c>
      <c r="L253" s="77" t="s">
        <v>140</v>
      </c>
      <c r="M253" s="77" t="s">
        <v>141</v>
      </c>
      <c r="N253" s="78">
        <f t="array" ref="N253:P253">'Test 4-Stats'!AL251:AN251</f>
        <v>44106</v>
      </c>
      <c r="O253" s="78">
        <v>45932.0</v>
      </c>
      <c r="P253" s="77">
        <v>60.0</v>
      </c>
      <c r="Q253" s="77" t="str">
        <f>'Test 4-Stats'!CX251</f>
        <v>Active</v>
      </c>
      <c r="R253" s="79"/>
      <c r="S253" s="79"/>
      <c r="T253" s="79"/>
      <c r="U253" s="79"/>
      <c r="V253" s="79"/>
      <c r="W253" s="79"/>
      <c r="X253" s="79"/>
      <c r="Y253" s="79"/>
      <c r="Z253" s="79"/>
    </row>
    <row r="254" ht="14.25" customHeight="1">
      <c r="A254" s="76" t="str">
        <f>'Test 4-Stats'!S252</f>
        <v>Reg 253</v>
      </c>
      <c r="B254" s="77">
        <f>'Test 4-Stats'!Y252</f>
        <v>2024</v>
      </c>
      <c r="C254" s="77" t="str">
        <f>'Test 4-Stats'!W252</f>
        <v>ISUZU</v>
      </c>
      <c r="D254" s="77" t="str">
        <f>'Test 4-Stats'!V252</f>
        <v>ONE TON LDV DOUBLE CAB</v>
      </c>
      <c r="E254" s="77" t="str">
        <f>'Test 4-Stats'!X252</f>
        <v>D-MAX 1.9 DDI D CAB HR L AT</v>
      </c>
      <c r="F254" s="77" t="str">
        <f t="array" ref="F254:G254">'Test 4-Stats'!Z252:AA252</f>
        <v>DIESEL</v>
      </c>
      <c r="G254" s="77">
        <v>1898.0</v>
      </c>
      <c r="H254" s="77" t="str">
        <f t="array" ref="H254:M254">'Test 4-Stats'!C252:H252</f>
        <v>Business Unit 2</v>
      </c>
      <c r="I254" s="77" t="s">
        <v>125</v>
      </c>
      <c r="J254" s="77" t="s">
        <v>126</v>
      </c>
      <c r="K254" s="77" t="s">
        <v>176</v>
      </c>
      <c r="L254" s="77" t="s">
        <v>140</v>
      </c>
      <c r="M254" s="77" t="s">
        <v>114</v>
      </c>
      <c r="N254" s="78">
        <f t="array" ref="N254:P254">'Test 4-Stats'!AL252:AN252</f>
        <v>44107</v>
      </c>
      <c r="O254" s="78">
        <v>45933.0</v>
      </c>
      <c r="P254" s="77">
        <v>60.0</v>
      </c>
      <c r="Q254" s="77" t="str">
        <f>'Test 4-Stats'!CX252</f>
        <v>Active</v>
      </c>
      <c r="R254" s="79"/>
      <c r="S254" s="79"/>
      <c r="T254" s="79"/>
      <c r="U254" s="79"/>
      <c r="V254" s="79"/>
      <c r="W254" s="79"/>
      <c r="X254" s="79"/>
      <c r="Y254" s="79"/>
      <c r="Z254" s="79"/>
    </row>
    <row r="255" ht="14.25" customHeight="1">
      <c r="A255" s="76" t="str">
        <f>'Test 4-Stats'!S253</f>
        <v>Reg 254</v>
      </c>
      <c r="B255" s="77">
        <f>'Test 4-Stats'!Y253</f>
        <v>2024</v>
      </c>
      <c r="C255" s="77" t="str">
        <f>'Test 4-Stats'!W253</f>
        <v>ISUZU</v>
      </c>
      <c r="D255" s="77" t="str">
        <f>'Test 4-Stats'!V253</f>
        <v>ONE TON LDV DOUBLE CAB</v>
      </c>
      <c r="E255" s="77" t="str">
        <f>'Test 4-Stats'!X253</f>
        <v>D-MAX 250 HO HI-RIDER D/CAB</v>
      </c>
      <c r="F255" s="77" t="str">
        <f t="array" ref="F255:G255">'Test 4-Stats'!Z253:AA253</f>
        <v>DIESEL</v>
      </c>
      <c r="G255" s="77">
        <v>2498.0</v>
      </c>
      <c r="H255" s="77" t="str">
        <f t="array" ref="H255:M255">'Test 4-Stats'!C253:H253</f>
        <v>Business Unit 3</v>
      </c>
      <c r="I255" s="77" t="s">
        <v>137</v>
      </c>
      <c r="J255" s="77" t="s">
        <v>138</v>
      </c>
      <c r="K255" s="77" t="s">
        <v>176</v>
      </c>
      <c r="L255" s="77" t="s">
        <v>140</v>
      </c>
      <c r="M255" s="77" t="s">
        <v>129</v>
      </c>
      <c r="N255" s="78">
        <f t="array" ref="N255:P255">'Test 4-Stats'!AL253:AN253</f>
        <v>44108</v>
      </c>
      <c r="O255" s="78">
        <v>45934.0</v>
      </c>
      <c r="P255" s="77">
        <v>60.0</v>
      </c>
      <c r="Q255" s="77" t="str">
        <f>'Test 4-Stats'!CX253</f>
        <v>Active</v>
      </c>
      <c r="R255" s="79"/>
      <c r="S255" s="79"/>
      <c r="T255" s="79"/>
      <c r="U255" s="79"/>
      <c r="V255" s="79"/>
      <c r="W255" s="79"/>
      <c r="X255" s="79"/>
      <c r="Y255" s="79"/>
      <c r="Z255" s="79"/>
    </row>
    <row r="256" ht="14.25" customHeight="1">
      <c r="A256" s="76" t="str">
        <f>'Test 4-Stats'!S254</f>
        <v>Reg 255</v>
      </c>
      <c r="B256" s="77">
        <f>'Test 4-Stats'!Y254</f>
        <v>2024</v>
      </c>
      <c r="C256" s="77" t="str">
        <f>'Test 4-Stats'!W254</f>
        <v>SUZUKI</v>
      </c>
      <c r="D256" s="77" t="str">
        <f>'Test 4-Stats'!V254</f>
        <v>SEDAN</v>
      </c>
      <c r="E256" s="77" t="str">
        <f>'Test 4-Stats'!X254</f>
        <v>DZIRE 1.2I GA</v>
      </c>
      <c r="F256" s="77" t="str">
        <f t="array" ref="F256:G256">'Test 4-Stats'!Z254:AA254</f>
        <v>PETROL</v>
      </c>
      <c r="G256" s="77">
        <v>1198.0</v>
      </c>
      <c r="H256" s="77" t="str">
        <f t="array" ref="H256:M256">'Test 4-Stats'!C254:H254</f>
        <v>Business Unit 1</v>
      </c>
      <c r="I256" s="77" t="s">
        <v>110</v>
      </c>
      <c r="J256" s="77" t="s">
        <v>111</v>
      </c>
      <c r="K256" s="77" t="s">
        <v>172</v>
      </c>
      <c r="L256" s="77" t="s">
        <v>140</v>
      </c>
      <c r="M256" s="77" t="s">
        <v>141</v>
      </c>
      <c r="N256" s="78">
        <f t="array" ref="N256:P256">'Test 4-Stats'!AL254:AN254</f>
        <v>44109</v>
      </c>
      <c r="O256" s="78">
        <v>45935.0</v>
      </c>
      <c r="P256" s="77">
        <v>60.0</v>
      </c>
      <c r="Q256" s="77" t="str">
        <f>'Test 4-Stats'!CX254</f>
        <v>Active</v>
      </c>
      <c r="R256" s="79"/>
      <c r="S256" s="79"/>
      <c r="T256" s="79"/>
      <c r="U256" s="79"/>
      <c r="V256" s="79"/>
      <c r="W256" s="79"/>
      <c r="X256" s="79"/>
      <c r="Y256" s="79"/>
      <c r="Z256" s="79"/>
    </row>
    <row r="257" ht="14.25" customHeight="1">
      <c r="A257" s="76" t="str">
        <f>'Test 4-Stats'!S255</f>
        <v>Reg 256</v>
      </c>
      <c r="B257" s="77">
        <f>'Test 4-Stats'!Y255</f>
        <v>2024</v>
      </c>
      <c r="C257" s="77" t="str">
        <f>'Test 4-Stats'!W255</f>
        <v>SUZUKI</v>
      </c>
      <c r="D257" s="77" t="str">
        <f>'Test 4-Stats'!V255</f>
        <v>SEDAN</v>
      </c>
      <c r="E257" s="77" t="str">
        <f>'Test 4-Stats'!X255</f>
        <v>DZIRE 1.2I GA</v>
      </c>
      <c r="F257" s="77" t="str">
        <f t="array" ref="F257:G257">'Test 4-Stats'!Z255:AA255</f>
        <v>PETROL</v>
      </c>
      <c r="G257" s="77">
        <v>1198.0</v>
      </c>
      <c r="H257" s="77" t="str">
        <f t="array" ref="H257:M257">'Test 4-Stats'!C255:H255</f>
        <v>Business Unit 2</v>
      </c>
      <c r="I257" s="77" t="s">
        <v>125</v>
      </c>
      <c r="J257" s="77" t="s">
        <v>126</v>
      </c>
      <c r="K257" s="77" t="s">
        <v>172</v>
      </c>
      <c r="L257" s="77" t="s">
        <v>140</v>
      </c>
      <c r="M257" s="77" t="s">
        <v>114</v>
      </c>
      <c r="N257" s="78">
        <f t="array" ref="N257:P257">'Test 4-Stats'!AL255:AN255</f>
        <v>44110</v>
      </c>
      <c r="O257" s="78">
        <v>45936.0</v>
      </c>
      <c r="P257" s="77">
        <v>60.0</v>
      </c>
      <c r="Q257" s="77" t="str">
        <f>'Test 4-Stats'!CX255</f>
        <v>Active</v>
      </c>
      <c r="R257" s="79"/>
      <c r="S257" s="79"/>
      <c r="T257" s="79"/>
      <c r="U257" s="79"/>
      <c r="V257" s="79"/>
      <c r="W257" s="79"/>
      <c r="X257" s="79"/>
      <c r="Y257" s="79"/>
      <c r="Z257" s="79"/>
    </row>
    <row r="258" ht="14.25" customHeight="1">
      <c r="A258" s="76" t="str">
        <f>'Test 4-Stats'!S256</f>
        <v>Reg 257</v>
      </c>
      <c r="B258" s="77">
        <f>'Test 4-Stats'!Y256</f>
        <v>2024</v>
      </c>
      <c r="C258" s="77" t="str">
        <f>'Test 4-Stats'!W256</f>
        <v>ISUZU</v>
      </c>
      <c r="D258" s="77" t="str">
        <f>'Test 4-Stats'!V256</f>
        <v>ONE TON LDV DOUBLE CAB</v>
      </c>
      <c r="E258" s="77" t="str">
        <f>'Test 4-Stats'!X256</f>
        <v>D-MAX 250 HO HI-RIDER D/CAB</v>
      </c>
      <c r="F258" s="77" t="str">
        <f t="array" ref="F258:G258">'Test 4-Stats'!Z256:AA256</f>
        <v>DIESEL</v>
      </c>
      <c r="G258" s="77">
        <v>2498.0</v>
      </c>
      <c r="H258" s="77" t="str">
        <f t="array" ref="H258:M258">'Test 4-Stats'!C256:H256</f>
        <v>Business Unit 3</v>
      </c>
      <c r="I258" s="77" t="s">
        <v>137</v>
      </c>
      <c r="J258" s="77" t="s">
        <v>138</v>
      </c>
      <c r="K258" s="77" t="s">
        <v>176</v>
      </c>
      <c r="L258" s="77" t="s">
        <v>140</v>
      </c>
      <c r="M258" s="77" t="s">
        <v>129</v>
      </c>
      <c r="N258" s="78">
        <f t="array" ref="N258:P258">'Test 4-Stats'!AL256:AN256</f>
        <v>44111</v>
      </c>
      <c r="O258" s="78">
        <v>45937.0</v>
      </c>
      <c r="P258" s="77">
        <v>60.0</v>
      </c>
      <c r="Q258" s="77" t="str">
        <f>'Test 4-Stats'!CX256</f>
        <v>Active</v>
      </c>
      <c r="R258" s="79"/>
      <c r="S258" s="79"/>
      <c r="T258" s="79"/>
      <c r="U258" s="79"/>
      <c r="V258" s="79"/>
      <c r="W258" s="79"/>
      <c r="X258" s="79"/>
      <c r="Y258" s="79"/>
      <c r="Z258" s="79"/>
    </row>
    <row r="259" ht="14.25" customHeight="1">
      <c r="A259" s="76" t="str">
        <f>'Test 4-Stats'!S257</f>
        <v>Reg 258</v>
      </c>
      <c r="B259" s="77">
        <f>'Test 4-Stats'!Y257</f>
        <v>2024</v>
      </c>
      <c r="C259" s="77" t="str">
        <f>'Test 4-Stats'!W257</f>
        <v>ISUZU</v>
      </c>
      <c r="D259" s="77" t="str">
        <f>'Test 4-Stats'!V257</f>
        <v>ONE TON LDV DOUBLE CAB</v>
      </c>
      <c r="E259" s="77" t="str">
        <f>'Test 4-Stats'!X257</f>
        <v>D-MAX 250 HO HI-RIDER D/CAB</v>
      </c>
      <c r="F259" s="77" t="str">
        <f t="array" ref="F259:G259">'Test 4-Stats'!Z257:AA257</f>
        <v>DIESEL</v>
      </c>
      <c r="G259" s="77">
        <v>2498.0</v>
      </c>
      <c r="H259" s="77" t="str">
        <f t="array" ref="H259:M259">'Test 4-Stats'!C257:H257</f>
        <v>Business Unit 1</v>
      </c>
      <c r="I259" s="77" t="s">
        <v>110</v>
      </c>
      <c r="J259" s="77" t="s">
        <v>111</v>
      </c>
      <c r="K259" s="77" t="s">
        <v>176</v>
      </c>
      <c r="L259" s="77" t="s">
        <v>140</v>
      </c>
      <c r="M259" s="77" t="s">
        <v>141</v>
      </c>
      <c r="N259" s="78">
        <f t="array" ref="N259:P259">'Test 4-Stats'!AL257:AN257</f>
        <v>44112</v>
      </c>
      <c r="O259" s="78">
        <v>45938.0</v>
      </c>
      <c r="P259" s="77">
        <v>60.0</v>
      </c>
      <c r="Q259" s="77" t="str">
        <f>'Test 4-Stats'!CX257</f>
        <v>Active</v>
      </c>
      <c r="R259" s="79"/>
      <c r="S259" s="79"/>
      <c r="T259" s="79"/>
      <c r="U259" s="79"/>
      <c r="V259" s="79"/>
      <c r="W259" s="79"/>
      <c r="X259" s="79"/>
      <c r="Y259" s="79"/>
      <c r="Z259" s="79"/>
    </row>
    <row r="260" ht="14.25" customHeight="1">
      <c r="A260" s="76" t="str">
        <f>'Test 4-Stats'!S258</f>
        <v>Reg 259</v>
      </c>
      <c r="B260" s="77">
        <f>'Test 4-Stats'!Y258</f>
        <v>2024</v>
      </c>
      <c r="C260" s="77" t="str">
        <f>'Test 4-Stats'!W258</f>
        <v>FORD</v>
      </c>
      <c r="D260" s="77" t="str">
        <f>'Test 4-Stats'!V258</f>
        <v>ONE TON LDV DOUBLE CAB</v>
      </c>
      <c r="E260" s="77" t="str">
        <f>'Test 4-Stats'!X258</f>
        <v>RANGER 2.0 SiT D CAB BASE 4X2</v>
      </c>
      <c r="F260" s="77" t="str">
        <f t="array" ref="F260:G260">'Test 4-Stats'!Z258:AA258</f>
        <v>DIESEL</v>
      </c>
      <c r="G260" s="77">
        <v>1998.0</v>
      </c>
      <c r="H260" s="77" t="str">
        <f t="array" ref="H260:M260">'Test 4-Stats'!C258:H258</f>
        <v>Business Unit 2</v>
      </c>
      <c r="I260" s="77" t="s">
        <v>125</v>
      </c>
      <c r="J260" s="77" t="s">
        <v>126</v>
      </c>
      <c r="K260" s="77" t="s">
        <v>196</v>
      </c>
      <c r="L260" s="77" t="s">
        <v>140</v>
      </c>
      <c r="M260" s="77" t="s">
        <v>114</v>
      </c>
      <c r="N260" s="78">
        <f t="array" ref="N260:P260">'Test 4-Stats'!AL258:AN258</f>
        <v>44113</v>
      </c>
      <c r="O260" s="78">
        <v>45939.0</v>
      </c>
      <c r="P260" s="77">
        <v>60.0</v>
      </c>
      <c r="Q260" s="77" t="str">
        <f>'Test 4-Stats'!CX258</f>
        <v>Active</v>
      </c>
      <c r="R260" s="79"/>
      <c r="S260" s="79"/>
      <c r="T260" s="79"/>
      <c r="U260" s="79"/>
      <c r="V260" s="79"/>
      <c r="W260" s="79"/>
      <c r="X260" s="79"/>
      <c r="Y260" s="79"/>
      <c r="Z260" s="79"/>
    </row>
    <row r="261" ht="14.25" customHeight="1">
      <c r="A261" s="76" t="str">
        <f>'Test 4-Stats'!S259</f>
        <v>Reg 260</v>
      </c>
      <c r="B261" s="77">
        <f>'Test 4-Stats'!Y259</f>
        <v>2024</v>
      </c>
      <c r="C261" s="77" t="str">
        <f>'Test 4-Stats'!W259</f>
        <v>FORD</v>
      </c>
      <c r="D261" s="77" t="str">
        <f>'Test 4-Stats'!V259</f>
        <v>ONE TON LDV DOUBLE CAB</v>
      </c>
      <c r="E261" s="77" t="str">
        <f>'Test 4-Stats'!X259</f>
        <v>RANGER 2.0 SiT D CAB BASE 4X2</v>
      </c>
      <c r="F261" s="77" t="str">
        <f t="array" ref="F261:G261">'Test 4-Stats'!Z259:AA259</f>
        <v>DIESEL</v>
      </c>
      <c r="G261" s="77">
        <v>1998.0</v>
      </c>
      <c r="H261" s="77" t="str">
        <f t="array" ref="H261:M261">'Test 4-Stats'!C259:H259</f>
        <v>Business Unit 3</v>
      </c>
      <c r="I261" s="77" t="s">
        <v>137</v>
      </c>
      <c r="J261" s="77" t="s">
        <v>138</v>
      </c>
      <c r="K261" s="77" t="s">
        <v>196</v>
      </c>
      <c r="L261" s="77" t="s">
        <v>140</v>
      </c>
      <c r="M261" s="77" t="s">
        <v>129</v>
      </c>
      <c r="N261" s="78">
        <f t="array" ref="N261:P261">'Test 4-Stats'!AL259:AN259</f>
        <v>44114</v>
      </c>
      <c r="O261" s="78">
        <v>45940.0</v>
      </c>
      <c r="P261" s="77">
        <v>60.0</v>
      </c>
      <c r="Q261" s="77" t="str">
        <f>'Test 4-Stats'!CX259</f>
        <v>Active</v>
      </c>
      <c r="R261" s="79"/>
      <c r="S261" s="79"/>
      <c r="T261" s="79"/>
      <c r="U261" s="79"/>
      <c r="V261" s="79"/>
      <c r="W261" s="79"/>
      <c r="X261" s="79"/>
      <c r="Y261" s="79"/>
      <c r="Z261" s="79"/>
    </row>
    <row r="262" ht="14.25" customHeight="1">
      <c r="A262" s="76" t="str">
        <f>'Test 4-Stats'!S260</f>
        <v>Reg 261</v>
      </c>
      <c r="B262" s="77">
        <f>'Test 4-Stats'!Y260</f>
        <v>2024</v>
      </c>
      <c r="C262" s="77" t="str">
        <f>'Test 4-Stats'!W260</f>
        <v>FORD</v>
      </c>
      <c r="D262" s="77" t="str">
        <f>'Test 4-Stats'!V260</f>
        <v>ONE TON LDV SINGLE CAB</v>
      </c>
      <c r="E262" s="77" t="str">
        <f>'Test 4-Stats'!X260</f>
        <v>RANGER 2.0 SiT D CAB BASE 4X2</v>
      </c>
      <c r="F262" s="77" t="str">
        <f t="array" ref="F262:G262">'Test 4-Stats'!Z260:AA260</f>
        <v>DIESEL</v>
      </c>
      <c r="G262" s="77">
        <v>1998.0</v>
      </c>
      <c r="H262" s="77" t="str">
        <f t="array" ref="H262:M262">'Test 4-Stats'!C260:H260</f>
        <v>Business Unit 1</v>
      </c>
      <c r="I262" s="77" t="s">
        <v>110</v>
      </c>
      <c r="J262" s="77" t="s">
        <v>111</v>
      </c>
      <c r="K262" s="77" t="s">
        <v>176</v>
      </c>
      <c r="L262" s="77" t="s">
        <v>140</v>
      </c>
      <c r="M262" s="77" t="s">
        <v>141</v>
      </c>
      <c r="N262" s="78">
        <f t="array" ref="N262:P262">'Test 4-Stats'!AL260:AN260</f>
        <v>44115</v>
      </c>
      <c r="O262" s="78">
        <v>45941.0</v>
      </c>
      <c r="P262" s="77">
        <v>60.0</v>
      </c>
      <c r="Q262" s="77" t="str">
        <f>'Test 4-Stats'!CX260</f>
        <v>Active</v>
      </c>
      <c r="R262" s="79"/>
      <c r="S262" s="79"/>
      <c r="T262" s="79"/>
      <c r="U262" s="79"/>
      <c r="V262" s="79"/>
      <c r="W262" s="79"/>
      <c r="X262" s="79"/>
      <c r="Y262" s="79"/>
      <c r="Z262" s="79"/>
    </row>
    <row r="263" ht="14.25" customHeight="1">
      <c r="A263" s="76" t="str">
        <f>'Test 4-Stats'!S261</f>
        <v>Reg 262</v>
      </c>
      <c r="B263" s="77">
        <f>'Test 4-Stats'!Y261</f>
        <v>2024</v>
      </c>
      <c r="C263" s="77" t="str">
        <f>'Test 4-Stats'!W261</f>
        <v>FORD</v>
      </c>
      <c r="D263" s="77" t="str">
        <f>'Test 4-Stats'!V261</f>
        <v>ONE TON LDV DOUBLE CAB</v>
      </c>
      <c r="E263" s="77" t="str">
        <f>'Test 4-Stats'!X261</f>
        <v>RANGER 2.0 SiT D CAB BASE 4X2</v>
      </c>
      <c r="F263" s="77" t="str">
        <f t="array" ref="F263:G263">'Test 4-Stats'!Z261:AA261</f>
        <v>DIESEL</v>
      </c>
      <c r="G263" s="77">
        <v>1998.0</v>
      </c>
      <c r="H263" s="77" t="str">
        <f t="array" ref="H263:M263">'Test 4-Stats'!C261:H261</f>
        <v>Business Unit 2</v>
      </c>
      <c r="I263" s="77" t="s">
        <v>125</v>
      </c>
      <c r="J263" s="77" t="s">
        <v>126</v>
      </c>
      <c r="K263" s="77" t="s">
        <v>176</v>
      </c>
      <c r="L263" s="77" t="s">
        <v>140</v>
      </c>
      <c r="M263" s="77" t="s">
        <v>114</v>
      </c>
      <c r="N263" s="78">
        <f t="array" ref="N263:P263">'Test 4-Stats'!AL261:AN261</f>
        <v>44116</v>
      </c>
      <c r="O263" s="78">
        <v>45942.0</v>
      </c>
      <c r="P263" s="77">
        <v>60.0</v>
      </c>
      <c r="Q263" s="77" t="str">
        <f>'Test 4-Stats'!CX261</f>
        <v>Active</v>
      </c>
      <c r="R263" s="79"/>
      <c r="S263" s="79"/>
      <c r="T263" s="79"/>
      <c r="U263" s="79"/>
      <c r="V263" s="79"/>
      <c r="W263" s="79"/>
      <c r="X263" s="79"/>
      <c r="Y263" s="79"/>
      <c r="Z263" s="79"/>
    </row>
    <row r="264" ht="14.25" customHeight="1">
      <c r="A264" s="76" t="str">
        <f>'Test 4-Stats'!S262</f>
        <v>Reg 263</v>
      </c>
      <c r="B264" s="77">
        <f>'Test 4-Stats'!Y262</f>
        <v>2024</v>
      </c>
      <c r="C264" s="77" t="str">
        <f>'Test 4-Stats'!W262</f>
        <v>FORD</v>
      </c>
      <c r="D264" s="77" t="str">
        <f>'Test 4-Stats'!V262</f>
        <v>ONE TON LDV DOUBLE CAB</v>
      </c>
      <c r="E264" s="77" t="str">
        <f>'Test 4-Stats'!X262</f>
        <v>RANGER 2.0 SiT D CAB BASE 4X2</v>
      </c>
      <c r="F264" s="77" t="str">
        <f t="array" ref="F264:G264">'Test 4-Stats'!Z262:AA262</f>
        <v>DIESEL</v>
      </c>
      <c r="G264" s="77">
        <v>1998.0</v>
      </c>
      <c r="H264" s="77" t="str">
        <f t="array" ref="H264:M264">'Test 4-Stats'!C262:H262</f>
        <v>Business Unit 1</v>
      </c>
      <c r="I264" s="77" t="s">
        <v>137</v>
      </c>
      <c r="J264" s="77" t="s">
        <v>138</v>
      </c>
      <c r="K264" s="77" t="s">
        <v>196</v>
      </c>
      <c r="L264" s="77" t="s">
        <v>140</v>
      </c>
      <c r="M264" s="77" t="s">
        <v>129</v>
      </c>
      <c r="N264" s="78">
        <f t="array" ref="N264:P264">'Test 4-Stats'!AL262:AN262</f>
        <v>44117</v>
      </c>
      <c r="O264" s="78">
        <v>45943.0</v>
      </c>
      <c r="P264" s="77">
        <v>60.0</v>
      </c>
      <c r="Q264" s="77" t="str">
        <f>'Test 4-Stats'!CX262</f>
        <v>Active</v>
      </c>
      <c r="R264" s="79"/>
      <c r="S264" s="79"/>
      <c r="T264" s="79"/>
      <c r="U264" s="79"/>
      <c r="V264" s="79"/>
      <c r="W264" s="79"/>
      <c r="X264" s="79"/>
      <c r="Y264" s="79"/>
      <c r="Z264" s="79"/>
    </row>
    <row r="265" ht="14.25" customHeight="1">
      <c r="A265" s="76" t="str">
        <f>'Test 4-Stats'!S263</f>
        <v>Reg 264</v>
      </c>
      <c r="B265" s="77">
        <f>'Test 4-Stats'!Y263</f>
        <v>2022</v>
      </c>
      <c r="C265" s="77" t="str">
        <f>'Test 4-Stats'!W263</f>
        <v>NISSAN</v>
      </c>
      <c r="D265" s="77" t="str">
        <f>'Test 4-Stats'!V263</f>
        <v>HALF TON LDV</v>
      </c>
      <c r="E265" s="77" t="str">
        <f>'Test 4-Stats'!X263</f>
        <v>NP200 1.6 8V AC SAFETY PACK</v>
      </c>
      <c r="F265" s="77" t="str">
        <f t="array" ref="F265:G265">'Test 4-Stats'!Z263:AA263</f>
        <v>PETROL</v>
      </c>
      <c r="G265" s="77">
        <v>1598.0</v>
      </c>
      <c r="H265" s="77" t="str">
        <f t="array" ref="H265:M265">'Test 4-Stats'!C263:H263</f>
        <v>Business Unit 2</v>
      </c>
      <c r="I265" s="77" t="s">
        <v>110</v>
      </c>
      <c r="J265" s="77" t="s">
        <v>111</v>
      </c>
      <c r="K265" s="77" t="s">
        <v>112</v>
      </c>
      <c r="L265" s="77" t="s">
        <v>113</v>
      </c>
      <c r="M265" s="77" t="s">
        <v>141</v>
      </c>
      <c r="N265" s="78">
        <f t="array" ref="N265:P265">'Test 4-Stats'!AL263:AN263</f>
        <v>44118</v>
      </c>
      <c r="O265" s="78">
        <v>45944.0</v>
      </c>
      <c r="P265" s="77">
        <v>60.0</v>
      </c>
      <c r="Q265" s="77" t="str">
        <f>'Test 4-Stats'!CX263</f>
        <v>Active</v>
      </c>
      <c r="R265" s="79"/>
      <c r="S265" s="79"/>
      <c r="T265" s="79"/>
      <c r="U265" s="79"/>
      <c r="V265" s="79"/>
      <c r="W265" s="79"/>
      <c r="X265" s="79"/>
      <c r="Y265" s="79"/>
      <c r="Z265" s="79"/>
    </row>
    <row r="266" ht="14.25" customHeight="1">
      <c r="A266" s="76" t="str">
        <f>'Test 4-Stats'!S264</f>
        <v>Reg 265</v>
      </c>
      <c r="B266" s="77">
        <f>'Test 4-Stats'!Y264</f>
        <v>2022</v>
      </c>
      <c r="C266" s="77" t="str">
        <f>'Test 4-Stats'!W264</f>
        <v>TOYOTA</v>
      </c>
      <c r="D266" s="77" t="str">
        <f>'Test 4-Stats'!V264</f>
        <v>MINIBUS</v>
      </c>
      <c r="E266" s="77" t="str">
        <f>'Test 4-Stats'!X264</f>
        <v>QUANTUM 2.7 VVT-I SESFIKILE 16-SEATER BUS</v>
      </c>
      <c r="F266" s="77" t="str">
        <f t="array" ref="F266:G266">'Test 4-Stats'!Z264:AA264</f>
        <v>PETROL</v>
      </c>
      <c r="G266" s="77">
        <v>2698.0</v>
      </c>
      <c r="H266" s="77" t="str">
        <f t="array" ref="H266:M266">'Test 4-Stats'!C264:H264</f>
        <v>Business Unit 3</v>
      </c>
      <c r="I266" s="77" t="s">
        <v>125</v>
      </c>
      <c r="J266" s="77" t="s">
        <v>126</v>
      </c>
      <c r="K266" s="77" t="s">
        <v>112</v>
      </c>
      <c r="L266" s="77" t="s">
        <v>113</v>
      </c>
      <c r="M266" s="77" t="s">
        <v>114</v>
      </c>
      <c r="N266" s="78">
        <f t="array" ref="N266:P266">'Test 4-Stats'!AL264:AN264</f>
        <v>44180</v>
      </c>
      <c r="O266" s="78">
        <v>46006.0</v>
      </c>
      <c r="P266" s="77">
        <v>60.0</v>
      </c>
      <c r="Q266" s="77" t="str">
        <f>'Test 4-Stats'!CX264</f>
        <v>Active</v>
      </c>
      <c r="R266" s="79"/>
      <c r="S266" s="79"/>
      <c r="T266" s="79"/>
      <c r="U266" s="79"/>
      <c r="V266" s="79"/>
      <c r="W266" s="79"/>
      <c r="X266" s="79"/>
      <c r="Y266" s="79"/>
      <c r="Z266" s="79"/>
    </row>
    <row r="267" ht="14.25" customHeight="1">
      <c r="A267" s="76" t="str">
        <f>'Test 4-Stats'!S265</f>
        <v>Reg 266</v>
      </c>
      <c r="B267" s="77">
        <f>'Test 4-Stats'!Y265</f>
        <v>2020</v>
      </c>
      <c r="C267" s="77" t="str">
        <f>'Test 4-Stats'!W265</f>
        <v>ISUZU</v>
      </c>
      <c r="D267" s="77" t="str">
        <f>'Test 4-Stats'!V265</f>
        <v>ONE TON LDV SINGLE CAB</v>
      </c>
      <c r="E267" s="77" t="str">
        <f>'Test 4-Stats'!X265</f>
        <v>D-MAX 250 HO FLEETSIDE (SAFETY)</v>
      </c>
      <c r="F267" s="77" t="str">
        <f t="array" ref="F267:G267">'Test 4-Stats'!Z265:AA265</f>
        <v>DIESEL</v>
      </c>
      <c r="G267" s="77">
        <v>2498.0</v>
      </c>
      <c r="H267" s="77" t="str">
        <f t="array" ref="H267:M267">'Test 4-Stats'!C265:H265</f>
        <v>Business Unit 1</v>
      </c>
      <c r="I267" s="77" t="s">
        <v>137</v>
      </c>
      <c r="J267" s="77" t="s">
        <v>138</v>
      </c>
      <c r="K267" s="77" t="s">
        <v>112</v>
      </c>
      <c r="L267" s="77" t="s">
        <v>113</v>
      </c>
      <c r="M267" s="77" t="s">
        <v>129</v>
      </c>
      <c r="N267" s="78">
        <f t="array" ref="N267:P267">'Test 4-Stats'!AL265:AN265</f>
        <v>44120</v>
      </c>
      <c r="O267" s="78">
        <v>45946.0</v>
      </c>
      <c r="P267" s="77">
        <v>60.0</v>
      </c>
      <c r="Q267" s="77" t="str">
        <f>'Test 4-Stats'!CX265</f>
        <v>Active</v>
      </c>
      <c r="R267" s="79"/>
      <c r="S267" s="79"/>
      <c r="T267" s="79"/>
      <c r="U267" s="79"/>
      <c r="V267" s="79"/>
      <c r="W267" s="79"/>
      <c r="X267" s="79"/>
      <c r="Y267" s="79"/>
      <c r="Z267" s="79"/>
    </row>
    <row r="268" ht="14.25" customHeight="1">
      <c r="A268" s="76" t="str">
        <f>'Test 4-Stats'!S266</f>
        <v>Reg 267</v>
      </c>
      <c r="B268" s="77">
        <f>'Test 4-Stats'!Y266</f>
        <v>2020</v>
      </c>
      <c r="C268" s="77" t="str">
        <f>'Test 4-Stats'!W266</f>
        <v>ISUZU</v>
      </c>
      <c r="D268" s="77" t="str">
        <f>'Test 4-Stats'!V266</f>
        <v>ONE TON LDV DOUBLE CAB</v>
      </c>
      <c r="E268" s="77" t="str">
        <f>'Test 4-Stats'!X266</f>
        <v>D-MAX 250 HO HI-RIDER D/CAB</v>
      </c>
      <c r="F268" s="77" t="str">
        <f t="array" ref="F268:G268">'Test 4-Stats'!Z266:AA266</f>
        <v>DIESEL</v>
      </c>
      <c r="G268" s="77">
        <v>2498.0</v>
      </c>
      <c r="H268" s="77" t="str">
        <f t="array" ref="H268:M268">'Test 4-Stats'!C266:H266</f>
        <v>Business Unit 2</v>
      </c>
      <c r="I268" s="77" t="s">
        <v>110</v>
      </c>
      <c r="J268" s="77" t="s">
        <v>111</v>
      </c>
      <c r="K268" s="77" t="s">
        <v>112</v>
      </c>
      <c r="L268" s="77" t="s">
        <v>113</v>
      </c>
      <c r="M268" s="77" t="s">
        <v>141</v>
      </c>
      <c r="N268" s="78">
        <f t="array" ref="N268:P268">'Test 4-Stats'!AL266:AN266</f>
        <v>44121</v>
      </c>
      <c r="O268" s="78">
        <v>45947.0</v>
      </c>
      <c r="P268" s="77">
        <v>60.0</v>
      </c>
      <c r="Q268" s="77" t="str">
        <f>'Test 4-Stats'!CX266</f>
        <v>Active</v>
      </c>
      <c r="R268" s="79"/>
      <c r="S268" s="79"/>
      <c r="T268" s="79"/>
      <c r="U268" s="79"/>
      <c r="V268" s="79"/>
      <c r="W268" s="79"/>
      <c r="X268" s="79"/>
      <c r="Y268" s="79"/>
      <c r="Z268" s="79"/>
    </row>
    <row r="269" ht="14.25" customHeight="1">
      <c r="A269" s="76" t="str">
        <f>'Test 4-Stats'!S267</f>
        <v>Reg 268</v>
      </c>
      <c r="B269" s="77">
        <f>'Test 4-Stats'!Y267</f>
        <v>2020</v>
      </c>
      <c r="C269" s="77" t="str">
        <f>'Test 4-Stats'!W267</f>
        <v>ISUZU</v>
      </c>
      <c r="D269" s="77" t="str">
        <f>'Test 4-Stats'!V267</f>
        <v>ONE TON LDV DOUBLE CAB</v>
      </c>
      <c r="E269" s="77" t="str">
        <f>'Test 4-Stats'!X267</f>
        <v>D-MAX 250 HO HI-RIDER D/CAB 4X4</v>
      </c>
      <c r="F269" s="77" t="str">
        <f t="array" ref="F269:G269">'Test 4-Stats'!Z267:AA267</f>
        <v>DIESEL</v>
      </c>
      <c r="G269" s="77">
        <v>2498.0</v>
      </c>
      <c r="H269" s="77" t="str">
        <f t="array" ref="H269:M269">'Test 4-Stats'!C267:H267</f>
        <v>Business Unit 3</v>
      </c>
      <c r="I269" s="77" t="s">
        <v>125</v>
      </c>
      <c r="J269" s="77" t="s">
        <v>126</v>
      </c>
      <c r="K269" s="77" t="s">
        <v>231</v>
      </c>
      <c r="L269" s="77" t="s">
        <v>113</v>
      </c>
      <c r="M269" s="77" t="s">
        <v>114</v>
      </c>
      <c r="N269" s="78">
        <f t="array" ref="N269:P269">'Test 4-Stats'!AL267:AN267</f>
        <v>44183</v>
      </c>
      <c r="O269" s="78">
        <v>46009.0</v>
      </c>
      <c r="P269" s="77">
        <v>60.0</v>
      </c>
      <c r="Q269" s="77" t="str">
        <f>'Test 4-Stats'!CX267</f>
        <v>Active</v>
      </c>
      <c r="R269" s="79"/>
      <c r="S269" s="79"/>
      <c r="T269" s="79"/>
      <c r="U269" s="79"/>
      <c r="V269" s="79"/>
      <c r="W269" s="79"/>
      <c r="X269" s="79"/>
      <c r="Y269" s="79"/>
      <c r="Z269" s="79"/>
    </row>
    <row r="270" ht="14.25" customHeight="1">
      <c r="A270" s="76" t="str">
        <f>'Test 4-Stats'!S268</f>
        <v>Reg 269</v>
      </c>
      <c r="B270" s="77">
        <f>'Test 4-Stats'!Y268</f>
        <v>2020</v>
      </c>
      <c r="C270" s="77" t="str">
        <f>'Test 4-Stats'!W268</f>
        <v>NISSAN</v>
      </c>
      <c r="D270" s="77" t="str">
        <f>'Test 4-Stats'!V268</f>
        <v>HALF TON LDV</v>
      </c>
      <c r="E270" s="77" t="str">
        <f>'Test 4-Stats'!X268</f>
        <v>NP200 1.6 8V AC SAFETY PACK</v>
      </c>
      <c r="F270" s="77" t="str">
        <f t="array" ref="F270:G270">'Test 4-Stats'!Z268:AA268</f>
        <v>PETROL</v>
      </c>
      <c r="G270" s="77">
        <v>1598.0</v>
      </c>
      <c r="H270" s="77" t="str">
        <f t="array" ref="H270:M270">'Test 4-Stats'!C268:H268</f>
        <v>Business Unit 1</v>
      </c>
      <c r="I270" s="77" t="s">
        <v>137</v>
      </c>
      <c r="J270" s="77" t="s">
        <v>138</v>
      </c>
      <c r="K270" s="77" t="s">
        <v>112</v>
      </c>
      <c r="L270" s="77" t="s">
        <v>113</v>
      </c>
      <c r="M270" s="77" t="s">
        <v>129</v>
      </c>
      <c r="N270" s="78">
        <f t="array" ref="N270:P270">'Test 4-Stats'!AL268:AN268</f>
        <v>44123</v>
      </c>
      <c r="O270" s="78">
        <v>45949.0</v>
      </c>
      <c r="P270" s="77">
        <v>60.0</v>
      </c>
      <c r="Q270" s="77" t="str">
        <f>'Test 4-Stats'!CX268</f>
        <v>Active</v>
      </c>
      <c r="R270" s="79"/>
      <c r="S270" s="79"/>
      <c r="T270" s="79"/>
      <c r="U270" s="79"/>
      <c r="V270" s="79"/>
      <c r="W270" s="79"/>
      <c r="X270" s="79"/>
      <c r="Y270" s="79"/>
      <c r="Z270" s="79"/>
    </row>
    <row r="271" ht="14.25" customHeight="1">
      <c r="A271" s="76" t="str">
        <f>'Test 4-Stats'!S269</f>
        <v>Reg 270</v>
      </c>
      <c r="B271" s="77">
        <f>'Test 4-Stats'!Y269</f>
        <v>2020</v>
      </c>
      <c r="C271" s="77" t="str">
        <f>'Test 4-Stats'!W269</f>
        <v>TOYOTA</v>
      </c>
      <c r="D271" s="77" t="str">
        <f>'Test 4-Stats'!V269</f>
        <v>MINIBUS</v>
      </c>
      <c r="E271" s="77" t="str">
        <f>'Test 4-Stats'!X269</f>
        <v>QUANTUM 2.8 GL LWB 14 SEATER</v>
      </c>
      <c r="F271" s="77" t="str">
        <f t="array" ref="F271:G271">'Test 4-Stats'!Z269:AA269</f>
        <v>DIESEL</v>
      </c>
      <c r="G271" s="77">
        <v>2798.0</v>
      </c>
      <c r="H271" s="77" t="str">
        <f t="array" ref="H271:M271">'Test 4-Stats'!C269:H269</f>
        <v>Business Unit 2</v>
      </c>
      <c r="I271" s="77" t="s">
        <v>110</v>
      </c>
      <c r="J271" s="77" t="s">
        <v>111</v>
      </c>
      <c r="K271" s="77" t="s">
        <v>112</v>
      </c>
      <c r="L271" s="77" t="s">
        <v>113</v>
      </c>
      <c r="M271" s="77" t="s">
        <v>141</v>
      </c>
      <c r="N271" s="78">
        <f t="array" ref="N271:P271">'Test 4-Stats'!AL269:AN269</f>
        <v>44185</v>
      </c>
      <c r="O271" s="78">
        <v>46011.0</v>
      </c>
      <c r="P271" s="77">
        <v>60.0</v>
      </c>
      <c r="Q271" s="77" t="str">
        <f>'Test 4-Stats'!CX269</f>
        <v>Active</v>
      </c>
      <c r="R271" s="79"/>
      <c r="S271" s="79"/>
      <c r="T271" s="79"/>
      <c r="U271" s="79"/>
      <c r="V271" s="79"/>
      <c r="W271" s="79"/>
      <c r="X271" s="79"/>
      <c r="Y271" s="79"/>
      <c r="Z271" s="79"/>
    </row>
    <row r="272" ht="14.25" customHeight="1">
      <c r="A272" s="76" t="str">
        <f>'Test 4-Stats'!S270</f>
        <v>Reg 271</v>
      </c>
      <c r="B272" s="77">
        <f>'Test 4-Stats'!Y270</f>
        <v>2020</v>
      </c>
      <c r="C272" s="77" t="str">
        <f>'Test 4-Stats'!W270</f>
        <v>TOYOTA</v>
      </c>
      <c r="D272" s="77" t="str">
        <f>'Test 4-Stats'!V270</f>
        <v>MINIBUS</v>
      </c>
      <c r="E272" s="77" t="str">
        <f>'Test 4-Stats'!X270</f>
        <v>QUANTUM 2.8 GL LWB 14 SEATER</v>
      </c>
      <c r="F272" s="77" t="str">
        <f t="array" ref="F272:G272">'Test 4-Stats'!Z270:AA270</f>
        <v>DIESEL</v>
      </c>
      <c r="G272" s="77">
        <v>2798.0</v>
      </c>
      <c r="H272" s="77" t="str">
        <f t="array" ref="H272:M272">'Test 4-Stats'!C270:H270</f>
        <v>Business Unit 3</v>
      </c>
      <c r="I272" s="77" t="s">
        <v>125</v>
      </c>
      <c r="J272" s="77" t="s">
        <v>126</v>
      </c>
      <c r="K272" s="77" t="s">
        <v>112</v>
      </c>
      <c r="L272" s="77" t="s">
        <v>113</v>
      </c>
      <c r="M272" s="77" t="s">
        <v>114</v>
      </c>
      <c r="N272" s="78">
        <f t="array" ref="N272:P272">'Test 4-Stats'!AL270:AN270</f>
        <v>44125</v>
      </c>
      <c r="O272" s="78">
        <v>45951.0</v>
      </c>
      <c r="P272" s="77">
        <v>60.0</v>
      </c>
      <c r="Q272" s="77" t="str">
        <f>'Test 4-Stats'!CX270</f>
        <v>Active</v>
      </c>
      <c r="R272" s="79"/>
      <c r="S272" s="79"/>
      <c r="T272" s="79"/>
      <c r="U272" s="79"/>
      <c r="V272" s="79"/>
      <c r="W272" s="79"/>
      <c r="X272" s="79"/>
      <c r="Y272" s="79"/>
      <c r="Z272" s="79"/>
    </row>
    <row r="273" ht="14.25" customHeight="1">
      <c r="A273" s="76" t="str">
        <f>'Test 4-Stats'!S271</f>
        <v>Reg 272</v>
      </c>
      <c r="B273" s="77">
        <f>'Test 4-Stats'!Y271</f>
        <v>2020</v>
      </c>
      <c r="C273" s="77" t="str">
        <f>'Test 4-Stats'!W271</f>
        <v>NISSAN</v>
      </c>
      <c r="D273" s="77" t="str">
        <f>'Test 4-Stats'!V271</f>
        <v>HALF TON LDV</v>
      </c>
      <c r="E273" s="77" t="str">
        <f>'Test 4-Stats'!X271</f>
        <v>NP200 1.5 dCi A/C + SAFETY PACK</v>
      </c>
      <c r="F273" s="77" t="str">
        <f t="array" ref="F273:G273">'Test 4-Stats'!Z271:AA271</f>
        <v>DIESEL</v>
      </c>
      <c r="G273" s="77">
        <v>1498.0</v>
      </c>
      <c r="H273" s="77" t="str">
        <f t="array" ref="H273:M273">'Test 4-Stats'!C271:H271</f>
        <v>Business Unit 1</v>
      </c>
      <c r="I273" s="77" t="s">
        <v>137</v>
      </c>
      <c r="J273" s="77" t="s">
        <v>138</v>
      </c>
      <c r="K273" s="77" t="s">
        <v>112</v>
      </c>
      <c r="L273" s="77" t="s">
        <v>113</v>
      </c>
      <c r="M273" s="77" t="s">
        <v>129</v>
      </c>
      <c r="N273" s="78">
        <f t="array" ref="N273:P273">'Test 4-Stats'!AL271:AN271</f>
        <v>44126</v>
      </c>
      <c r="O273" s="78">
        <v>45952.0</v>
      </c>
      <c r="P273" s="77">
        <v>60.0</v>
      </c>
      <c r="Q273" s="77" t="str">
        <f>'Test 4-Stats'!CX271</f>
        <v>Active</v>
      </c>
      <c r="R273" s="79"/>
      <c r="S273" s="79"/>
      <c r="T273" s="79"/>
      <c r="U273" s="79"/>
      <c r="V273" s="79"/>
      <c r="W273" s="79"/>
      <c r="X273" s="79"/>
      <c r="Y273" s="79"/>
      <c r="Z273" s="79"/>
    </row>
    <row r="274" ht="14.25" customHeight="1">
      <c r="A274" s="76" t="str">
        <f>'Test 4-Stats'!S272</f>
        <v>Reg 273</v>
      </c>
      <c r="B274" s="77">
        <f>'Test 4-Stats'!Y272</f>
        <v>2020</v>
      </c>
      <c r="C274" s="77" t="str">
        <f>'Test 4-Stats'!W272</f>
        <v>NISSAN</v>
      </c>
      <c r="D274" s="77" t="str">
        <f>'Test 4-Stats'!V272</f>
        <v>HALF TON LDV</v>
      </c>
      <c r="E274" s="77" t="str">
        <f>'Test 4-Stats'!X272</f>
        <v>NP200 1.6 8V AC SAFETY PACK</v>
      </c>
      <c r="F274" s="77" t="str">
        <f t="array" ref="F274:G274">'Test 4-Stats'!Z272:AA272</f>
        <v>PETROL</v>
      </c>
      <c r="G274" s="77">
        <v>1598.0</v>
      </c>
      <c r="H274" s="77" t="str">
        <f t="array" ref="H274:M274">'Test 4-Stats'!C272:H272</f>
        <v>Business Unit 2</v>
      </c>
      <c r="I274" s="77" t="s">
        <v>110</v>
      </c>
      <c r="J274" s="77" t="s">
        <v>111</v>
      </c>
      <c r="K274" s="77" t="s">
        <v>112</v>
      </c>
      <c r="L274" s="77" t="s">
        <v>113</v>
      </c>
      <c r="M274" s="77" t="s">
        <v>141</v>
      </c>
      <c r="N274" s="78">
        <f t="array" ref="N274:P274">'Test 4-Stats'!AL272:AN272</f>
        <v>44127</v>
      </c>
      <c r="O274" s="78">
        <v>45953.0</v>
      </c>
      <c r="P274" s="77">
        <v>60.0</v>
      </c>
      <c r="Q274" s="77" t="str">
        <f>'Test 4-Stats'!CX272</f>
        <v>Active</v>
      </c>
      <c r="R274" s="79"/>
      <c r="S274" s="79"/>
      <c r="T274" s="79"/>
      <c r="U274" s="79"/>
      <c r="V274" s="79"/>
      <c r="W274" s="79"/>
      <c r="X274" s="79"/>
      <c r="Y274" s="79"/>
      <c r="Z274" s="79"/>
    </row>
    <row r="275" ht="14.25" customHeight="1">
      <c r="A275" s="76" t="str">
        <f>'Test 4-Stats'!S273</f>
        <v>Reg 274</v>
      </c>
      <c r="B275" s="77">
        <f>'Test 4-Stats'!Y273</f>
        <v>2020</v>
      </c>
      <c r="C275" s="77" t="str">
        <f>'Test 4-Stats'!W273</f>
        <v>ISUZU</v>
      </c>
      <c r="D275" s="77" t="str">
        <f>'Test 4-Stats'!V273</f>
        <v>ONE TON LDV DOUBLE CAB</v>
      </c>
      <c r="E275" s="77" t="str">
        <f>'Test 4-Stats'!X273</f>
        <v>D-MAX 250 HO HI-RIDER D/CAB 4X4</v>
      </c>
      <c r="F275" s="77" t="str">
        <f t="array" ref="F275:G275">'Test 4-Stats'!Z273:AA273</f>
        <v>DIESEL</v>
      </c>
      <c r="G275" s="77">
        <v>2498.0</v>
      </c>
      <c r="H275" s="77" t="str">
        <f t="array" ref="H275:M275">'Test 4-Stats'!C273:H273</f>
        <v>Business Unit 3</v>
      </c>
      <c r="I275" s="77" t="s">
        <v>125</v>
      </c>
      <c r="J275" s="77" t="s">
        <v>126</v>
      </c>
      <c r="K275" s="77" t="s">
        <v>112</v>
      </c>
      <c r="L275" s="77" t="s">
        <v>113</v>
      </c>
      <c r="M275" s="77" t="s">
        <v>114</v>
      </c>
      <c r="N275" s="78">
        <f t="array" ref="N275:P275">'Test 4-Stats'!AL273:AN273</f>
        <v>44013</v>
      </c>
      <c r="O275" s="78">
        <v>45954.0</v>
      </c>
      <c r="P275" s="77">
        <v>60.0</v>
      </c>
      <c r="Q275" s="77" t="str">
        <f>'Test 4-Stats'!CX273</f>
        <v>Active</v>
      </c>
      <c r="R275" s="79"/>
      <c r="S275" s="79"/>
      <c r="T275" s="79"/>
      <c r="U275" s="79"/>
      <c r="V275" s="79"/>
      <c r="W275" s="79"/>
      <c r="X275" s="79"/>
      <c r="Y275" s="79"/>
      <c r="Z275" s="79"/>
    </row>
    <row r="276" ht="14.25" customHeight="1">
      <c r="A276" s="76" t="str">
        <f>'Test 4-Stats'!S274</f>
        <v>Reg 275</v>
      </c>
      <c r="B276" s="77">
        <f>'Test 4-Stats'!Y274</f>
        <v>2020</v>
      </c>
      <c r="C276" s="77" t="str">
        <f>'Test 4-Stats'!W274</f>
        <v>NISSAN</v>
      </c>
      <c r="D276" s="77" t="str">
        <f>'Test 4-Stats'!V274</f>
        <v>HALF TON LDV</v>
      </c>
      <c r="E276" s="77" t="str">
        <f>'Test 4-Stats'!X274</f>
        <v>NP200 1.6 8V AC SAFETY PACK</v>
      </c>
      <c r="F276" s="77" t="str">
        <f t="array" ref="F276:G276">'Test 4-Stats'!Z274:AA274</f>
        <v>PETROL</v>
      </c>
      <c r="G276" s="77">
        <v>1598.0</v>
      </c>
      <c r="H276" s="77" t="str">
        <f t="array" ref="H276:M276">'Test 4-Stats'!C274:H274</f>
        <v>Business Unit 1</v>
      </c>
      <c r="I276" s="77" t="s">
        <v>137</v>
      </c>
      <c r="J276" s="77" t="s">
        <v>138</v>
      </c>
      <c r="K276" s="77" t="s">
        <v>112</v>
      </c>
      <c r="L276" s="77" t="s">
        <v>113</v>
      </c>
      <c r="M276" s="77" t="s">
        <v>129</v>
      </c>
      <c r="N276" s="78">
        <f t="array" ref="N276:P276">'Test 4-Stats'!AL274:AN274</f>
        <v>44013</v>
      </c>
      <c r="O276" s="78">
        <v>46106.0</v>
      </c>
      <c r="P276" s="77">
        <v>60.0</v>
      </c>
      <c r="Q276" s="77" t="str">
        <f>'Test 4-Stats'!CX274</f>
        <v>Active</v>
      </c>
      <c r="R276" s="79"/>
      <c r="S276" s="79"/>
      <c r="T276" s="79"/>
      <c r="U276" s="79"/>
      <c r="V276" s="79"/>
      <c r="W276" s="79"/>
      <c r="X276" s="79"/>
      <c r="Y276" s="79"/>
      <c r="Z276" s="79"/>
    </row>
    <row r="277" ht="14.25" customHeight="1">
      <c r="A277" s="76" t="str">
        <f>'Test 4-Stats'!S275</f>
        <v>Reg 276</v>
      </c>
      <c r="B277" s="77">
        <f>'Test 4-Stats'!Y275</f>
        <v>2020</v>
      </c>
      <c r="C277" s="77" t="str">
        <f>'Test 4-Stats'!W275</f>
        <v>NISSAN</v>
      </c>
      <c r="D277" s="77" t="str">
        <f>'Test 4-Stats'!V275</f>
        <v>HALF TON LDV</v>
      </c>
      <c r="E277" s="77" t="str">
        <f>'Test 4-Stats'!X275</f>
        <v>NP200 1.6 8V AC SAFETY PACK</v>
      </c>
      <c r="F277" s="77" t="str">
        <f t="array" ref="F277:G277">'Test 4-Stats'!Z275:AA275</f>
        <v>PETROL</v>
      </c>
      <c r="G277" s="77">
        <v>1598.0</v>
      </c>
      <c r="H277" s="77" t="str">
        <f t="array" ref="H277:M277">'Test 4-Stats'!C275:H275</f>
        <v>Business Unit 2</v>
      </c>
      <c r="I277" s="77" t="s">
        <v>110</v>
      </c>
      <c r="J277" s="77" t="s">
        <v>111</v>
      </c>
      <c r="K277" s="77" t="s">
        <v>112</v>
      </c>
      <c r="L277" s="77" t="s">
        <v>113</v>
      </c>
      <c r="M277" s="77" t="s">
        <v>141</v>
      </c>
      <c r="N277" s="78">
        <f t="array" ref="N277:P277">'Test 4-Stats'!AL275:AN275</f>
        <v>44013</v>
      </c>
      <c r="O277" s="78">
        <v>45956.0</v>
      </c>
      <c r="P277" s="77">
        <v>60.0</v>
      </c>
      <c r="Q277" s="77" t="str">
        <f>'Test 4-Stats'!CX275</f>
        <v>Active</v>
      </c>
      <c r="R277" s="79"/>
      <c r="S277" s="79"/>
      <c r="T277" s="79"/>
      <c r="U277" s="79"/>
      <c r="V277" s="79"/>
      <c r="W277" s="79"/>
      <c r="X277" s="79"/>
      <c r="Y277" s="79"/>
      <c r="Z277" s="79"/>
    </row>
    <row r="278" ht="14.25" customHeight="1">
      <c r="A278" s="76" t="str">
        <f>'Test 4-Stats'!S276</f>
        <v>Reg 277</v>
      </c>
      <c r="B278" s="77">
        <f>'Test 4-Stats'!Y276</f>
        <v>2020</v>
      </c>
      <c r="C278" s="77" t="str">
        <f>'Test 4-Stats'!W276</f>
        <v>NISSAN</v>
      </c>
      <c r="D278" s="77" t="str">
        <f>'Test 4-Stats'!V276</f>
        <v>SEDAN</v>
      </c>
      <c r="E278" s="77" t="str">
        <f>'Test 4-Stats'!X276</f>
        <v>ALMERA 1.5 ACENTA</v>
      </c>
      <c r="F278" s="77" t="str">
        <f t="array" ref="F278:G278">'Test 4-Stats'!Z276:AA276</f>
        <v>PETROL</v>
      </c>
      <c r="G278" s="77">
        <v>1498.0</v>
      </c>
      <c r="H278" s="77" t="str">
        <f t="array" ref="H278:M278">'Test 4-Stats'!C276:H276</f>
        <v>Business Unit 3</v>
      </c>
      <c r="I278" s="77" t="s">
        <v>125</v>
      </c>
      <c r="J278" s="77" t="s">
        <v>126</v>
      </c>
      <c r="K278" s="77" t="s">
        <v>112</v>
      </c>
      <c r="L278" s="77" t="s">
        <v>113</v>
      </c>
      <c r="M278" s="77" t="s">
        <v>114</v>
      </c>
      <c r="N278" s="78">
        <f t="array" ref="N278:P278">'Test 4-Stats'!AL276:AN276</f>
        <v>44013</v>
      </c>
      <c r="O278" s="78">
        <v>45957.0</v>
      </c>
      <c r="P278" s="77">
        <v>60.0</v>
      </c>
      <c r="Q278" s="77" t="str">
        <f>'Test 4-Stats'!CX276</f>
        <v>Active</v>
      </c>
      <c r="R278" s="79"/>
      <c r="S278" s="79"/>
      <c r="T278" s="79"/>
      <c r="U278" s="79"/>
      <c r="V278" s="79"/>
      <c r="W278" s="79"/>
      <c r="X278" s="79"/>
      <c r="Y278" s="79"/>
      <c r="Z278" s="79"/>
    </row>
    <row r="279" ht="14.25" customHeight="1">
      <c r="A279" s="76" t="str">
        <f>'Test 4-Stats'!S277</f>
        <v>Reg 278</v>
      </c>
      <c r="B279" s="77">
        <f>'Test 4-Stats'!Y277</f>
        <v>2020</v>
      </c>
      <c r="C279" s="77" t="str">
        <f>'Test 4-Stats'!W277</f>
        <v>NISSAN</v>
      </c>
      <c r="D279" s="77" t="str">
        <f>'Test 4-Stats'!V277</f>
        <v>SEDAN</v>
      </c>
      <c r="E279" s="77" t="str">
        <f>'Test 4-Stats'!X277</f>
        <v>ALMERA 1.5 ACENTA</v>
      </c>
      <c r="F279" s="77" t="str">
        <f t="array" ref="F279:G279">'Test 4-Stats'!Z277:AA277</f>
        <v>PETROL</v>
      </c>
      <c r="G279" s="77">
        <v>1498.0</v>
      </c>
      <c r="H279" s="77" t="str">
        <f t="array" ref="H279:M279">'Test 4-Stats'!C277:H277</f>
        <v>Business Unit 1</v>
      </c>
      <c r="I279" s="77" t="s">
        <v>137</v>
      </c>
      <c r="J279" s="77" t="s">
        <v>138</v>
      </c>
      <c r="K279" s="77" t="s">
        <v>112</v>
      </c>
      <c r="L279" s="77" t="s">
        <v>113</v>
      </c>
      <c r="M279" s="77" t="s">
        <v>129</v>
      </c>
      <c r="N279" s="78">
        <f t="array" ref="N279:P279">'Test 4-Stats'!AL277:AN277</f>
        <v>44013</v>
      </c>
      <c r="O279" s="78">
        <v>45958.0</v>
      </c>
      <c r="P279" s="77">
        <v>60.0</v>
      </c>
      <c r="Q279" s="77" t="str">
        <f>'Test 4-Stats'!CX277</f>
        <v>Active</v>
      </c>
      <c r="R279" s="79"/>
      <c r="S279" s="79"/>
      <c r="T279" s="79"/>
      <c r="U279" s="79"/>
      <c r="V279" s="79"/>
      <c r="W279" s="79"/>
      <c r="X279" s="79"/>
      <c r="Y279" s="79"/>
      <c r="Z279" s="79"/>
    </row>
    <row r="280" ht="14.25" customHeight="1">
      <c r="A280" s="76" t="str">
        <f>'Test 4-Stats'!S278</f>
        <v>Reg 279</v>
      </c>
      <c r="B280" s="77">
        <f>'Test 4-Stats'!Y278</f>
        <v>2020</v>
      </c>
      <c r="C280" s="77" t="str">
        <f>'Test 4-Stats'!W278</f>
        <v>NISSAN</v>
      </c>
      <c r="D280" s="77" t="str">
        <f>'Test 4-Stats'!V278</f>
        <v>SEDAN</v>
      </c>
      <c r="E280" s="77" t="str">
        <f>'Test 4-Stats'!X278</f>
        <v>ALMERA 1.5 ACENTA</v>
      </c>
      <c r="F280" s="77" t="str">
        <f t="array" ref="F280:G280">'Test 4-Stats'!Z278:AA278</f>
        <v>PETROL</v>
      </c>
      <c r="G280" s="77">
        <v>1498.0</v>
      </c>
      <c r="H280" s="77" t="str">
        <f t="array" ref="H280:M280">'Test 4-Stats'!C278:H278</f>
        <v>Business Unit 2</v>
      </c>
      <c r="I280" s="77" t="s">
        <v>110</v>
      </c>
      <c r="J280" s="77" t="s">
        <v>111</v>
      </c>
      <c r="K280" s="77" t="s">
        <v>112</v>
      </c>
      <c r="L280" s="77" t="s">
        <v>113</v>
      </c>
      <c r="M280" s="77" t="s">
        <v>141</v>
      </c>
      <c r="N280" s="78">
        <f t="array" ref="N280:P280">'Test 4-Stats'!AL278:AN278</f>
        <v>44013</v>
      </c>
      <c r="O280" s="78">
        <v>45959.0</v>
      </c>
      <c r="P280" s="77">
        <v>60.0</v>
      </c>
      <c r="Q280" s="77" t="str">
        <f>'Test 4-Stats'!CX278</f>
        <v>Active</v>
      </c>
      <c r="R280" s="79"/>
      <c r="S280" s="79"/>
      <c r="T280" s="79"/>
      <c r="U280" s="79"/>
      <c r="V280" s="79"/>
      <c r="W280" s="79"/>
      <c r="X280" s="79"/>
      <c r="Y280" s="79"/>
      <c r="Z280" s="79"/>
    </row>
    <row r="281" ht="14.25" customHeight="1">
      <c r="A281" s="76" t="str">
        <f>'Test 4-Stats'!S279</f>
        <v>Reg 280</v>
      </c>
      <c r="B281" s="77">
        <f>'Test 4-Stats'!Y279</f>
        <v>2020</v>
      </c>
      <c r="C281" s="77" t="str">
        <f>'Test 4-Stats'!W279</f>
        <v>NISSAN</v>
      </c>
      <c r="D281" s="77" t="str">
        <f>'Test 4-Stats'!V279</f>
        <v>HALF TON LDV</v>
      </c>
      <c r="E281" s="77" t="str">
        <f>'Test 4-Stats'!X279</f>
        <v>NP200 1.5 dCi A/C + SAFETY PACK</v>
      </c>
      <c r="F281" s="77" t="str">
        <f t="array" ref="F281:G281">'Test 4-Stats'!Z279:AA279</f>
        <v>DIESEL</v>
      </c>
      <c r="G281" s="77">
        <v>1498.0</v>
      </c>
      <c r="H281" s="77" t="str">
        <f t="array" ref="H281:M281">'Test 4-Stats'!C279:H279</f>
        <v>Business Unit 3</v>
      </c>
      <c r="I281" s="77" t="s">
        <v>125</v>
      </c>
      <c r="J281" s="77" t="s">
        <v>126</v>
      </c>
      <c r="K281" s="77" t="s">
        <v>112</v>
      </c>
      <c r="L281" s="77" t="s">
        <v>113</v>
      </c>
      <c r="M281" s="77" t="s">
        <v>114</v>
      </c>
      <c r="N281" s="78">
        <f t="array" ref="N281:P281">'Test 4-Stats'!AL279:AN279</f>
        <v>44013</v>
      </c>
      <c r="O281" s="78">
        <v>46073.0</v>
      </c>
      <c r="P281" s="77">
        <v>60.0</v>
      </c>
      <c r="Q281" s="77" t="str">
        <f>'Test 4-Stats'!CX279</f>
        <v>Active</v>
      </c>
      <c r="R281" s="79"/>
      <c r="S281" s="79"/>
      <c r="T281" s="79"/>
      <c r="U281" s="79"/>
      <c r="V281" s="79"/>
      <c r="W281" s="79"/>
      <c r="X281" s="79"/>
      <c r="Y281" s="79"/>
      <c r="Z281" s="79"/>
    </row>
    <row r="282" ht="14.25" customHeight="1">
      <c r="A282" s="76" t="str">
        <f>'Test 4-Stats'!S280</f>
        <v>Reg 281</v>
      </c>
      <c r="B282" s="77">
        <f>'Test 4-Stats'!Y280</f>
        <v>2020</v>
      </c>
      <c r="C282" s="77" t="str">
        <f>'Test 4-Stats'!W280</f>
        <v>TOYOTA</v>
      </c>
      <c r="D282" s="77" t="str">
        <f>'Test 4-Stats'!V280</f>
        <v>SEDAN</v>
      </c>
      <c r="E282" s="77" t="str">
        <f>'Test 4-Stats'!X280</f>
        <v>ETIOS 1.5 Xs SEDAN</v>
      </c>
      <c r="F282" s="77" t="str">
        <f t="array" ref="F282:G282">'Test 4-Stats'!Z280:AA280</f>
        <v>PETROL</v>
      </c>
      <c r="G282" s="77">
        <v>1498.0</v>
      </c>
      <c r="H282" s="77" t="str">
        <f t="array" ref="H282:M282">'Test 4-Stats'!C280:H280</f>
        <v>Business Unit 1</v>
      </c>
      <c r="I282" s="77" t="s">
        <v>110</v>
      </c>
      <c r="J282" s="77" t="s">
        <v>111</v>
      </c>
      <c r="K282" s="77" t="s">
        <v>112</v>
      </c>
      <c r="L282" s="77" t="s">
        <v>113</v>
      </c>
      <c r="M282" s="77" t="s">
        <v>129</v>
      </c>
      <c r="N282" s="78">
        <f t="array" ref="N282:P282">'Test 4-Stats'!AL280:AN280</f>
        <v>44013</v>
      </c>
      <c r="O282" s="78">
        <v>45961.0</v>
      </c>
      <c r="P282" s="77">
        <v>60.0</v>
      </c>
      <c r="Q282" s="77" t="str">
        <f>'Test 4-Stats'!CX280</f>
        <v>Active</v>
      </c>
      <c r="R282" s="79"/>
      <c r="S282" s="79"/>
      <c r="T282" s="79"/>
      <c r="U282" s="79"/>
      <c r="V282" s="79"/>
      <c r="W282" s="79"/>
      <c r="X282" s="79"/>
      <c r="Y282" s="79"/>
      <c r="Z282" s="79"/>
    </row>
    <row r="283" ht="14.25" customHeight="1">
      <c r="A283" s="76" t="str">
        <f>'Test 4-Stats'!S281</f>
        <v>Reg 282</v>
      </c>
      <c r="B283" s="77">
        <f>'Test 4-Stats'!Y281</f>
        <v>2020</v>
      </c>
      <c r="C283" s="77" t="str">
        <f>'Test 4-Stats'!W281</f>
        <v>ISUZU</v>
      </c>
      <c r="D283" s="77" t="str">
        <f>'Test 4-Stats'!V281</f>
        <v>ONE TON LDV SINGLE CAB</v>
      </c>
      <c r="E283" s="77" t="str">
        <f>'Test 4-Stats'!X281</f>
        <v>D-MAX 250 HO FLEETSIDE (SAFETY)</v>
      </c>
      <c r="F283" s="77" t="str">
        <f t="array" ref="F283:G283">'Test 4-Stats'!Z281:AA281</f>
        <v>DIESEL</v>
      </c>
      <c r="G283" s="77">
        <v>2498.0</v>
      </c>
      <c r="H283" s="77" t="str">
        <f t="array" ref="H283:M283">'Test 4-Stats'!C281:H281</f>
        <v>Business Unit 2</v>
      </c>
      <c r="I283" s="77" t="s">
        <v>125</v>
      </c>
      <c r="J283" s="77" t="s">
        <v>126</v>
      </c>
      <c r="K283" s="77" t="s">
        <v>112</v>
      </c>
      <c r="L283" s="77" t="s">
        <v>113</v>
      </c>
      <c r="M283" s="77" t="s">
        <v>141</v>
      </c>
      <c r="N283" s="78">
        <f t="array" ref="N283:P283">'Test 4-Stats'!AL281:AN281</f>
        <v>44013</v>
      </c>
      <c r="O283" s="78">
        <v>45962.0</v>
      </c>
      <c r="P283" s="77">
        <v>60.0</v>
      </c>
      <c r="Q283" s="77" t="str">
        <f>'Test 4-Stats'!CX281</f>
        <v>Active</v>
      </c>
      <c r="R283" s="79"/>
      <c r="S283" s="79"/>
      <c r="T283" s="79"/>
      <c r="U283" s="79"/>
      <c r="V283" s="79"/>
      <c r="W283" s="79"/>
      <c r="X283" s="79"/>
      <c r="Y283" s="79"/>
      <c r="Z283" s="79"/>
    </row>
    <row r="284" ht="14.25" customHeight="1">
      <c r="A284" s="76" t="str">
        <f>'Test 4-Stats'!S282</f>
        <v>Reg 283</v>
      </c>
      <c r="B284" s="77">
        <f>'Test 4-Stats'!Y282</f>
        <v>2020</v>
      </c>
      <c r="C284" s="77" t="str">
        <f>'Test 4-Stats'!W282</f>
        <v>ISUZU</v>
      </c>
      <c r="D284" s="77" t="str">
        <f>'Test 4-Stats'!V282</f>
        <v>ONE TON LDV SINGLE CAB</v>
      </c>
      <c r="E284" s="77" t="str">
        <f>'Test 4-Stats'!X282</f>
        <v>D-MAX 250 HO FLEETSIDE (SAFETY)</v>
      </c>
      <c r="F284" s="77" t="str">
        <f t="array" ref="F284:G284">'Test 4-Stats'!Z282:AA282</f>
        <v>DIESEL</v>
      </c>
      <c r="G284" s="77">
        <v>2498.0</v>
      </c>
      <c r="H284" s="77" t="str">
        <f t="array" ref="H284:M284">'Test 4-Stats'!C282:H282</f>
        <v>Business Unit 3</v>
      </c>
      <c r="I284" s="77" t="s">
        <v>137</v>
      </c>
      <c r="J284" s="77" t="s">
        <v>138</v>
      </c>
      <c r="K284" s="77" t="s">
        <v>112</v>
      </c>
      <c r="L284" s="77" t="s">
        <v>113</v>
      </c>
      <c r="M284" s="77" t="s">
        <v>114</v>
      </c>
      <c r="N284" s="78">
        <f t="array" ref="N284:P284">'Test 4-Stats'!AL282:AN282</f>
        <v>44013</v>
      </c>
      <c r="O284" s="78">
        <v>45963.0</v>
      </c>
      <c r="P284" s="77">
        <v>60.0</v>
      </c>
      <c r="Q284" s="77" t="str">
        <f>'Test 4-Stats'!CX282</f>
        <v>Active</v>
      </c>
      <c r="R284" s="79"/>
      <c r="S284" s="79"/>
      <c r="T284" s="79"/>
      <c r="U284" s="79"/>
      <c r="V284" s="79"/>
      <c r="W284" s="79"/>
      <c r="X284" s="79"/>
      <c r="Y284" s="79"/>
      <c r="Z284" s="79"/>
    </row>
    <row r="285" ht="14.25" customHeight="1">
      <c r="A285" s="76" t="str">
        <f>'Test 4-Stats'!S283</f>
        <v>Reg 284</v>
      </c>
      <c r="B285" s="77">
        <f>'Test 4-Stats'!Y283</f>
        <v>2020</v>
      </c>
      <c r="C285" s="77" t="str">
        <f>'Test 4-Stats'!W283</f>
        <v>TOYOTA</v>
      </c>
      <c r="D285" s="77" t="str">
        <f>'Test 4-Stats'!V283</f>
        <v>ONE TON LDV DOUBLE CAB</v>
      </c>
      <c r="E285" s="77" t="str">
        <f>'Test 4-Stats'!X283</f>
        <v>HILUX 2.8 GD-6 D/CAB 4X4 RAIDER</v>
      </c>
      <c r="F285" s="77" t="str">
        <f t="array" ref="F285:G285">'Test 4-Stats'!Z283:AA283</f>
        <v>DIESEL</v>
      </c>
      <c r="G285" s="77">
        <v>2798.0</v>
      </c>
      <c r="H285" s="77" t="str">
        <f t="array" ref="H285:M285">'Test 4-Stats'!C283:H283</f>
        <v>Business Unit 1</v>
      </c>
      <c r="I285" s="77" t="s">
        <v>110</v>
      </c>
      <c r="J285" s="77" t="s">
        <v>111</v>
      </c>
      <c r="K285" s="77" t="s">
        <v>112</v>
      </c>
      <c r="L285" s="77" t="s">
        <v>113</v>
      </c>
      <c r="M285" s="77" t="s">
        <v>129</v>
      </c>
      <c r="N285" s="78">
        <f t="array" ref="N285:P285">'Test 4-Stats'!AL283:AN283</f>
        <v>44013</v>
      </c>
      <c r="O285" s="78">
        <v>45964.0</v>
      </c>
      <c r="P285" s="77">
        <v>60.0</v>
      </c>
      <c r="Q285" s="77" t="str">
        <f>'Test 4-Stats'!CX283</f>
        <v>Active</v>
      </c>
      <c r="R285" s="79"/>
      <c r="S285" s="79"/>
      <c r="T285" s="79"/>
      <c r="U285" s="79"/>
      <c r="V285" s="79"/>
      <c r="W285" s="79"/>
      <c r="X285" s="79"/>
      <c r="Y285" s="79"/>
      <c r="Z285" s="79"/>
    </row>
    <row r="286" ht="14.25" customHeight="1">
      <c r="A286" s="76" t="str">
        <f>'Test 4-Stats'!S284</f>
        <v>Reg 285</v>
      </c>
      <c r="B286" s="77">
        <f>'Test 4-Stats'!Y284</f>
        <v>2020</v>
      </c>
      <c r="C286" s="77" t="str">
        <f>'Test 4-Stats'!W284</f>
        <v>NISSAN</v>
      </c>
      <c r="D286" s="77" t="str">
        <f>'Test 4-Stats'!V284</f>
        <v>SEDAN</v>
      </c>
      <c r="E286" s="77" t="str">
        <f>'Test 4-Stats'!X284</f>
        <v>ALMERA 1.5 ACENTA</v>
      </c>
      <c r="F286" s="77" t="str">
        <f t="array" ref="F286:G286">'Test 4-Stats'!Z284:AA284</f>
        <v>PETROL</v>
      </c>
      <c r="G286" s="77">
        <v>1498.0</v>
      </c>
      <c r="H286" s="77" t="str">
        <f t="array" ref="H286:M286">'Test 4-Stats'!C284:H284</f>
        <v>Business Unit 2</v>
      </c>
      <c r="I286" s="77" t="s">
        <v>125</v>
      </c>
      <c r="J286" s="77" t="s">
        <v>126</v>
      </c>
      <c r="K286" s="77" t="s">
        <v>782</v>
      </c>
      <c r="L286" s="77" t="s">
        <v>113</v>
      </c>
      <c r="M286" s="77" t="s">
        <v>141</v>
      </c>
      <c r="N286" s="78">
        <f t="array" ref="N286:P286">'Test 4-Stats'!AL284:AN284</f>
        <v>44013</v>
      </c>
      <c r="O286" s="78">
        <v>45965.0</v>
      </c>
      <c r="P286" s="77">
        <v>60.0</v>
      </c>
      <c r="Q286" s="77" t="str">
        <f>'Test 4-Stats'!CX284</f>
        <v>Active</v>
      </c>
      <c r="R286" s="79"/>
      <c r="S286" s="79"/>
      <c r="T286" s="79"/>
      <c r="U286" s="79"/>
      <c r="V286" s="79"/>
      <c r="W286" s="79"/>
      <c r="X286" s="79"/>
      <c r="Y286" s="79"/>
      <c r="Z286" s="79"/>
    </row>
    <row r="287" ht="14.25" customHeight="1">
      <c r="A287" s="76" t="str">
        <f>'Test 4-Stats'!S285</f>
        <v>Reg 286</v>
      </c>
      <c r="B287" s="77">
        <f>'Test 4-Stats'!Y285</f>
        <v>2020</v>
      </c>
      <c r="C287" s="77" t="str">
        <f>'Test 4-Stats'!W285</f>
        <v>NISSAN</v>
      </c>
      <c r="D287" s="77" t="str">
        <f>'Test 4-Stats'!V285</f>
        <v>SEDAN</v>
      </c>
      <c r="E287" s="77" t="str">
        <f>'Test 4-Stats'!X285</f>
        <v>ALMERA 1.5 ACENTA</v>
      </c>
      <c r="F287" s="77" t="str">
        <f t="array" ref="F287:G287">'Test 4-Stats'!Z285:AA285</f>
        <v>PETROL</v>
      </c>
      <c r="G287" s="77">
        <v>1498.0</v>
      </c>
      <c r="H287" s="77" t="str">
        <f t="array" ref="H287:M287">'Test 4-Stats'!C285:H285</f>
        <v>Business Unit 3</v>
      </c>
      <c r="I287" s="77" t="s">
        <v>137</v>
      </c>
      <c r="J287" s="77" t="s">
        <v>138</v>
      </c>
      <c r="K287" s="77" t="s">
        <v>112</v>
      </c>
      <c r="L287" s="77" t="s">
        <v>113</v>
      </c>
      <c r="M287" s="77" t="s">
        <v>114</v>
      </c>
      <c r="N287" s="78">
        <f t="array" ref="N287:P287">'Test 4-Stats'!AL285:AN285</f>
        <v>44013</v>
      </c>
      <c r="O287" s="78">
        <v>45966.0</v>
      </c>
      <c r="P287" s="77">
        <v>60.0</v>
      </c>
      <c r="Q287" s="77" t="str">
        <f>'Test 4-Stats'!CX285</f>
        <v>Active</v>
      </c>
      <c r="R287" s="79"/>
      <c r="S287" s="79"/>
      <c r="T287" s="79"/>
      <c r="U287" s="79"/>
      <c r="V287" s="79"/>
      <c r="W287" s="79"/>
      <c r="X287" s="79"/>
      <c r="Y287" s="79"/>
      <c r="Z287" s="79"/>
    </row>
    <row r="288" ht="14.25" customHeight="1">
      <c r="A288" s="76" t="str">
        <f>'Test 4-Stats'!S286</f>
        <v>Reg 287</v>
      </c>
      <c r="B288" s="77">
        <f>'Test 4-Stats'!Y286</f>
        <v>2020</v>
      </c>
      <c r="C288" s="77" t="str">
        <f>'Test 4-Stats'!W286</f>
        <v>NISSAN</v>
      </c>
      <c r="D288" s="77" t="str">
        <f>'Test 4-Stats'!V286</f>
        <v>SEDAN</v>
      </c>
      <c r="E288" s="77" t="str">
        <f>'Test 4-Stats'!X286</f>
        <v>ALMERA 1.5 ACENTA</v>
      </c>
      <c r="F288" s="77" t="str">
        <f t="array" ref="F288:G288">'Test 4-Stats'!Z286:AA286</f>
        <v>PETROL</v>
      </c>
      <c r="G288" s="77">
        <v>1498.0</v>
      </c>
      <c r="H288" s="77" t="str">
        <f t="array" ref="H288:M288">'Test 4-Stats'!C286:H286</f>
        <v>Business Unit 1</v>
      </c>
      <c r="I288" s="77" t="s">
        <v>110</v>
      </c>
      <c r="J288" s="77" t="s">
        <v>111</v>
      </c>
      <c r="K288" s="77" t="s">
        <v>112</v>
      </c>
      <c r="L288" s="77" t="s">
        <v>113</v>
      </c>
      <c r="M288" s="77" t="s">
        <v>129</v>
      </c>
      <c r="N288" s="78">
        <f t="array" ref="N288:P288">'Test 4-Stats'!AL286:AN286</f>
        <v>44013</v>
      </c>
      <c r="O288" s="78">
        <v>46148.0</v>
      </c>
      <c r="P288" s="77">
        <v>60.0</v>
      </c>
      <c r="Q288" s="77" t="str">
        <f>'Test 4-Stats'!CX286</f>
        <v>Active</v>
      </c>
      <c r="R288" s="79"/>
      <c r="S288" s="79"/>
      <c r="T288" s="79"/>
      <c r="U288" s="79"/>
      <c r="V288" s="79"/>
      <c r="W288" s="79"/>
      <c r="X288" s="79"/>
      <c r="Y288" s="79"/>
      <c r="Z288" s="79"/>
    </row>
    <row r="289" ht="14.25" customHeight="1">
      <c r="A289" s="76" t="str">
        <f>'Test 4-Stats'!S287</f>
        <v>Reg 288</v>
      </c>
      <c r="B289" s="77">
        <f>'Test 4-Stats'!Y287</f>
        <v>2020</v>
      </c>
      <c r="C289" s="77" t="str">
        <f>'Test 4-Stats'!W287</f>
        <v>NISSAN</v>
      </c>
      <c r="D289" s="77" t="str">
        <f>'Test 4-Stats'!V287</f>
        <v>SEDAN</v>
      </c>
      <c r="E289" s="77" t="str">
        <f>'Test 4-Stats'!X287</f>
        <v>ALMERA 1.5 ACENTA</v>
      </c>
      <c r="F289" s="77" t="str">
        <f t="array" ref="F289:G289">'Test 4-Stats'!Z287:AA287</f>
        <v>PETROL</v>
      </c>
      <c r="G289" s="77">
        <v>1498.0</v>
      </c>
      <c r="H289" s="77" t="str">
        <f t="array" ref="H289:M289">'Test 4-Stats'!C287:H287</f>
        <v>Business Unit 2</v>
      </c>
      <c r="I289" s="77" t="s">
        <v>125</v>
      </c>
      <c r="J289" s="77" t="s">
        <v>126</v>
      </c>
      <c r="K289" s="77" t="s">
        <v>112</v>
      </c>
      <c r="L289" s="77" t="s">
        <v>113</v>
      </c>
      <c r="M289" s="77" t="s">
        <v>141</v>
      </c>
      <c r="N289" s="78">
        <f t="array" ref="N289:P289">'Test 4-Stats'!AL287:AN287</f>
        <v>44013</v>
      </c>
      <c r="O289" s="78">
        <v>45968.0</v>
      </c>
      <c r="P289" s="77">
        <v>60.0</v>
      </c>
      <c r="Q289" s="77" t="str">
        <f>'Test 4-Stats'!CX287</f>
        <v>Active</v>
      </c>
      <c r="R289" s="79"/>
      <c r="S289" s="79"/>
      <c r="T289" s="79"/>
      <c r="U289" s="79"/>
      <c r="V289" s="79"/>
      <c r="W289" s="79"/>
      <c r="X289" s="79"/>
      <c r="Y289" s="79"/>
      <c r="Z289" s="79"/>
    </row>
    <row r="290" ht="14.25" customHeight="1">
      <c r="A290" s="76" t="str">
        <f>'Test 4-Stats'!S288</f>
        <v>Reg 289</v>
      </c>
      <c r="B290" s="77">
        <f>'Test 4-Stats'!Y288</f>
        <v>2020</v>
      </c>
      <c r="C290" s="77" t="str">
        <f>'Test 4-Stats'!W288</f>
        <v>NISSAN</v>
      </c>
      <c r="D290" s="77" t="str">
        <f>'Test 4-Stats'!V288</f>
        <v>HALF TON LDV</v>
      </c>
      <c r="E290" s="77" t="str">
        <f>'Test 4-Stats'!X288</f>
        <v>NP200 1.6 8V AC SAFETY PACK</v>
      </c>
      <c r="F290" s="77" t="str">
        <f t="array" ref="F290:G290">'Test 4-Stats'!Z288:AA288</f>
        <v>PETROL</v>
      </c>
      <c r="G290" s="77">
        <v>1598.0</v>
      </c>
      <c r="H290" s="77" t="str">
        <f t="array" ref="H290:M290">'Test 4-Stats'!C288:H288</f>
        <v>Business Unit 3</v>
      </c>
      <c r="I290" s="77" t="s">
        <v>137</v>
      </c>
      <c r="J290" s="77" t="s">
        <v>138</v>
      </c>
      <c r="K290" s="77" t="s">
        <v>112</v>
      </c>
      <c r="L290" s="77" t="s">
        <v>113</v>
      </c>
      <c r="M290" s="77" t="s">
        <v>114</v>
      </c>
      <c r="N290" s="78">
        <f t="array" ref="N290:P290">'Test 4-Stats'!AL288:AN288</f>
        <v>44013</v>
      </c>
      <c r="O290" s="78">
        <v>45969.0</v>
      </c>
      <c r="P290" s="77">
        <v>60.0</v>
      </c>
      <c r="Q290" s="77" t="str">
        <f>'Test 4-Stats'!CX288</f>
        <v>Active</v>
      </c>
      <c r="R290" s="79"/>
      <c r="S290" s="79"/>
      <c r="T290" s="79"/>
      <c r="U290" s="79"/>
      <c r="V290" s="79"/>
      <c r="W290" s="79"/>
      <c r="X290" s="79"/>
      <c r="Y290" s="79"/>
      <c r="Z290" s="79"/>
    </row>
    <row r="291" ht="14.25" customHeight="1">
      <c r="A291" s="76" t="str">
        <f>'Test 4-Stats'!S289</f>
        <v>Reg 290</v>
      </c>
      <c r="B291" s="77">
        <f>'Test 4-Stats'!Y289</f>
        <v>2020</v>
      </c>
      <c r="C291" s="77" t="str">
        <f>'Test 4-Stats'!W289</f>
        <v>NISSAN</v>
      </c>
      <c r="D291" s="77" t="str">
        <f>'Test 4-Stats'!V289</f>
        <v>SEDAN</v>
      </c>
      <c r="E291" s="77" t="str">
        <f>'Test 4-Stats'!X289</f>
        <v>ALMERA 1.5 ACENTA</v>
      </c>
      <c r="F291" s="77" t="str">
        <f t="array" ref="F291:G291">'Test 4-Stats'!Z289:AA289</f>
        <v>PETROL</v>
      </c>
      <c r="G291" s="77">
        <v>1498.0</v>
      </c>
      <c r="H291" s="77" t="str">
        <f t="array" ref="H291:M291">'Test 4-Stats'!C289:H289</f>
        <v>Business Unit 1</v>
      </c>
      <c r="I291" s="77" t="s">
        <v>110</v>
      </c>
      <c r="J291" s="77" t="s">
        <v>111</v>
      </c>
      <c r="K291" s="77" t="s">
        <v>112</v>
      </c>
      <c r="L291" s="77" t="s">
        <v>113</v>
      </c>
      <c r="M291" s="77" t="s">
        <v>129</v>
      </c>
      <c r="N291" s="78">
        <f t="array" ref="N291:P291">'Test 4-Stats'!AL289:AN289</f>
        <v>44013</v>
      </c>
      <c r="O291" s="78">
        <v>45970.0</v>
      </c>
      <c r="P291" s="77">
        <v>60.0</v>
      </c>
      <c r="Q291" s="77" t="str">
        <f>'Test 4-Stats'!CX289</f>
        <v>Active</v>
      </c>
      <c r="R291" s="79"/>
      <c r="S291" s="79"/>
      <c r="T291" s="79"/>
      <c r="U291" s="79"/>
      <c r="V291" s="79"/>
      <c r="W291" s="79"/>
      <c r="X291" s="79"/>
      <c r="Y291" s="79"/>
      <c r="Z291" s="79"/>
    </row>
    <row r="292" ht="14.25" customHeight="1">
      <c r="A292" s="76" t="str">
        <f>'Test 4-Stats'!S290</f>
        <v>Reg 291</v>
      </c>
      <c r="B292" s="77">
        <f>'Test 4-Stats'!Y290</f>
        <v>2020</v>
      </c>
      <c r="C292" s="77" t="str">
        <f>'Test 4-Stats'!W290</f>
        <v>NISSAN</v>
      </c>
      <c r="D292" s="77" t="str">
        <f>'Test 4-Stats'!V290</f>
        <v>SEDAN</v>
      </c>
      <c r="E292" s="77" t="str">
        <f>'Test 4-Stats'!X290</f>
        <v>ALMERA 1.5 ACENTA</v>
      </c>
      <c r="F292" s="77" t="str">
        <f t="array" ref="F292:G292">'Test 4-Stats'!Z290:AA290</f>
        <v>PETROL</v>
      </c>
      <c r="G292" s="77">
        <v>1498.0</v>
      </c>
      <c r="H292" s="77" t="str">
        <f t="array" ref="H292:M292">'Test 4-Stats'!C290:H290</f>
        <v>Business Unit 2</v>
      </c>
      <c r="I292" s="77" t="s">
        <v>125</v>
      </c>
      <c r="J292" s="77" t="s">
        <v>126</v>
      </c>
      <c r="K292" s="77" t="s">
        <v>112</v>
      </c>
      <c r="L292" s="77" t="s">
        <v>113</v>
      </c>
      <c r="M292" s="77" t="s">
        <v>141</v>
      </c>
      <c r="N292" s="78">
        <f t="array" ref="N292:P292">'Test 4-Stats'!AL290:AN290</f>
        <v>44013</v>
      </c>
      <c r="O292" s="78">
        <v>45971.0</v>
      </c>
      <c r="P292" s="77">
        <v>60.0</v>
      </c>
      <c r="Q292" s="77" t="str">
        <f>'Test 4-Stats'!CX290</f>
        <v>Active</v>
      </c>
      <c r="R292" s="79"/>
      <c r="S292" s="79"/>
      <c r="T292" s="79"/>
      <c r="U292" s="79"/>
      <c r="V292" s="79"/>
      <c r="W292" s="79"/>
      <c r="X292" s="79"/>
      <c r="Y292" s="79"/>
      <c r="Z292" s="79"/>
    </row>
    <row r="293" ht="14.25" customHeight="1">
      <c r="A293" s="76" t="str">
        <f>'Test 4-Stats'!S291</f>
        <v>Reg 292</v>
      </c>
      <c r="B293" s="77">
        <f>'Test 4-Stats'!Y291</f>
        <v>2020</v>
      </c>
      <c r="C293" s="77" t="str">
        <f>'Test 4-Stats'!W291</f>
        <v>NISSAN</v>
      </c>
      <c r="D293" s="77" t="str">
        <f>'Test 4-Stats'!V291</f>
        <v>SEDAN</v>
      </c>
      <c r="E293" s="77" t="str">
        <f>'Test 4-Stats'!X291</f>
        <v>ALMERA 1.5 ACENTA</v>
      </c>
      <c r="F293" s="77" t="str">
        <f t="array" ref="F293:G293">'Test 4-Stats'!Z291:AA291</f>
        <v>PETROL</v>
      </c>
      <c r="G293" s="77">
        <v>1498.0</v>
      </c>
      <c r="H293" s="77" t="str">
        <f t="array" ref="H293:M293">'Test 4-Stats'!C291:H291</f>
        <v>Business Unit 3</v>
      </c>
      <c r="I293" s="77" t="s">
        <v>137</v>
      </c>
      <c r="J293" s="77" t="s">
        <v>138</v>
      </c>
      <c r="K293" s="77" t="s">
        <v>112</v>
      </c>
      <c r="L293" s="77" t="s">
        <v>113</v>
      </c>
      <c r="M293" s="77" t="s">
        <v>114</v>
      </c>
      <c r="N293" s="78">
        <f t="array" ref="N293:P293">'Test 4-Stats'!AL291:AN291</f>
        <v>44013</v>
      </c>
      <c r="O293" s="78">
        <v>45972.0</v>
      </c>
      <c r="P293" s="77">
        <v>60.0</v>
      </c>
      <c r="Q293" s="77" t="str">
        <f>'Test 4-Stats'!CX291</f>
        <v>Active</v>
      </c>
      <c r="R293" s="79"/>
      <c r="S293" s="79"/>
      <c r="T293" s="79"/>
      <c r="U293" s="79"/>
      <c r="V293" s="79"/>
      <c r="W293" s="79"/>
      <c r="X293" s="79"/>
      <c r="Y293" s="79"/>
      <c r="Z293" s="79"/>
    </row>
    <row r="294" ht="14.25" customHeight="1">
      <c r="A294" s="76" t="str">
        <f>'Test 4-Stats'!S292</f>
        <v>Reg 293</v>
      </c>
      <c r="B294" s="77">
        <f>'Test 4-Stats'!Y292</f>
        <v>2020</v>
      </c>
      <c r="C294" s="77" t="str">
        <f>'Test 4-Stats'!W292</f>
        <v>NISSAN</v>
      </c>
      <c r="D294" s="77" t="str">
        <f>'Test 4-Stats'!V292</f>
        <v>HALF TON LDV</v>
      </c>
      <c r="E294" s="77" t="str">
        <f>'Test 4-Stats'!X292</f>
        <v>NP200 1.6 8V AC SAFETY PACK</v>
      </c>
      <c r="F294" s="77" t="str">
        <f t="array" ref="F294:G294">'Test 4-Stats'!Z292:AA292</f>
        <v>PETROL</v>
      </c>
      <c r="G294" s="77">
        <v>1598.0</v>
      </c>
      <c r="H294" s="77" t="str">
        <f t="array" ref="H294:M294">'Test 4-Stats'!C292:H292</f>
        <v>Business Unit 1</v>
      </c>
      <c r="I294" s="77" t="s">
        <v>110</v>
      </c>
      <c r="J294" s="77" t="s">
        <v>111</v>
      </c>
      <c r="K294" s="77" t="s">
        <v>112</v>
      </c>
      <c r="L294" s="77" t="s">
        <v>113</v>
      </c>
      <c r="M294" s="77" t="s">
        <v>129</v>
      </c>
      <c r="N294" s="78">
        <f t="array" ref="N294:P294">'Test 4-Stats'!AL292:AN292</f>
        <v>44013</v>
      </c>
      <c r="O294" s="78">
        <v>46034.0</v>
      </c>
      <c r="P294" s="77">
        <v>60.0</v>
      </c>
      <c r="Q294" s="77" t="str">
        <f>'Test 4-Stats'!CX292</f>
        <v>Active</v>
      </c>
      <c r="R294" s="79"/>
      <c r="S294" s="79"/>
      <c r="T294" s="79"/>
      <c r="U294" s="79"/>
      <c r="V294" s="79"/>
      <c r="W294" s="79"/>
      <c r="X294" s="79"/>
      <c r="Y294" s="79"/>
      <c r="Z294" s="79"/>
    </row>
    <row r="295" ht="14.25" customHeight="1">
      <c r="A295" s="76" t="str">
        <f>'Test 4-Stats'!S293</f>
        <v>Reg 294</v>
      </c>
      <c r="B295" s="77">
        <f>'Test 4-Stats'!Y293</f>
        <v>2020</v>
      </c>
      <c r="C295" s="77" t="str">
        <f>'Test 4-Stats'!W293</f>
        <v>ISUZU</v>
      </c>
      <c r="D295" s="77" t="str">
        <f>'Test 4-Stats'!V293</f>
        <v>ONE TON LDV DOUBLE CAB</v>
      </c>
      <c r="E295" s="77" t="str">
        <f>'Test 4-Stats'!X293</f>
        <v>D-MAX 250 HO HI-RIDER D/CAB 4X4</v>
      </c>
      <c r="F295" s="77" t="str">
        <f t="array" ref="F295:G295">'Test 4-Stats'!Z293:AA293</f>
        <v>DIESEL</v>
      </c>
      <c r="G295" s="77">
        <v>2498.0</v>
      </c>
      <c r="H295" s="77" t="str">
        <f t="array" ref="H295:M295">'Test 4-Stats'!C293:H293</f>
        <v>Business Unit 2</v>
      </c>
      <c r="I295" s="77" t="s">
        <v>125</v>
      </c>
      <c r="J295" s="77" t="s">
        <v>126</v>
      </c>
      <c r="K295" s="77" t="s">
        <v>112</v>
      </c>
      <c r="L295" s="77" t="s">
        <v>113</v>
      </c>
      <c r="M295" s="77" t="s">
        <v>141</v>
      </c>
      <c r="N295" s="78">
        <f t="array" ref="N295:P295">'Test 4-Stats'!AL293:AN293</f>
        <v>44013</v>
      </c>
      <c r="O295" s="78">
        <v>45974.0</v>
      </c>
      <c r="P295" s="77">
        <v>60.0</v>
      </c>
      <c r="Q295" s="77" t="str">
        <f>'Test 4-Stats'!CX293</f>
        <v>Active</v>
      </c>
      <c r="R295" s="79"/>
      <c r="S295" s="79"/>
      <c r="T295" s="79"/>
      <c r="U295" s="79"/>
      <c r="V295" s="79"/>
      <c r="W295" s="79"/>
      <c r="X295" s="79"/>
      <c r="Y295" s="79"/>
      <c r="Z295" s="79"/>
    </row>
    <row r="296" ht="14.25" customHeight="1">
      <c r="A296" s="76" t="str">
        <f>'Test 4-Stats'!S294</f>
        <v>Reg 295</v>
      </c>
      <c r="B296" s="77">
        <f>'Test 4-Stats'!Y294</f>
        <v>2020</v>
      </c>
      <c r="C296" s="77" t="str">
        <f>'Test 4-Stats'!W294</f>
        <v>ISUZU</v>
      </c>
      <c r="D296" s="77" t="str">
        <f>'Test 4-Stats'!V294</f>
        <v>ONE TON LDV SINGLE CAB</v>
      </c>
      <c r="E296" s="77" t="str">
        <f>'Test 4-Stats'!X294</f>
        <v>D-MAX 250 HO FLEETSIDE (SAFETY)</v>
      </c>
      <c r="F296" s="77" t="str">
        <f t="array" ref="F296:G296">'Test 4-Stats'!Z294:AA294</f>
        <v>DIESEL</v>
      </c>
      <c r="G296" s="77">
        <v>2498.0</v>
      </c>
      <c r="H296" s="77" t="str">
        <f t="array" ref="H296:M296">'Test 4-Stats'!C294:H294</f>
        <v>Business Unit 3</v>
      </c>
      <c r="I296" s="77" t="s">
        <v>137</v>
      </c>
      <c r="J296" s="77" t="s">
        <v>138</v>
      </c>
      <c r="K296" s="77" t="s">
        <v>782</v>
      </c>
      <c r="L296" s="77" t="s">
        <v>113</v>
      </c>
      <c r="M296" s="77" t="s">
        <v>114</v>
      </c>
      <c r="N296" s="78">
        <f t="array" ref="N296:P296">'Test 4-Stats'!AL294:AN294</f>
        <v>44013</v>
      </c>
      <c r="O296" s="78">
        <v>45975.0</v>
      </c>
      <c r="P296" s="77">
        <v>60.0</v>
      </c>
      <c r="Q296" s="77" t="str">
        <f>'Test 4-Stats'!CX294</f>
        <v>Active</v>
      </c>
      <c r="R296" s="79"/>
      <c r="S296" s="79"/>
      <c r="T296" s="79"/>
      <c r="U296" s="79"/>
      <c r="V296" s="79"/>
      <c r="W296" s="79"/>
      <c r="X296" s="79"/>
      <c r="Y296" s="79"/>
      <c r="Z296" s="79"/>
    </row>
    <row r="297" ht="14.25" customHeight="1">
      <c r="A297" s="76" t="str">
        <f>'Test 4-Stats'!S295</f>
        <v>Reg 296</v>
      </c>
      <c r="B297" s="77">
        <f>'Test 4-Stats'!Y295</f>
        <v>2020</v>
      </c>
      <c r="C297" s="77" t="str">
        <f>'Test 4-Stats'!W295</f>
        <v>ISUZU</v>
      </c>
      <c r="D297" s="77" t="str">
        <f>'Test 4-Stats'!V295</f>
        <v>ONE TON LDV DOUBLE CAB</v>
      </c>
      <c r="E297" s="77" t="str">
        <f>'Test 4-Stats'!X295</f>
        <v>D-MAX 250 HO HI-RIDER D/CAB 4X4</v>
      </c>
      <c r="F297" s="77" t="str">
        <f t="array" ref="F297:G297">'Test 4-Stats'!Z295:AA295</f>
        <v>DIESEL</v>
      </c>
      <c r="G297" s="77">
        <v>2498.0</v>
      </c>
      <c r="H297" s="77" t="str">
        <f t="array" ref="H297:M297">'Test 4-Stats'!C295:H295</f>
        <v>Business Unit 1</v>
      </c>
      <c r="I297" s="77" t="s">
        <v>110</v>
      </c>
      <c r="J297" s="77" t="s">
        <v>111</v>
      </c>
      <c r="K297" s="77" t="s">
        <v>112</v>
      </c>
      <c r="L297" s="77" t="s">
        <v>113</v>
      </c>
      <c r="M297" s="77" t="s">
        <v>129</v>
      </c>
      <c r="N297" s="78">
        <f t="array" ref="N297:P297">'Test 4-Stats'!AL295:AN295</f>
        <v>44013</v>
      </c>
      <c r="O297" s="78">
        <v>45976.0</v>
      </c>
      <c r="P297" s="77">
        <v>60.0</v>
      </c>
      <c r="Q297" s="77" t="str">
        <f>'Test 4-Stats'!CX295</f>
        <v>Active</v>
      </c>
      <c r="R297" s="79"/>
      <c r="S297" s="79"/>
      <c r="T297" s="79"/>
      <c r="U297" s="79"/>
      <c r="V297" s="79"/>
      <c r="W297" s="79"/>
      <c r="X297" s="79"/>
      <c r="Y297" s="79"/>
      <c r="Z297" s="79"/>
    </row>
    <row r="298" ht="14.25" customHeight="1">
      <c r="A298" s="76" t="str">
        <f>'Test 4-Stats'!S296</f>
        <v>Reg 297</v>
      </c>
      <c r="B298" s="77">
        <f>'Test 4-Stats'!Y296</f>
        <v>2020</v>
      </c>
      <c r="C298" s="77" t="str">
        <f>'Test 4-Stats'!W296</f>
        <v>ISUZU</v>
      </c>
      <c r="D298" s="77" t="str">
        <f>'Test 4-Stats'!V296</f>
        <v>ONE TON LDV DOUBLE CAB</v>
      </c>
      <c r="E298" s="77" t="str">
        <f>'Test 4-Stats'!X296</f>
        <v>D-MAX 250 HO HI-RIDER D/CAB</v>
      </c>
      <c r="F298" s="77" t="str">
        <f t="array" ref="F298:G298">'Test 4-Stats'!Z296:AA296</f>
        <v>DIESEL</v>
      </c>
      <c r="G298" s="77">
        <v>2498.0</v>
      </c>
      <c r="H298" s="77" t="str">
        <f t="array" ref="H298:M298">'Test 4-Stats'!C296:H296</f>
        <v>Business Unit 2</v>
      </c>
      <c r="I298" s="77" t="s">
        <v>125</v>
      </c>
      <c r="J298" s="77" t="s">
        <v>126</v>
      </c>
      <c r="K298" s="77" t="s">
        <v>112</v>
      </c>
      <c r="L298" s="77" t="s">
        <v>113</v>
      </c>
      <c r="M298" s="77" t="s">
        <v>141</v>
      </c>
      <c r="N298" s="78">
        <f t="array" ref="N298:P298">'Test 4-Stats'!AL296:AN296</f>
        <v>44013</v>
      </c>
      <c r="O298" s="78">
        <v>45977.0</v>
      </c>
      <c r="P298" s="77">
        <v>60.0</v>
      </c>
      <c r="Q298" s="77" t="str">
        <f>'Test 4-Stats'!CX296</f>
        <v>Active</v>
      </c>
      <c r="R298" s="79"/>
      <c r="S298" s="79"/>
      <c r="T298" s="79"/>
      <c r="U298" s="79"/>
      <c r="V298" s="79"/>
      <c r="W298" s="79"/>
      <c r="X298" s="79"/>
      <c r="Y298" s="79"/>
      <c r="Z298" s="79"/>
    </row>
    <row r="299" ht="14.25" customHeight="1">
      <c r="A299" s="76" t="str">
        <f>'Test 4-Stats'!S297</f>
        <v>Reg 298</v>
      </c>
      <c r="B299" s="77">
        <f>'Test 4-Stats'!Y297</f>
        <v>2020</v>
      </c>
      <c r="C299" s="77" t="str">
        <f>'Test 4-Stats'!W297</f>
        <v>HYUNDAI</v>
      </c>
      <c r="D299" s="77" t="str">
        <f>'Test 4-Stats'!V297</f>
        <v>MINIBUS</v>
      </c>
      <c r="E299" s="77" t="str">
        <f>'Test 4-Stats'!X297</f>
        <v>H1 2.5 VGTi 9-SEATER BUS AT</v>
      </c>
      <c r="F299" s="77" t="str">
        <f t="array" ref="F299:G299">'Test 4-Stats'!Z297:AA297</f>
        <v>DIESEL</v>
      </c>
      <c r="G299" s="77">
        <v>2498.0</v>
      </c>
      <c r="H299" s="77" t="str">
        <f t="array" ref="H299:M299">'Test 4-Stats'!C297:H297</f>
        <v>Business Unit 1</v>
      </c>
      <c r="I299" s="77" t="s">
        <v>137</v>
      </c>
      <c r="J299" s="77" t="s">
        <v>138</v>
      </c>
      <c r="K299" s="77" t="s">
        <v>112</v>
      </c>
      <c r="L299" s="77" t="s">
        <v>113</v>
      </c>
      <c r="M299" s="77" t="s">
        <v>114</v>
      </c>
      <c r="N299" s="78">
        <f t="array" ref="N299:P299">'Test 4-Stats'!AL297:AN297</f>
        <v>44013</v>
      </c>
      <c r="O299" s="78">
        <v>45978.0</v>
      </c>
      <c r="P299" s="77">
        <v>60.0</v>
      </c>
      <c r="Q299" s="77" t="str">
        <f>'Test 4-Stats'!CX297</f>
        <v>Active</v>
      </c>
      <c r="R299" s="79"/>
      <c r="S299" s="79"/>
      <c r="T299" s="79"/>
      <c r="U299" s="79"/>
      <c r="V299" s="79"/>
      <c r="W299" s="79"/>
      <c r="X299" s="79"/>
      <c r="Y299" s="79"/>
      <c r="Z299" s="79"/>
    </row>
    <row r="300" ht="14.25" customHeight="1">
      <c r="A300" s="76" t="str">
        <f>'Test 4-Stats'!S298</f>
        <v>Reg 299</v>
      </c>
      <c r="B300" s="77">
        <f>'Test 4-Stats'!Y298</f>
        <v>2020</v>
      </c>
      <c r="C300" s="77" t="str">
        <f>'Test 4-Stats'!W298</f>
        <v>TOYOTA</v>
      </c>
      <c r="D300" s="77" t="str">
        <f>'Test 4-Stats'!V298</f>
        <v>MINIBUS</v>
      </c>
      <c r="E300" s="77" t="str">
        <f>'Test 4-Stats'!X298</f>
        <v>QUANTUM 2.8 GL LWB 14 SEATER</v>
      </c>
      <c r="F300" s="77" t="str">
        <f t="array" ref="F300:G300">'Test 4-Stats'!Z298:AA298</f>
        <v>DIESEL</v>
      </c>
      <c r="G300" s="77">
        <v>2798.0</v>
      </c>
      <c r="H300" s="77" t="str">
        <f t="array" ref="H300:M300">'Test 4-Stats'!C298:H298</f>
        <v>Business Unit 2</v>
      </c>
      <c r="I300" s="77" t="s">
        <v>110</v>
      </c>
      <c r="J300" s="77" t="s">
        <v>111</v>
      </c>
      <c r="K300" s="77" t="s">
        <v>112</v>
      </c>
      <c r="L300" s="77" t="s">
        <v>113</v>
      </c>
      <c r="M300" s="77" t="s">
        <v>129</v>
      </c>
      <c r="N300" s="78">
        <f t="array" ref="N300:P300">'Test 4-Stats'!AL298:AN298</f>
        <v>44013</v>
      </c>
      <c r="O300" s="78">
        <v>46130.0</v>
      </c>
      <c r="P300" s="77">
        <v>60.0</v>
      </c>
      <c r="Q300" s="77" t="str">
        <f>'Test 4-Stats'!CX298</f>
        <v>Active</v>
      </c>
      <c r="R300" s="79"/>
      <c r="S300" s="79"/>
      <c r="T300" s="79"/>
      <c r="U300" s="79"/>
      <c r="V300" s="79"/>
      <c r="W300" s="79"/>
      <c r="X300" s="79"/>
      <c r="Y300" s="79"/>
      <c r="Z300" s="79"/>
    </row>
    <row r="301" ht="14.25" customHeight="1">
      <c r="A301" s="76" t="str">
        <f>'Test 4-Stats'!S299</f>
        <v>Reg 300</v>
      </c>
      <c r="B301" s="77">
        <f>'Test 4-Stats'!Y299</f>
        <v>2020</v>
      </c>
      <c r="C301" s="77" t="str">
        <f>'Test 4-Stats'!W299</f>
        <v>NISSAN</v>
      </c>
      <c r="D301" s="77" t="str">
        <f>'Test 4-Stats'!V299</f>
        <v>SEDAN</v>
      </c>
      <c r="E301" s="77" t="str">
        <f>'Test 4-Stats'!X299</f>
        <v>ALMERA 1.5 ACENTA</v>
      </c>
      <c r="F301" s="77" t="str">
        <f t="array" ref="F301:G301">'Test 4-Stats'!Z299:AA299</f>
        <v>PETROL</v>
      </c>
      <c r="G301" s="77">
        <v>1498.0</v>
      </c>
      <c r="H301" s="77" t="str">
        <f t="array" ref="H301:M301">'Test 4-Stats'!C299:H299</f>
        <v>Business Unit 3</v>
      </c>
      <c r="I301" s="77" t="s">
        <v>125</v>
      </c>
      <c r="J301" s="77" t="s">
        <v>126</v>
      </c>
      <c r="K301" s="77" t="s">
        <v>112</v>
      </c>
      <c r="L301" s="77" t="s">
        <v>113</v>
      </c>
      <c r="M301" s="77" t="s">
        <v>141</v>
      </c>
      <c r="N301" s="78">
        <f t="array" ref="N301:P301">'Test 4-Stats'!AL299:AN299</f>
        <v>44013</v>
      </c>
      <c r="O301" s="78">
        <v>45980.0</v>
      </c>
      <c r="P301" s="77">
        <v>60.0</v>
      </c>
      <c r="Q301" s="77" t="str">
        <f>'Test 4-Stats'!CX299</f>
        <v>Active</v>
      </c>
      <c r="R301" s="79"/>
      <c r="S301" s="79"/>
      <c r="T301" s="79"/>
      <c r="U301" s="79"/>
      <c r="V301" s="79"/>
      <c r="W301" s="79"/>
      <c r="X301" s="79"/>
      <c r="Y301" s="79"/>
      <c r="Z301" s="79"/>
    </row>
    <row r="302" ht="14.25" customHeight="1">
      <c r="A302" s="76" t="str">
        <f>'Test 4-Stats'!S300</f>
        <v>Reg 301</v>
      </c>
      <c r="B302" s="77">
        <f>'Test 4-Stats'!Y300</f>
        <v>2020</v>
      </c>
      <c r="C302" s="77" t="str">
        <f>'Test 4-Stats'!W300</f>
        <v>ISUZU</v>
      </c>
      <c r="D302" s="77" t="str">
        <f>'Test 4-Stats'!V300</f>
        <v>ONE TON LDV SINGLE CAB</v>
      </c>
      <c r="E302" s="77" t="str">
        <f>'Test 4-Stats'!X300</f>
        <v>D-MAX 250 HO FLEETSIDE (SAFETY)</v>
      </c>
      <c r="F302" s="77" t="str">
        <f t="array" ref="F302:G302">'Test 4-Stats'!Z300:AA300</f>
        <v>DIESEL</v>
      </c>
      <c r="G302" s="77">
        <v>2498.0</v>
      </c>
      <c r="H302" s="77" t="str">
        <f t="array" ref="H302:M302">'Test 4-Stats'!C300:H300</f>
        <v>Business Unit 1</v>
      </c>
      <c r="I302" s="77" t="s">
        <v>137</v>
      </c>
      <c r="J302" s="77" t="s">
        <v>138</v>
      </c>
      <c r="K302" s="77" t="s">
        <v>112</v>
      </c>
      <c r="L302" s="77" t="s">
        <v>113</v>
      </c>
      <c r="M302" s="77" t="s">
        <v>114</v>
      </c>
      <c r="N302" s="78">
        <f t="array" ref="N302:P302">'Test 4-Stats'!AL300:AN300</f>
        <v>44044</v>
      </c>
      <c r="O302" s="78">
        <v>45981.0</v>
      </c>
      <c r="P302" s="77">
        <v>60.0</v>
      </c>
      <c r="Q302" s="77" t="str">
        <f>'Test 4-Stats'!CX300</f>
        <v>Active</v>
      </c>
      <c r="R302" s="79"/>
      <c r="S302" s="79"/>
      <c r="T302" s="79"/>
      <c r="U302" s="79"/>
      <c r="V302" s="79"/>
      <c r="W302" s="79"/>
      <c r="X302" s="79"/>
      <c r="Y302" s="79"/>
      <c r="Z302" s="79"/>
    </row>
    <row r="303" ht="14.25" customHeight="1">
      <c r="A303" s="76" t="str">
        <f>'Test 4-Stats'!S301</f>
        <v>Reg 302</v>
      </c>
      <c r="B303" s="77">
        <f>'Test 4-Stats'!Y301</f>
        <v>2020</v>
      </c>
      <c r="C303" s="77" t="str">
        <f>'Test 4-Stats'!W301</f>
        <v>ISUZU</v>
      </c>
      <c r="D303" s="77" t="str">
        <f>'Test 4-Stats'!V301</f>
        <v>ONE TON LDV SINGLE CAB</v>
      </c>
      <c r="E303" s="77" t="str">
        <f>'Test 4-Stats'!X301</f>
        <v>D-MAX 250 HO FLEETSIDE (SAFETY)</v>
      </c>
      <c r="F303" s="77" t="str">
        <f t="array" ref="F303:G303">'Test 4-Stats'!Z301:AA301</f>
        <v>DIESEL</v>
      </c>
      <c r="G303" s="77">
        <v>2498.0</v>
      </c>
      <c r="H303" s="77" t="str">
        <f t="array" ref="H303:M303">'Test 4-Stats'!C301:H301</f>
        <v>Business Unit 2</v>
      </c>
      <c r="I303" s="77" t="s">
        <v>110</v>
      </c>
      <c r="J303" s="77" t="s">
        <v>111</v>
      </c>
      <c r="K303" s="77" t="s">
        <v>112</v>
      </c>
      <c r="L303" s="77" t="s">
        <v>113</v>
      </c>
      <c r="M303" s="77" t="s">
        <v>129</v>
      </c>
      <c r="N303" s="78">
        <f t="array" ref="N303:P303">'Test 4-Stats'!AL301:AN301</f>
        <v>44044</v>
      </c>
      <c r="O303" s="78">
        <v>45982.0</v>
      </c>
      <c r="P303" s="77">
        <v>60.0</v>
      </c>
      <c r="Q303" s="77" t="str">
        <f>'Test 4-Stats'!CX301</f>
        <v>Active</v>
      </c>
      <c r="R303" s="79"/>
      <c r="S303" s="79"/>
      <c r="T303" s="79"/>
      <c r="U303" s="79"/>
      <c r="V303" s="79"/>
      <c r="W303" s="79"/>
      <c r="X303" s="79"/>
      <c r="Y303" s="79"/>
      <c r="Z303" s="79"/>
    </row>
    <row r="304" ht="14.25" customHeight="1">
      <c r="A304" s="76" t="str">
        <f>'Test 4-Stats'!S302</f>
        <v>Reg 303</v>
      </c>
      <c r="B304" s="77">
        <f>'Test 4-Stats'!Y302</f>
        <v>2020</v>
      </c>
      <c r="C304" s="77" t="str">
        <f>'Test 4-Stats'!W302</f>
        <v>ISUZU</v>
      </c>
      <c r="D304" s="77" t="str">
        <f>'Test 4-Stats'!V302</f>
        <v>ONE TON LDV SINGLE CAB</v>
      </c>
      <c r="E304" s="77" t="str">
        <f>'Test 4-Stats'!X302</f>
        <v>D-MAX 250 HO FLEETSIDE (SAFETY)</v>
      </c>
      <c r="F304" s="77" t="str">
        <f t="array" ref="F304:G304">'Test 4-Stats'!Z302:AA302</f>
        <v>DIESEL</v>
      </c>
      <c r="G304" s="77">
        <v>2498.0</v>
      </c>
      <c r="H304" s="77" t="str">
        <f t="array" ref="H304:M304">'Test 4-Stats'!C302:H302</f>
        <v>Business Unit 3</v>
      </c>
      <c r="I304" s="77" t="s">
        <v>125</v>
      </c>
      <c r="J304" s="77" t="s">
        <v>126</v>
      </c>
      <c r="K304" s="77" t="s">
        <v>112</v>
      </c>
      <c r="L304" s="77" t="s">
        <v>113</v>
      </c>
      <c r="M304" s="77" t="s">
        <v>141</v>
      </c>
      <c r="N304" s="78">
        <f t="array" ref="N304:P304">'Test 4-Stats'!AL302:AN302</f>
        <v>44277</v>
      </c>
      <c r="O304" s="78">
        <v>46103.0</v>
      </c>
      <c r="P304" s="77">
        <v>60.0</v>
      </c>
      <c r="Q304" s="77" t="str">
        <f>'Test 4-Stats'!CX302</f>
        <v>Active</v>
      </c>
      <c r="R304" s="79"/>
      <c r="S304" s="79"/>
      <c r="T304" s="79"/>
      <c r="U304" s="79"/>
      <c r="V304" s="79"/>
      <c r="W304" s="79"/>
      <c r="X304" s="79"/>
      <c r="Y304" s="79"/>
      <c r="Z304" s="79"/>
    </row>
    <row r="305" ht="14.25" customHeight="1">
      <c r="A305" s="76" t="str">
        <f>'Test 4-Stats'!S303</f>
        <v>Reg 304</v>
      </c>
      <c r="B305" s="77">
        <f>'Test 4-Stats'!Y303</f>
        <v>2020</v>
      </c>
      <c r="C305" s="77" t="str">
        <f>'Test 4-Stats'!W303</f>
        <v>NISSAN</v>
      </c>
      <c r="D305" s="77" t="str">
        <f>'Test 4-Stats'!V303</f>
        <v>SEDAN</v>
      </c>
      <c r="E305" s="77" t="str">
        <f>'Test 4-Stats'!X303</f>
        <v>ALMERA 1.5 ACENTA</v>
      </c>
      <c r="F305" s="77" t="str">
        <f t="array" ref="F305:G305">'Test 4-Stats'!Z303:AA303</f>
        <v>PETROL</v>
      </c>
      <c r="G305" s="77">
        <v>1498.0</v>
      </c>
      <c r="H305" s="77" t="str">
        <f t="array" ref="H305:M305">'Test 4-Stats'!C303:H303</f>
        <v>Business Unit 1</v>
      </c>
      <c r="I305" s="77" t="s">
        <v>137</v>
      </c>
      <c r="J305" s="77" t="s">
        <v>138</v>
      </c>
      <c r="K305" s="77" t="s">
        <v>112</v>
      </c>
      <c r="L305" s="77" t="s">
        <v>113</v>
      </c>
      <c r="M305" s="77" t="s">
        <v>114</v>
      </c>
      <c r="N305" s="78">
        <f t="array" ref="N305:P305">'Test 4-Stats'!AL303:AN303</f>
        <v>44278</v>
      </c>
      <c r="O305" s="78">
        <v>46104.0</v>
      </c>
      <c r="P305" s="77">
        <v>60.0</v>
      </c>
      <c r="Q305" s="77" t="str">
        <f>'Test 4-Stats'!CX303</f>
        <v>Active</v>
      </c>
      <c r="R305" s="79"/>
      <c r="S305" s="79"/>
      <c r="T305" s="79"/>
      <c r="U305" s="79"/>
      <c r="V305" s="79"/>
      <c r="W305" s="79"/>
      <c r="X305" s="79"/>
      <c r="Y305" s="79"/>
      <c r="Z305" s="79"/>
    </row>
    <row r="306" ht="14.25" customHeight="1">
      <c r="A306" s="76" t="str">
        <f>'Test 4-Stats'!S304</f>
        <v>Reg 305</v>
      </c>
      <c r="B306" s="77">
        <f>'Test 4-Stats'!Y304</f>
        <v>2020</v>
      </c>
      <c r="C306" s="77" t="str">
        <f>'Test 4-Stats'!W304</f>
        <v>FORD</v>
      </c>
      <c r="D306" s="77" t="str">
        <f>'Test 4-Stats'!V304</f>
        <v>ONE TON LDV DOUBLE CAB</v>
      </c>
      <c r="E306" s="77" t="str">
        <f>'Test 4-Stats'!X304</f>
        <v>RANGER 2.2 TDCI XL 4X2 D CAB</v>
      </c>
      <c r="F306" s="77" t="str">
        <f t="array" ref="F306:G306">'Test 4-Stats'!Z304:AA304</f>
        <v>DIESEL</v>
      </c>
      <c r="G306" s="77">
        <v>2198.0</v>
      </c>
      <c r="H306" s="77" t="str">
        <f t="array" ref="H306:M306">'Test 4-Stats'!C304:H304</f>
        <v>Business Unit 2</v>
      </c>
      <c r="I306" s="77" t="s">
        <v>110</v>
      </c>
      <c r="J306" s="77" t="s">
        <v>111</v>
      </c>
      <c r="K306" s="77" t="s">
        <v>112</v>
      </c>
      <c r="L306" s="77" t="s">
        <v>113</v>
      </c>
      <c r="M306" s="77" t="s">
        <v>129</v>
      </c>
      <c r="N306" s="78">
        <f t="array" ref="N306:P306">'Test 4-Stats'!AL304:AN304</f>
        <v>44279</v>
      </c>
      <c r="O306" s="78">
        <v>46105.0</v>
      </c>
      <c r="P306" s="77">
        <v>60.0</v>
      </c>
      <c r="Q306" s="77" t="str">
        <f>'Test 4-Stats'!CX304</f>
        <v>Active</v>
      </c>
      <c r="R306" s="79"/>
      <c r="S306" s="79"/>
      <c r="T306" s="79"/>
      <c r="U306" s="79"/>
      <c r="V306" s="79"/>
      <c r="W306" s="79"/>
      <c r="X306" s="79"/>
      <c r="Y306" s="79"/>
      <c r="Z306" s="79"/>
    </row>
    <row r="307" ht="14.25" customHeight="1">
      <c r="A307" s="76" t="str">
        <f>'Test 4-Stats'!S305</f>
        <v>Reg 306</v>
      </c>
      <c r="B307" s="77">
        <f>'Test 4-Stats'!Y305</f>
        <v>2020</v>
      </c>
      <c r="C307" s="77" t="str">
        <f>'Test 4-Stats'!W305</f>
        <v>FORD</v>
      </c>
      <c r="D307" s="77" t="str">
        <f>'Test 4-Stats'!V305</f>
        <v>ONE TON LDV DOUBLE CAB</v>
      </c>
      <c r="E307" s="77" t="str">
        <f>'Test 4-Stats'!X305</f>
        <v>RANGER 2.2 TDCI XL 4X2 D CAB</v>
      </c>
      <c r="F307" s="77" t="str">
        <f t="array" ref="F307:G307">'Test 4-Stats'!Z305:AA305</f>
        <v>DIESEL</v>
      </c>
      <c r="G307" s="77">
        <v>2198.0</v>
      </c>
      <c r="H307" s="77" t="str">
        <f t="array" ref="H307:M307">'Test 4-Stats'!C305:H305</f>
        <v>Business Unit 3</v>
      </c>
      <c r="I307" s="77" t="s">
        <v>125</v>
      </c>
      <c r="J307" s="77" t="s">
        <v>126</v>
      </c>
      <c r="K307" s="77" t="s">
        <v>112</v>
      </c>
      <c r="L307" s="77" t="s">
        <v>113</v>
      </c>
      <c r="M307" s="77" t="s">
        <v>141</v>
      </c>
      <c r="N307" s="78">
        <f t="array" ref="N307:P307">'Test 4-Stats'!AL305:AN305</f>
        <v>44278</v>
      </c>
      <c r="O307" s="78">
        <v>46104.0</v>
      </c>
      <c r="P307" s="77">
        <v>60.0</v>
      </c>
      <c r="Q307" s="77" t="str">
        <f>'Test 4-Stats'!CX305</f>
        <v>Active</v>
      </c>
      <c r="R307" s="79"/>
      <c r="S307" s="79"/>
      <c r="T307" s="79"/>
      <c r="U307" s="79"/>
      <c r="V307" s="79"/>
      <c r="W307" s="79"/>
      <c r="X307" s="79"/>
      <c r="Y307" s="79"/>
      <c r="Z307" s="79"/>
    </row>
    <row r="308" ht="14.25" customHeight="1">
      <c r="A308" s="76" t="str">
        <f>'Test 4-Stats'!S306</f>
        <v>Reg 307</v>
      </c>
      <c r="B308" s="77">
        <f>'Test 4-Stats'!Y306</f>
        <v>2020</v>
      </c>
      <c r="C308" s="77" t="str">
        <f>'Test 4-Stats'!W306</f>
        <v>NISSAN</v>
      </c>
      <c r="D308" s="77" t="str">
        <f>'Test 4-Stats'!V306</f>
        <v>SEDAN</v>
      </c>
      <c r="E308" s="77" t="str">
        <f>'Test 4-Stats'!X306</f>
        <v>ALMERA 1.5 ACENTA</v>
      </c>
      <c r="F308" s="77" t="str">
        <f t="array" ref="F308:G308">'Test 4-Stats'!Z306:AA306</f>
        <v>PETROL</v>
      </c>
      <c r="G308" s="77">
        <v>1498.0</v>
      </c>
      <c r="H308" s="77" t="str">
        <f t="array" ref="H308:M308">'Test 4-Stats'!C306:H306</f>
        <v>Business Unit 1</v>
      </c>
      <c r="I308" s="77" t="s">
        <v>137</v>
      </c>
      <c r="J308" s="77" t="s">
        <v>138</v>
      </c>
      <c r="K308" s="77" t="s">
        <v>112</v>
      </c>
      <c r="L308" s="77" t="s">
        <v>113</v>
      </c>
      <c r="M308" s="77" t="s">
        <v>114</v>
      </c>
      <c r="N308" s="78">
        <f t="array" ref="N308:P308">'Test 4-Stats'!AL306:AN306</f>
        <v>44281</v>
      </c>
      <c r="O308" s="78">
        <v>46107.0</v>
      </c>
      <c r="P308" s="77">
        <v>60.0</v>
      </c>
      <c r="Q308" s="77" t="str">
        <f>'Test 4-Stats'!CX306</f>
        <v>Active</v>
      </c>
      <c r="R308" s="79"/>
      <c r="S308" s="79"/>
      <c r="T308" s="79"/>
      <c r="U308" s="79"/>
      <c r="V308" s="79"/>
      <c r="W308" s="79"/>
      <c r="X308" s="79"/>
      <c r="Y308" s="79"/>
      <c r="Z308" s="79"/>
    </row>
    <row r="309" ht="14.25" customHeight="1">
      <c r="A309" s="76" t="str">
        <f>'Test 4-Stats'!S307</f>
        <v>Reg 308</v>
      </c>
      <c r="B309" s="77">
        <f>'Test 4-Stats'!Y307</f>
        <v>2020</v>
      </c>
      <c r="C309" s="77" t="str">
        <f>'Test 4-Stats'!W307</f>
        <v>TOYOTA</v>
      </c>
      <c r="D309" s="77" t="str">
        <f>'Test 4-Stats'!V307</f>
        <v>MINIBUS</v>
      </c>
      <c r="E309" s="77" t="str">
        <f>'Test 4-Stats'!X307</f>
        <v>QUANTUM 2.8 GL LWB 11 SEATER</v>
      </c>
      <c r="F309" s="77" t="str">
        <f t="array" ref="F309:G309">'Test 4-Stats'!Z307:AA307</f>
        <v>DIESEL</v>
      </c>
      <c r="G309" s="77">
        <v>2798.0</v>
      </c>
      <c r="H309" s="77" t="str">
        <f t="array" ref="H309:M309">'Test 4-Stats'!C307:H307</f>
        <v>Business Unit 2</v>
      </c>
      <c r="I309" s="77" t="s">
        <v>110</v>
      </c>
      <c r="J309" s="77" t="s">
        <v>111</v>
      </c>
      <c r="K309" s="77" t="s">
        <v>112</v>
      </c>
      <c r="L309" s="77" t="s">
        <v>113</v>
      </c>
      <c r="M309" s="77" t="s">
        <v>129</v>
      </c>
      <c r="N309" s="78">
        <f t="array" ref="N309:P309">'Test 4-Stats'!AL307:AN307</f>
        <v>44282</v>
      </c>
      <c r="O309" s="78">
        <v>46108.0</v>
      </c>
      <c r="P309" s="77">
        <v>60.0</v>
      </c>
      <c r="Q309" s="77" t="str">
        <f>'Test 4-Stats'!CX307</f>
        <v>Active</v>
      </c>
      <c r="R309" s="79"/>
      <c r="S309" s="79"/>
      <c r="T309" s="79"/>
      <c r="U309" s="79"/>
      <c r="V309" s="79"/>
      <c r="W309" s="79"/>
      <c r="X309" s="79"/>
      <c r="Y309" s="79"/>
      <c r="Z309" s="79"/>
    </row>
    <row r="310" ht="14.25" customHeight="1">
      <c r="A310" s="76" t="str">
        <f>'Test 4-Stats'!S308</f>
        <v>Reg 309</v>
      </c>
      <c r="B310" s="77">
        <f>'Test 4-Stats'!Y308</f>
        <v>2020</v>
      </c>
      <c r="C310" s="77" t="str">
        <f>'Test 4-Stats'!W308</f>
        <v>TOYOTA</v>
      </c>
      <c r="D310" s="77" t="str">
        <f>'Test 4-Stats'!V308</f>
        <v>MINIBUS</v>
      </c>
      <c r="E310" s="77" t="str">
        <f>'Test 4-Stats'!X308</f>
        <v>QUANTUM 2.8 GL LWB 14 SEATER</v>
      </c>
      <c r="F310" s="77" t="str">
        <f t="array" ref="F310:G310">'Test 4-Stats'!Z308:AA308</f>
        <v>DIESEL</v>
      </c>
      <c r="G310" s="77">
        <v>2798.0</v>
      </c>
      <c r="H310" s="77" t="str">
        <f t="array" ref="H310:M310">'Test 4-Stats'!C308:H308</f>
        <v>Business Unit 3</v>
      </c>
      <c r="I310" s="77" t="s">
        <v>125</v>
      </c>
      <c r="J310" s="77" t="s">
        <v>126</v>
      </c>
      <c r="K310" s="77" t="s">
        <v>112</v>
      </c>
      <c r="L310" s="77" t="s">
        <v>113</v>
      </c>
      <c r="M310" s="77" t="s">
        <v>141</v>
      </c>
      <c r="N310" s="78">
        <f t="array" ref="N310:P310">'Test 4-Stats'!AL308:AN308</f>
        <v>44283</v>
      </c>
      <c r="O310" s="78">
        <v>46109.0</v>
      </c>
      <c r="P310" s="77">
        <v>60.0</v>
      </c>
      <c r="Q310" s="77" t="str">
        <f>'Test 4-Stats'!CX308</f>
        <v>Active</v>
      </c>
      <c r="R310" s="79"/>
      <c r="S310" s="79"/>
      <c r="T310" s="79"/>
      <c r="U310" s="79"/>
      <c r="V310" s="79"/>
      <c r="W310" s="79"/>
      <c r="X310" s="79"/>
      <c r="Y310" s="79"/>
      <c r="Z310" s="79"/>
    </row>
    <row r="311" ht="14.25" customHeight="1">
      <c r="A311" s="76" t="str">
        <f>'Test 4-Stats'!S309</f>
        <v>Reg 310</v>
      </c>
      <c r="B311" s="77">
        <f>'Test 4-Stats'!Y309</f>
        <v>2020</v>
      </c>
      <c r="C311" s="77" t="str">
        <f>'Test 4-Stats'!W309</f>
        <v>TOYOTA</v>
      </c>
      <c r="D311" s="77" t="str">
        <f>'Test 4-Stats'!V309</f>
        <v>MINIBUS</v>
      </c>
      <c r="E311" s="77" t="str">
        <f>'Test 4-Stats'!X309</f>
        <v>QUANTUM 2.8 GL LWB 11 SEATER</v>
      </c>
      <c r="F311" s="77" t="str">
        <f t="array" ref="F311:G311">'Test 4-Stats'!Z309:AA309</f>
        <v>DIESEL</v>
      </c>
      <c r="G311" s="77">
        <v>2798.0</v>
      </c>
      <c r="H311" s="77" t="str">
        <f t="array" ref="H311:M311">'Test 4-Stats'!C309:H309</f>
        <v>Business Unit 1</v>
      </c>
      <c r="I311" s="77" t="s">
        <v>137</v>
      </c>
      <c r="J311" s="77" t="s">
        <v>138</v>
      </c>
      <c r="K311" s="77" t="s">
        <v>112</v>
      </c>
      <c r="L311" s="77" t="s">
        <v>113</v>
      </c>
      <c r="M311" s="77" t="s">
        <v>114</v>
      </c>
      <c r="N311" s="78">
        <f t="array" ref="N311:P311">'Test 4-Stats'!AL309:AN309</f>
        <v>44284</v>
      </c>
      <c r="O311" s="78">
        <v>46110.0</v>
      </c>
      <c r="P311" s="77">
        <v>60.0</v>
      </c>
      <c r="Q311" s="77" t="str">
        <f>'Test 4-Stats'!CX309</f>
        <v>Active</v>
      </c>
      <c r="R311" s="79"/>
      <c r="S311" s="79"/>
      <c r="T311" s="79"/>
      <c r="U311" s="79"/>
      <c r="V311" s="79"/>
      <c r="W311" s="79"/>
      <c r="X311" s="79"/>
      <c r="Y311" s="79"/>
      <c r="Z311" s="79"/>
    </row>
    <row r="312" ht="14.25" customHeight="1">
      <c r="A312" s="76" t="str">
        <f>'Test 4-Stats'!S310</f>
        <v>Reg 311</v>
      </c>
      <c r="B312" s="77">
        <f>'Test 4-Stats'!Y310</f>
        <v>2020</v>
      </c>
      <c r="C312" s="77" t="str">
        <f>'Test 4-Stats'!W310</f>
        <v>ISUZU</v>
      </c>
      <c r="D312" s="77" t="str">
        <f>'Test 4-Stats'!V310</f>
        <v>ONE TON LDV SINGLE CAB</v>
      </c>
      <c r="E312" s="77" t="str">
        <f>'Test 4-Stats'!X310</f>
        <v>D-MAX 250 HO FLEETSIDE (SAFETY)</v>
      </c>
      <c r="F312" s="77" t="str">
        <f t="array" ref="F312:G312">'Test 4-Stats'!Z310:AA310</f>
        <v>DIESEL</v>
      </c>
      <c r="G312" s="77">
        <v>2498.0</v>
      </c>
      <c r="H312" s="77" t="str">
        <f t="array" ref="H312:M312">'Test 4-Stats'!C310:H310</f>
        <v>Business Unit 2</v>
      </c>
      <c r="I312" s="77" t="s">
        <v>110</v>
      </c>
      <c r="J312" s="77" t="s">
        <v>111</v>
      </c>
      <c r="K312" s="77" t="s">
        <v>838</v>
      </c>
      <c r="L312" s="77" t="s">
        <v>113</v>
      </c>
      <c r="M312" s="77" t="s">
        <v>129</v>
      </c>
      <c r="N312" s="78">
        <f t="array" ref="N312:P312">'Test 4-Stats'!AL310:AN310</f>
        <v>44285</v>
      </c>
      <c r="O312" s="78">
        <v>46111.0</v>
      </c>
      <c r="P312" s="77">
        <v>60.0</v>
      </c>
      <c r="Q312" s="77" t="str">
        <f>'Test 4-Stats'!CX310</f>
        <v>Active</v>
      </c>
      <c r="R312" s="79"/>
      <c r="S312" s="79"/>
      <c r="T312" s="79"/>
      <c r="U312" s="79"/>
      <c r="V312" s="79"/>
      <c r="W312" s="79"/>
      <c r="X312" s="79"/>
      <c r="Y312" s="79"/>
      <c r="Z312" s="79"/>
    </row>
    <row r="313" ht="14.25" customHeight="1">
      <c r="A313" s="76" t="str">
        <f>'Test 4-Stats'!S311</f>
        <v>Reg 312</v>
      </c>
      <c r="B313" s="77">
        <f>'Test 4-Stats'!Y311</f>
        <v>2020</v>
      </c>
      <c r="C313" s="77" t="str">
        <f>'Test 4-Stats'!W311</f>
        <v>TOYOTA</v>
      </c>
      <c r="D313" s="77" t="str">
        <f>'Test 4-Stats'!V311</f>
        <v>ONE TON LDV DOUBLE CAB</v>
      </c>
      <c r="E313" s="77" t="str">
        <f>'Test 4-Stats'!X311</f>
        <v>HILUX 2.8 GD-6 D/CAB 4X4 RAIDER</v>
      </c>
      <c r="F313" s="77" t="str">
        <f t="array" ref="F313:G313">'Test 4-Stats'!Z311:AA311</f>
        <v>DIESEL</v>
      </c>
      <c r="G313" s="77">
        <v>2798.0</v>
      </c>
      <c r="H313" s="77" t="str">
        <f t="array" ref="H313:M313">'Test 4-Stats'!C311:H311</f>
        <v>Business Unit 3</v>
      </c>
      <c r="I313" s="77" t="s">
        <v>125</v>
      </c>
      <c r="J313" s="77" t="s">
        <v>126</v>
      </c>
      <c r="K313" s="77" t="s">
        <v>112</v>
      </c>
      <c r="L313" s="77" t="s">
        <v>113</v>
      </c>
      <c r="M313" s="77" t="s">
        <v>141</v>
      </c>
      <c r="N313" s="78">
        <f t="array" ref="N313:P313">'Test 4-Stats'!AL311:AN311</f>
        <v>44197</v>
      </c>
      <c r="O313" s="78">
        <v>46023.0</v>
      </c>
      <c r="P313" s="77">
        <v>60.0</v>
      </c>
      <c r="Q313" s="77" t="str">
        <f>'Test 4-Stats'!CX311</f>
        <v>Active</v>
      </c>
      <c r="R313" s="79"/>
      <c r="S313" s="79"/>
      <c r="T313" s="79"/>
      <c r="U313" s="79"/>
      <c r="V313" s="79"/>
      <c r="W313" s="79"/>
      <c r="X313" s="79"/>
      <c r="Y313" s="79"/>
      <c r="Z313" s="79"/>
    </row>
    <row r="314" ht="14.25" customHeight="1">
      <c r="A314" s="76" t="str">
        <f>'Test 4-Stats'!S312</f>
        <v>Reg 313</v>
      </c>
      <c r="B314" s="77">
        <f>'Test 4-Stats'!Y312</f>
        <v>2020</v>
      </c>
      <c r="C314" s="77" t="str">
        <f>'Test 4-Stats'!W312</f>
        <v>TOYOTA</v>
      </c>
      <c r="D314" s="77" t="str">
        <f>'Test 4-Stats'!V312</f>
        <v>ONE TON LDV DOUBLE CAB</v>
      </c>
      <c r="E314" s="77" t="str">
        <f>'Test 4-Stats'!X312</f>
        <v>HILUX 2.8 GD-6 D/CAB 4X4 RAIDER</v>
      </c>
      <c r="F314" s="77" t="str">
        <f t="array" ref="F314:G314">'Test 4-Stats'!Z312:AA312</f>
        <v>DIESEL</v>
      </c>
      <c r="G314" s="77">
        <v>2798.0</v>
      </c>
      <c r="H314" s="77" t="str">
        <f t="array" ref="H314:M314">'Test 4-Stats'!C312:H312</f>
        <v>Business Unit 1</v>
      </c>
      <c r="I314" s="77" t="s">
        <v>137</v>
      </c>
      <c r="J314" s="77" t="s">
        <v>138</v>
      </c>
      <c r="K314" s="77" t="s">
        <v>112</v>
      </c>
      <c r="L314" s="77" t="s">
        <v>113</v>
      </c>
      <c r="M314" s="77" t="s">
        <v>114</v>
      </c>
      <c r="N314" s="78">
        <f t="array" ref="N314:P314">'Test 4-Stats'!AL312:AN312</f>
        <v>44198</v>
      </c>
      <c r="O314" s="78">
        <v>46024.0</v>
      </c>
      <c r="P314" s="77">
        <v>60.0</v>
      </c>
      <c r="Q314" s="77" t="str">
        <f>'Test 4-Stats'!CX312</f>
        <v>Active</v>
      </c>
      <c r="R314" s="79"/>
      <c r="S314" s="79"/>
      <c r="T314" s="79"/>
      <c r="U314" s="79"/>
      <c r="V314" s="79"/>
      <c r="W314" s="79"/>
      <c r="X314" s="79"/>
      <c r="Y314" s="79"/>
      <c r="Z314" s="79"/>
    </row>
    <row r="315" ht="14.25" customHeight="1">
      <c r="A315" s="76" t="str">
        <f>'Test 4-Stats'!S313</f>
        <v>Reg 314</v>
      </c>
      <c r="B315" s="77">
        <f>'Test 4-Stats'!Y313</f>
        <v>2020</v>
      </c>
      <c r="C315" s="77" t="str">
        <f>'Test 4-Stats'!W313</f>
        <v>NISSAN</v>
      </c>
      <c r="D315" s="77" t="str">
        <f>'Test 4-Stats'!V313</f>
        <v>SEDAN</v>
      </c>
      <c r="E315" s="77" t="str">
        <f>'Test 4-Stats'!X313</f>
        <v>ALMERA 1.5 ACENTA</v>
      </c>
      <c r="F315" s="77" t="str">
        <f t="array" ref="F315:G315">'Test 4-Stats'!Z313:AA313</f>
        <v>PETROL</v>
      </c>
      <c r="G315" s="77">
        <v>1498.0</v>
      </c>
      <c r="H315" s="77" t="str">
        <f t="array" ref="H315:M315">'Test 4-Stats'!C313:H313</f>
        <v>Business Unit 2</v>
      </c>
      <c r="I315" s="77" t="s">
        <v>110</v>
      </c>
      <c r="J315" s="77" t="s">
        <v>111</v>
      </c>
      <c r="K315" s="77" t="s">
        <v>112</v>
      </c>
      <c r="L315" s="77" t="s">
        <v>113</v>
      </c>
      <c r="M315" s="77" t="s">
        <v>129</v>
      </c>
      <c r="N315" s="78">
        <f t="array" ref="N315:P315">'Test 4-Stats'!AL313:AN313</f>
        <v>44199</v>
      </c>
      <c r="O315" s="78">
        <v>46025.0</v>
      </c>
      <c r="P315" s="77">
        <v>60.0</v>
      </c>
      <c r="Q315" s="77" t="str">
        <f>'Test 4-Stats'!CX313</f>
        <v>Active</v>
      </c>
      <c r="R315" s="79"/>
      <c r="S315" s="79"/>
      <c r="T315" s="79"/>
      <c r="U315" s="79"/>
      <c r="V315" s="79"/>
      <c r="W315" s="79"/>
      <c r="X315" s="79"/>
      <c r="Y315" s="79"/>
      <c r="Z315" s="79"/>
    </row>
    <row r="316" ht="14.25" customHeight="1">
      <c r="A316" s="76" t="str">
        <f>'Test 4-Stats'!S314</f>
        <v>Reg 315</v>
      </c>
      <c r="B316" s="77">
        <f>'Test 4-Stats'!Y314</f>
        <v>2020</v>
      </c>
      <c r="C316" s="77" t="str">
        <f>'Test 4-Stats'!W314</f>
        <v>TOYOTA</v>
      </c>
      <c r="D316" s="77" t="str">
        <f>'Test 4-Stats'!V314</f>
        <v>ONE TON LDV DOUBLE CAB</v>
      </c>
      <c r="E316" s="77" t="str">
        <f>'Test 4-Stats'!X314</f>
        <v>HILUX 2.8 GD-6 D/CAB 4X4 RAIDER</v>
      </c>
      <c r="F316" s="77" t="str">
        <f t="array" ref="F316:G316">'Test 4-Stats'!Z314:AA314</f>
        <v>DIESEL</v>
      </c>
      <c r="G316" s="77">
        <v>2798.0</v>
      </c>
      <c r="H316" s="77" t="str">
        <f t="array" ref="H316:M316">'Test 4-Stats'!C314:H314</f>
        <v>Business Unit 3</v>
      </c>
      <c r="I316" s="77" t="s">
        <v>125</v>
      </c>
      <c r="J316" s="77" t="s">
        <v>126</v>
      </c>
      <c r="K316" s="77" t="s">
        <v>112</v>
      </c>
      <c r="L316" s="77" t="s">
        <v>113</v>
      </c>
      <c r="M316" s="77" t="s">
        <v>141</v>
      </c>
      <c r="N316" s="78">
        <f t="array" ref="N316:P316">'Test 4-Stats'!AL314:AN314</f>
        <v>44200</v>
      </c>
      <c r="O316" s="78">
        <v>46026.0</v>
      </c>
      <c r="P316" s="77">
        <v>60.0</v>
      </c>
      <c r="Q316" s="77" t="str">
        <f>'Test 4-Stats'!CX314</f>
        <v>Active</v>
      </c>
      <c r="R316" s="79"/>
      <c r="S316" s="79"/>
      <c r="T316" s="79"/>
      <c r="U316" s="79"/>
      <c r="V316" s="79"/>
      <c r="W316" s="79"/>
      <c r="X316" s="79"/>
      <c r="Y316" s="79"/>
      <c r="Z316" s="79"/>
    </row>
    <row r="317" ht="14.25" customHeight="1">
      <c r="A317" s="76" t="str">
        <f>'Test 4-Stats'!S315</f>
        <v>Reg 316</v>
      </c>
      <c r="B317" s="77">
        <f>'Test 4-Stats'!Y315</f>
        <v>2020</v>
      </c>
      <c r="C317" s="77" t="str">
        <f>'Test 4-Stats'!W315</f>
        <v>HYUNDAI</v>
      </c>
      <c r="D317" s="77" t="str">
        <f>'Test 4-Stats'!V315</f>
        <v>MINIBUS</v>
      </c>
      <c r="E317" s="77" t="str">
        <f>'Test 4-Stats'!X315</f>
        <v>H1 2.5 VGTi 9-SEATER BUS AT</v>
      </c>
      <c r="F317" s="77" t="str">
        <f t="array" ref="F317:G317">'Test 4-Stats'!Z315:AA315</f>
        <v>DIESEL</v>
      </c>
      <c r="G317" s="77">
        <v>2498.0</v>
      </c>
      <c r="H317" s="77" t="str">
        <f t="array" ref="H317:M317">'Test 4-Stats'!C315:H315</f>
        <v>Business Unit 1</v>
      </c>
      <c r="I317" s="77" t="s">
        <v>110</v>
      </c>
      <c r="J317" s="77" t="s">
        <v>111</v>
      </c>
      <c r="K317" s="77" t="s">
        <v>231</v>
      </c>
      <c r="L317" s="77" t="s">
        <v>113</v>
      </c>
      <c r="M317" s="77" t="s">
        <v>114</v>
      </c>
      <c r="N317" s="78">
        <f t="array" ref="N317:P317">'Test 4-Stats'!AL315:AN315</f>
        <v>44199</v>
      </c>
      <c r="O317" s="78">
        <v>46025.0</v>
      </c>
      <c r="P317" s="77">
        <v>60.0</v>
      </c>
      <c r="Q317" s="77" t="str">
        <f>'Test 4-Stats'!CX315</f>
        <v>Active</v>
      </c>
      <c r="R317" s="79"/>
      <c r="S317" s="79"/>
      <c r="T317" s="79"/>
      <c r="U317" s="79"/>
      <c r="V317" s="79"/>
      <c r="W317" s="79"/>
      <c r="X317" s="79"/>
      <c r="Y317" s="79"/>
      <c r="Z317" s="79"/>
    </row>
    <row r="318" ht="14.25" customHeight="1">
      <c r="A318" s="76" t="str">
        <f>'Test 4-Stats'!S316</f>
        <v>Reg 317</v>
      </c>
      <c r="B318" s="77">
        <f>'Test 4-Stats'!Y316</f>
        <v>2020</v>
      </c>
      <c r="C318" s="77" t="str">
        <f>'Test 4-Stats'!W316</f>
        <v>ISUZU</v>
      </c>
      <c r="D318" s="77" t="str">
        <f>'Test 4-Stats'!V316</f>
        <v>ONE TON LDV SINGLE CAB</v>
      </c>
      <c r="E318" s="77" t="str">
        <f>'Test 4-Stats'!X316</f>
        <v>D-MAX 250 HO FLEETSIDE (SAFETY)</v>
      </c>
      <c r="F318" s="77" t="str">
        <f t="array" ref="F318:G318">'Test 4-Stats'!Z316:AA316</f>
        <v>DIESEL</v>
      </c>
      <c r="G318" s="77">
        <v>2498.0</v>
      </c>
      <c r="H318" s="77" t="str">
        <f t="array" ref="H318:M318">'Test 4-Stats'!C316:H316</f>
        <v>Business Unit 2</v>
      </c>
      <c r="I318" s="77" t="s">
        <v>125</v>
      </c>
      <c r="J318" s="77" t="s">
        <v>126</v>
      </c>
      <c r="K318" s="77" t="s">
        <v>112</v>
      </c>
      <c r="L318" s="77" t="s">
        <v>113</v>
      </c>
      <c r="M318" s="77" t="s">
        <v>129</v>
      </c>
      <c r="N318" s="78">
        <f t="array" ref="N318:P318">'Test 4-Stats'!AL316:AN316</f>
        <v>44202</v>
      </c>
      <c r="O318" s="78">
        <v>46028.0</v>
      </c>
      <c r="P318" s="77">
        <v>40.0</v>
      </c>
      <c r="Q318" s="77" t="str">
        <f>'Test 4-Stats'!CX316</f>
        <v>Active</v>
      </c>
      <c r="R318" s="79"/>
      <c r="S318" s="79"/>
      <c r="T318" s="79"/>
      <c r="U318" s="79"/>
      <c r="V318" s="79"/>
      <c r="W318" s="79"/>
      <c r="X318" s="79"/>
      <c r="Y318" s="79"/>
      <c r="Z318" s="79"/>
    </row>
    <row r="319" ht="14.25" customHeight="1">
      <c r="A319" s="76" t="str">
        <f>'Test 4-Stats'!S317</f>
        <v>Reg 318</v>
      </c>
      <c r="B319" s="77">
        <f>'Test 4-Stats'!Y317</f>
        <v>2020</v>
      </c>
      <c r="C319" s="77" t="str">
        <f>'Test 4-Stats'!W317</f>
        <v>ISUZU</v>
      </c>
      <c r="D319" s="77" t="str">
        <f>'Test 4-Stats'!V317</f>
        <v>ONE TON LDV SINGLE CAB</v>
      </c>
      <c r="E319" s="77" t="str">
        <f>'Test 4-Stats'!X317</f>
        <v>D-MAX 250 HO FLEETSIDE (SAFETY)</v>
      </c>
      <c r="F319" s="77" t="str">
        <f t="array" ref="F319:G319">'Test 4-Stats'!Z317:AA317</f>
        <v>DIESEL</v>
      </c>
      <c r="G319" s="77">
        <v>2498.0</v>
      </c>
      <c r="H319" s="77" t="str">
        <f t="array" ref="H319:M319">'Test 4-Stats'!C317:H317</f>
        <v>Business Unit 3</v>
      </c>
      <c r="I319" s="77" t="s">
        <v>137</v>
      </c>
      <c r="J319" s="77" t="s">
        <v>138</v>
      </c>
      <c r="K319" s="77" t="s">
        <v>112</v>
      </c>
      <c r="L319" s="77" t="s">
        <v>113</v>
      </c>
      <c r="M319" s="77" t="s">
        <v>141</v>
      </c>
      <c r="N319" s="78">
        <f t="array" ref="N319:P319">'Test 4-Stats'!AL317:AN317</f>
        <v>44203</v>
      </c>
      <c r="O319" s="78">
        <v>46029.0</v>
      </c>
      <c r="P319" s="77">
        <v>40.0</v>
      </c>
      <c r="Q319" s="77" t="str">
        <f>'Test 4-Stats'!CX317</f>
        <v>Active</v>
      </c>
      <c r="R319" s="79"/>
      <c r="S319" s="79"/>
      <c r="T319" s="79"/>
      <c r="U319" s="79"/>
      <c r="V319" s="79"/>
      <c r="W319" s="79"/>
      <c r="X319" s="79"/>
      <c r="Y319" s="79"/>
      <c r="Z319" s="79"/>
    </row>
    <row r="320" ht="14.25" customHeight="1">
      <c r="A320" s="76" t="str">
        <f>'Test 4-Stats'!S318</f>
        <v>Reg 319</v>
      </c>
      <c r="B320" s="77">
        <f>'Test 4-Stats'!Y318</f>
        <v>2020</v>
      </c>
      <c r="C320" s="77" t="str">
        <f>'Test 4-Stats'!W318</f>
        <v>ISUZU</v>
      </c>
      <c r="D320" s="77" t="str">
        <f>'Test 4-Stats'!V318</f>
        <v>ONE TON LDV SINGLE CAB</v>
      </c>
      <c r="E320" s="77" t="str">
        <f>'Test 4-Stats'!X318</f>
        <v>D-MAX 250 HO FLEETSIDE (SAFETY)</v>
      </c>
      <c r="F320" s="77" t="str">
        <f t="array" ref="F320:G320">'Test 4-Stats'!Z318:AA318</f>
        <v>DIESEL</v>
      </c>
      <c r="G320" s="77">
        <v>2498.0</v>
      </c>
      <c r="H320" s="77" t="str">
        <f t="array" ref="H320:M320">'Test 4-Stats'!C318:H318</f>
        <v>Business Unit 1</v>
      </c>
      <c r="I320" s="77" t="s">
        <v>110</v>
      </c>
      <c r="J320" s="77" t="s">
        <v>111</v>
      </c>
      <c r="K320" s="77" t="s">
        <v>112</v>
      </c>
      <c r="L320" s="77" t="s">
        <v>113</v>
      </c>
      <c r="M320" s="77" t="s">
        <v>114</v>
      </c>
      <c r="N320" s="78">
        <f t="array" ref="N320:P320">'Test 4-Stats'!AL318:AN318</f>
        <v>44204</v>
      </c>
      <c r="O320" s="78">
        <v>46030.0</v>
      </c>
      <c r="P320" s="77">
        <v>40.0</v>
      </c>
      <c r="Q320" s="77" t="str">
        <f>'Test 4-Stats'!CX318</f>
        <v>Active</v>
      </c>
      <c r="R320" s="79"/>
      <c r="S320" s="79"/>
      <c r="T320" s="79"/>
      <c r="U320" s="79"/>
      <c r="V320" s="79"/>
      <c r="W320" s="79"/>
      <c r="X320" s="79"/>
      <c r="Y320" s="79"/>
      <c r="Z320" s="79"/>
    </row>
    <row r="321" ht="14.25" customHeight="1">
      <c r="A321" s="76" t="str">
        <f>'Test 4-Stats'!S319</f>
        <v>Reg 320</v>
      </c>
      <c r="B321" s="77">
        <f>'Test 4-Stats'!Y319</f>
        <v>2020</v>
      </c>
      <c r="C321" s="77" t="str">
        <f>'Test 4-Stats'!W319</f>
        <v>ISUZU</v>
      </c>
      <c r="D321" s="77" t="str">
        <f>'Test 4-Stats'!V319</f>
        <v>ONE TON LDV SINGLE CAB</v>
      </c>
      <c r="E321" s="77" t="str">
        <f>'Test 4-Stats'!X319</f>
        <v>D-MAX 250 HO FLEETSIDE (SAFETY)</v>
      </c>
      <c r="F321" s="77" t="str">
        <f t="array" ref="F321:G321">'Test 4-Stats'!Z319:AA319</f>
        <v>DIESEL</v>
      </c>
      <c r="G321" s="77">
        <v>2498.0</v>
      </c>
      <c r="H321" s="77" t="str">
        <f t="array" ref="H321:M321">'Test 4-Stats'!C319:H319</f>
        <v>Business Unit 2</v>
      </c>
      <c r="I321" s="77" t="s">
        <v>125</v>
      </c>
      <c r="J321" s="77" t="s">
        <v>126</v>
      </c>
      <c r="K321" s="77" t="s">
        <v>112</v>
      </c>
      <c r="L321" s="77" t="s">
        <v>113</v>
      </c>
      <c r="M321" s="77" t="s">
        <v>129</v>
      </c>
      <c r="N321" s="78">
        <f t="array" ref="N321:P321">'Test 4-Stats'!AL319:AN319</f>
        <v>44205</v>
      </c>
      <c r="O321" s="78">
        <v>46031.0</v>
      </c>
      <c r="P321" s="77">
        <v>40.0</v>
      </c>
      <c r="Q321" s="77" t="str">
        <f>'Test 4-Stats'!CX319</f>
        <v>Active</v>
      </c>
      <c r="R321" s="79"/>
      <c r="S321" s="79"/>
      <c r="T321" s="79"/>
      <c r="U321" s="79"/>
      <c r="V321" s="79"/>
      <c r="W321" s="79"/>
      <c r="X321" s="79"/>
      <c r="Y321" s="79"/>
      <c r="Z321" s="79"/>
    </row>
    <row r="322" ht="14.25" customHeight="1">
      <c r="A322" s="76" t="str">
        <f>'Test 4-Stats'!S320</f>
        <v>Reg 321</v>
      </c>
      <c r="B322" s="77">
        <f>'Test 4-Stats'!Y320</f>
        <v>2020</v>
      </c>
      <c r="C322" s="77" t="str">
        <f>'Test 4-Stats'!W320</f>
        <v>ISUZU</v>
      </c>
      <c r="D322" s="77" t="str">
        <f>'Test 4-Stats'!V320</f>
        <v>ONE TON LDV SINGLE CAB</v>
      </c>
      <c r="E322" s="77" t="str">
        <f>'Test 4-Stats'!X320</f>
        <v>D-MAX 250 HO FLEETSIDE (SAFETY)</v>
      </c>
      <c r="F322" s="77" t="str">
        <f t="array" ref="F322:G322">'Test 4-Stats'!Z320:AA320</f>
        <v>DIESEL</v>
      </c>
      <c r="G322" s="77">
        <v>2498.0</v>
      </c>
      <c r="H322" s="77" t="str">
        <f t="array" ref="H322:M322">'Test 4-Stats'!C320:H320</f>
        <v>Business Unit 3</v>
      </c>
      <c r="I322" s="77" t="s">
        <v>137</v>
      </c>
      <c r="J322" s="77" t="s">
        <v>138</v>
      </c>
      <c r="K322" s="77" t="s">
        <v>112</v>
      </c>
      <c r="L322" s="77" t="s">
        <v>113</v>
      </c>
      <c r="M322" s="77" t="s">
        <v>141</v>
      </c>
      <c r="N322" s="78">
        <f t="array" ref="N322:P322">'Test 4-Stats'!AL320:AN320</f>
        <v>44206</v>
      </c>
      <c r="O322" s="78">
        <v>46032.0</v>
      </c>
      <c r="P322" s="77">
        <v>40.0</v>
      </c>
      <c r="Q322" s="77" t="str">
        <f>'Test 4-Stats'!CX320</f>
        <v>Active</v>
      </c>
      <c r="R322" s="79"/>
      <c r="S322" s="79"/>
      <c r="T322" s="79"/>
      <c r="U322" s="79"/>
      <c r="V322" s="79"/>
      <c r="W322" s="79"/>
      <c r="X322" s="79"/>
      <c r="Y322" s="79"/>
      <c r="Z322" s="79"/>
    </row>
    <row r="323" ht="14.25" customHeight="1">
      <c r="A323" s="76" t="str">
        <f>'Test 4-Stats'!S321</f>
        <v>Reg 322</v>
      </c>
      <c r="B323" s="77">
        <f>'Test 4-Stats'!Y321</f>
        <v>2020</v>
      </c>
      <c r="C323" s="77" t="str">
        <f>'Test 4-Stats'!W321</f>
        <v>ISUZU</v>
      </c>
      <c r="D323" s="77" t="str">
        <f>'Test 4-Stats'!V321</f>
        <v>ONE TON LDV SINGLE CAB</v>
      </c>
      <c r="E323" s="77" t="str">
        <f>'Test 4-Stats'!X321</f>
        <v>D-MAX 250 HO FLEETSIDE (SAFETY)</v>
      </c>
      <c r="F323" s="77" t="str">
        <f t="array" ref="F323:G323">'Test 4-Stats'!Z321:AA321</f>
        <v>DIESEL</v>
      </c>
      <c r="G323" s="77">
        <v>2498.0</v>
      </c>
      <c r="H323" s="77" t="str">
        <f t="array" ref="H323:M323">'Test 4-Stats'!C321:H321</f>
        <v>Business Unit 1</v>
      </c>
      <c r="I323" s="77" t="s">
        <v>110</v>
      </c>
      <c r="J323" s="77" t="s">
        <v>111</v>
      </c>
      <c r="K323" s="77" t="s">
        <v>112</v>
      </c>
      <c r="L323" s="77" t="s">
        <v>113</v>
      </c>
      <c r="M323" s="77" t="s">
        <v>114</v>
      </c>
      <c r="N323" s="78">
        <f t="array" ref="N323:P323">'Test 4-Stats'!AL321:AN321</f>
        <v>44199</v>
      </c>
      <c r="O323" s="78">
        <v>46025.0</v>
      </c>
      <c r="P323" s="77">
        <v>40.0</v>
      </c>
      <c r="Q323" s="77" t="str">
        <f>'Test 4-Stats'!CX321</f>
        <v>Active</v>
      </c>
      <c r="R323" s="79"/>
      <c r="S323" s="79"/>
      <c r="T323" s="79"/>
      <c r="U323" s="79"/>
      <c r="V323" s="79"/>
      <c r="W323" s="79"/>
      <c r="X323" s="79"/>
      <c r="Y323" s="79"/>
      <c r="Z323" s="79"/>
    </row>
    <row r="324" ht="14.25" customHeight="1">
      <c r="A324" s="76" t="str">
        <f>'Test 4-Stats'!S322</f>
        <v>Reg 323</v>
      </c>
      <c r="B324" s="77">
        <f>'Test 4-Stats'!Y322</f>
        <v>2020</v>
      </c>
      <c r="C324" s="77" t="str">
        <f>'Test 4-Stats'!W322</f>
        <v>ISUZU</v>
      </c>
      <c r="D324" s="77" t="str">
        <f>'Test 4-Stats'!V322</f>
        <v>ONE TON LDV SINGLE CAB</v>
      </c>
      <c r="E324" s="77" t="str">
        <f>'Test 4-Stats'!X322</f>
        <v>D-MAX 250 HO FLEETSIDE (SAFETY)</v>
      </c>
      <c r="F324" s="77" t="str">
        <f t="array" ref="F324:G324">'Test 4-Stats'!Z322:AA322</f>
        <v>DIESEL</v>
      </c>
      <c r="G324" s="77">
        <v>2498.0</v>
      </c>
      <c r="H324" s="77" t="str">
        <f t="array" ref="H324:M324">'Test 4-Stats'!C322:H322</f>
        <v>Business Unit 2</v>
      </c>
      <c r="I324" s="77" t="s">
        <v>125</v>
      </c>
      <c r="J324" s="77" t="s">
        <v>126</v>
      </c>
      <c r="K324" s="77" t="s">
        <v>112</v>
      </c>
      <c r="L324" s="77" t="s">
        <v>113</v>
      </c>
      <c r="M324" s="77" t="s">
        <v>129</v>
      </c>
      <c r="N324" s="78">
        <f t="array" ref="N324:P324">'Test 4-Stats'!AL322:AN322</f>
        <v>44197</v>
      </c>
      <c r="O324" s="78">
        <v>46023.0</v>
      </c>
      <c r="P324" s="77">
        <v>40.0</v>
      </c>
      <c r="Q324" s="77" t="str">
        <f>'Test 4-Stats'!CX322</f>
        <v>Active</v>
      </c>
      <c r="R324" s="79"/>
      <c r="S324" s="79"/>
      <c r="T324" s="79"/>
      <c r="U324" s="79"/>
      <c r="V324" s="79"/>
      <c r="W324" s="79"/>
      <c r="X324" s="79"/>
      <c r="Y324" s="79"/>
      <c r="Z324" s="79"/>
    </row>
    <row r="325" ht="14.25" customHeight="1">
      <c r="A325" s="76" t="str">
        <f>'Test 4-Stats'!S323</f>
        <v>Reg 324</v>
      </c>
      <c r="B325" s="77">
        <f>'Test 4-Stats'!Y323</f>
        <v>2020</v>
      </c>
      <c r="C325" s="77" t="str">
        <f>'Test 4-Stats'!W323</f>
        <v>ISUZU</v>
      </c>
      <c r="D325" s="77" t="str">
        <f>'Test 4-Stats'!V323</f>
        <v>ONE TON LDV SINGLE CAB</v>
      </c>
      <c r="E325" s="77" t="str">
        <f>'Test 4-Stats'!X323</f>
        <v>D-MAX 250 HO FLEETSIDE (SAFETY)</v>
      </c>
      <c r="F325" s="77" t="str">
        <f t="array" ref="F325:G325">'Test 4-Stats'!Z323:AA323</f>
        <v>DIESEL</v>
      </c>
      <c r="G325" s="77">
        <v>2498.0</v>
      </c>
      <c r="H325" s="77" t="str">
        <f t="array" ref="H325:M325">'Test 4-Stats'!C323:H323</f>
        <v>Business Unit 3</v>
      </c>
      <c r="I325" s="77" t="s">
        <v>137</v>
      </c>
      <c r="J325" s="77" t="s">
        <v>138</v>
      </c>
      <c r="K325" s="77" t="s">
        <v>112</v>
      </c>
      <c r="L325" s="77" t="s">
        <v>113</v>
      </c>
      <c r="M325" s="77" t="s">
        <v>141</v>
      </c>
      <c r="N325" s="78">
        <f t="array" ref="N325:P325">'Test 4-Stats'!AL323:AN323</f>
        <v>44209</v>
      </c>
      <c r="O325" s="78">
        <v>46035.0</v>
      </c>
      <c r="P325" s="77">
        <v>40.0</v>
      </c>
      <c r="Q325" s="77" t="str">
        <f>'Test 4-Stats'!CX323</f>
        <v>Active</v>
      </c>
      <c r="R325" s="79"/>
      <c r="S325" s="79"/>
      <c r="T325" s="79"/>
      <c r="U325" s="79"/>
      <c r="V325" s="79"/>
      <c r="W325" s="79"/>
      <c r="X325" s="79"/>
      <c r="Y325" s="79"/>
      <c r="Z325" s="79"/>
    </row>
    <row r="326" ht="14.25" customHeight="1">
      <c r="A326" s="76" t="str">
        <f>'Test 4-Stats'!S324</f>
        <v>Reg 325</v>
      </c>
      <c r="B326" s="77">
        <f>'Test 4-Stats'!Y324</f>
        <v>2024</v>
      </c>
      <c r="C326" s="77" t="str">
        <f>'Test 4-Stats'!W324</f>
        <v>TOYOTA</v>
      </c>
      <c r="D326" s="77" t="str">
        <f>'Test 4-Stats'!V324</f>
        <v>MINIBUS</v>
      </c>
      <c r="E326" s="77" t="str">
        <f>'Test 4-Stats'!X324</f>
        <v>QUANTUM 2.5 D-4D SESFIKILE 16-SEATER BUS</v>
      </c>
      <c r="F326" s="77" t="str">
        <f t="array" ref="F326:G326">'Test 4-Stats'!Z324:AA324</f>
        <v>DIESEL</v>
      </c>
      <c r="G326" s="77">
        <v>2498.0</v>
      </c>
      <c r="H326" s="77" t="str">
        <f t="array" ref="H326:M326">'Test 4-Stats'!C324:H324</f>
        <v>Business Unit 1</v>
      </c>
      <c r="I326" s="77" t="s">
        <v>110</v>
      </c>
      <c r="J326" s="77" t="s">
        <v>111</v>
      </c>
      <c r="K326" s="77" t="s">
        <v>112</v>
      </c>
      <c r="L326" s="77" t="s">
        <v>113</v>
      </c>
      <c r="M326" s="77" t="s">
        <v>114</v>
      </c>
      <c r="N326" s="78">
        <f t="array" ref="N326:P326">'Test 4-Stats'!AL324:AN324</f>
        <v>44210</v>
      </c>
      <c r="O326" s="78">
        <v>46036.0</v>
      </c>
      <c r="P326" s="77">
        <v>60.0</v>
      </c>
      <c r="Q326" s="77" t="str">
        <f>'Test 4-Stats'!CX324</f>
        <v>Active</v>
      </c>
      <c r="R326" s="79"/>
      <c r="S326" s="79"/>
      <c r="T326" s="79"/>
      <c r="U326" s="79"/>
      <c r="V326" s="79"/>
      <c r="W326" s="79"/>
      <c r="X326" s="79"/>
      <c r="Y326" s="79"/>
      <c r="Z326" s="79"/>
    </row>
    <row r="327" ht="14.25" customHeight="1">
      <c r="A327" s="76" t="str">
        <f>'Test 4-Stats'!S325</f>
        <v>Reg 326</v>
      </c>
      <c r="B327" s="77">
        <f>'Test 4-Stats'!Y325</f>
        <v>2020</v>
      </c>
      <c r="C327" s="77" t="str">
        <f>'Test 4-Stats'!W325</f>
        <v>ISUZU</v>
      </c>
      <c r="D327" s="77" t="str">
        <f>'Test 4-Stats'!V325</f>
        <v>ONE TON LDV SINGLE CAB</v>
      </c>
      <c r="E327" s="77" t="str">
        <f>'Test 4-Stats'!X325</f>
        <v>D-MAX 250 HO FLEETSIDE (SAFETY)</v>
      </c>
      <c r="F327" s="77" t="str">
        <f t="array" ref="F327:G327">'Test 4-Stats'!Z325:AA325</f>
        <v>DIESEL</v>
      </c>
      <c r="G327" s="77">
        <v>2498.0</v>
      </c>
      <c r="H327" s="77" t="str">
        <f t="array" ref="H327:M327">'Test 4-Stats'!C325:H325</f>
        <v>Business Unit 2</v>
      </c>
      <c r="I327" s="77" t="s">
        <v>125</v>
      </c>
      <c r="J327" s="77" t="s">
        <v>126</v>
      </c>
      <c r="K327" s="77" t="s">
        <v>112</v>
      </c>
      <c r="L327" s="77" t="s">
        <v>113</v>
      </c>
      <c r="M327" s="77" t="s">
        <v>129</v>
      </c>
      <c r="N327" s="78">
        <f t="array" ref="N327:P327">'Test 4-Stats'!AL325:AN325</f>
        <v>44209</v>
      </c>
      <c r="O327" s="78">
        <v>46035.0</v>
      </c>
      <c r="P327" s="77">
        <v>40.0</v>
      </c>
      <c r="Q327" s="77" t="str">
        <f>'Test 4-Stats'!CX325</f>
        <v>Active</v>
      </c>
      <c r="R327" s="79"/>
      <c r="S327" s="79"/>
      <c r="T327" s="79"/>
      <c r="U327" s="79"/>
      <c r="V327" s="79"/>
      <c r="W327" s="79"/>
      <c r="X327" s="79"/>
      <c r="Y327" s="79"/>
      <c r="Z327" s="79"/>
    </row>
    <row r="328" ht="14.25" customHeight="1">
      <c r="A328" s="76" t="str">
        <f>'Test 4-Stats'!S326</f>
        <v>Reg 327</v>
      </c>
      <c r="B328" s="77">
        <f>'Test 4-Stats'!Y326</f>
        <v>2020</v>
      </c>
      <c r="C328" s="77" t="str">
        <f>'Test 4-Stats'!W326</f>
        <v>ISUZU</v>
      </c>
      <c r="D328" s="77" t="str">
        <f>'Test 4-Stats'!V326</f>
        <v>ONE TON LDV SINGLE CAB</v>
      </c>
      <c r="E328" s="77" t="str">
        <f>'Test 4-Stats'!X326</f>
        <v>D-MAX 250 HO FLEETSIDE (SAFETY)</v>
      </c>
      <c r="F328" s="77" t="str">
        <f t="array" ref="F328:G328">'Test 4-Stats'!Z326:AA326</f>
        <v>DIESEL</v>
      </c>
      <c r="G328" s="77">
        <v>2498.0</v>
      </c>
      <c r="H328" s="77" t="str">
        <f t="array" ref="H328:M328">'Test 4-Stats'!C326:H326</f>
        <v>Business Unit 3</v>
      </c>
      <c r="I328" s="77" t="s">
        <v>137</v>
      </c>
      <c r="J328" s="77" t="s">
        <v>138</v>
      </c>
      <c r="K328" s="77" t="s">
        <v>112</v>
      </c>
      <c r="L328" s="77" t="s">
        <v>113</v>
      </c>
      <c r="M328" s="77" t="s">
        <v>141</v>
      </c>
      <c r="N328" s="78">
        <f t="array" ref="N328:P328">'Test 4-Stats'!AL326:AN326</f>
        <v>44212</v>
      </c>
      <c r="O328" s="78">
        <v>46038.0</v>
      </c>
      <c r="P328" s="77">
        <v>40.0</v>
      </c>
      <c r="Q328" s="77" t="str">
        <f>'Test 4-Stats'!CX326</f>
        <v>Active</v>
      </c>
      <c r="R328" s="79"/>
      <c r="S328" s="79"/>
      <c r="T328" s="79"/>
      <c r="U328" s="79"/>
      <c r="V328" s="79"/>
      <c r="W328" s="79"/>
      <c r="X328" s="79"/>
      <c r="Y328" s="79"/>
      <c r="Z328" s="79"/>
    </row>
    <row r="329" ht="14.25" customHeight="1">
      <c r="A329" s="76" t="str">
        <f>'Test 4-Stats'!S327</f>
        <v>Reg 328</v>
      </c>
      <c r="B329" s="77">
        <f>'Test 4-Stats'!Y327</f>
        <v>2020</v>
      </c>
      <c r="C329" s="77" t="str">
        <f>'Test 4-Stats'!W327</f>
        <v>ISUZU</v>
      </c>
      <c r="D329" s="77" t="str">
        <f>'Test 4-Stats'!V327</f>
        <v>ONE TON LDV SINGLE CAB</v>
      </c>
      <c r="E329" s="77" t="str">
        <f>'Test 4-Stats'!X327</f>
        <v>D-MAX 250 HO FLEETSIDE (SAFETY)</v>
      </c>
      <c r="F329" s="77" t="str">
        <f t="array" ref="F329:G329">'Test 4-Stats'!Z327:AA327</f>
        <v>DIESEL</v>
      </c>
      <c r="G329" s="77">
        <v>2498.0</v>
      </c>
      <c r="H329" s="77" t="str">
        <f t="array" ref="H329:M329">'Test 4-Stats'!C327:H327</f>
        <v>Business Unit 1</v>
      </c>
      <c r="I329" s="77" t="s">
        <v>110</v>
      </c>
      <c r="J329" s="77" t="s">
        <v>111</v>
      </c>
      <c r="K329" s="77" t="s">
        <v>112</v>
      </c>
      <c r="L329" s="77" t="s">
        <v>113</v>
      </c>
      <c r="M329" s="77" t="s">
        <v>114</v>
      </c>
      <c r="N329" s="78">
        <f t="array" ref="N329:P329">'Test 4-Stats'!AL327:AN327</f>
        <v>44213</v>
      </c>
      <c r="O329" s="78">
        <v>46039.0</v>
      </c>
      <c r="P329" s="77">
        <v>40.0</v>
      </c>
      <c r="Q329" s="77" t="str">
        <f>'Test 4-Stats'!CX327</f>
        <v>Active</v>
      </c>
      <c r="R329" s="79"/>
      <c r="S329" s="79"/>
      <c r="T329" s="79"/>
      <c r="U329" s="79"/>
      <c r="V329" s="79"/>
      <c r="W329" s="79"/>
      <c r="X329" s="79"/>
      <c r="Y329" s="79"/>
      <c r="Z329" s="79"/>
    </row>
    <row r="330" ht="14.25" customHeight="1">
      <c r="A330" s="76" t="str">
        <f>'Test 4-Stats'!S328</f>
        <v>Reg 329</v>
      </c>
      <c r="B330" s="77">
        <f>'Test 4-Stats'!Y328</f>
        <v>2020</v>
      </c>
      <c r="C330" s="77" t="str">
        <f>'Test 4-Stats'!W328</f>
        <v>ISUZU</v>
      </c>
      <c r="D330" s="77" t="str">
        <f>'Test 4-Stats'!V328</f>
        <v>ONE TON LDV SINGLE CAB</v>
      </c>
      <c r="E330" s="77" t="str">
        <f>'Test 4-Stats'!X328</f>
        <v>D-MAX 250 HO FLEETSIDE (SAFETY)</v>
      </c>
      <c r="F330" s="77" t="str">
        <f t="array" ref="F330:G330">'Test 4-Stats'!Z328:AA328</f>
        <v>DIESEL</v>
      </c>
      <c r="G330" s="77">
        <v>2498.0</v>
      </c>
      <c r="H330" s="77" t="str">
        <f t="array" ref="H330:M330">'Test 4-Stats'!C328:H328</f>
        <v>Business Unit 2</v>
      </c>
      <c r="I330" s="77" t="s">
        <v>125</v>
      </c>
      <c r="J330" s="77" t="s">
        <v>126</v>
      </c>
      <c r="K330" s="77" t="s">
        <v>112</v>
      </c>
      <c r="L330" s="77" t="s">
        <v>113</v>
      </c>
      <c r="M330" s="77" t="s">
        <v>129</v>
      </c>
      <c r="N330" s="78">
        <f t="array" ref="N330:P330">'Test 4-Stats'!AL328:AN328</f>
        <v>44214</v>
      </c>
      <c r="O330" s="78">
        <v>46040.0</v>
      </c>
      <c r="P330" s="77">
        <v>40.0</v>
      </c>
      <c r="Q330" s="77" t="str">
        <f>'Test 4-Stats'!CX328</f>
        <v>Active</v>
      </c>
      <c r="R330" s="79"/>
      <c r="S330" s="79"/>
      <c r="T330" s="79"/>
      <c r="U330" s="79"/>
      <c r="V330" s="79"/>
      <c r="W330" s="79"/>
      <c r="X330" s="79"/>
      <c r="Y330" s="79"/>
      <c r="Z330" s="79"/>
    </row>
    <row r="331" ht="14.25" customHeight="1">
      <c r="A331" s="76" t="str">
        <f>'Test 4-Stats'!S329</f>
        <v>Reg 330</v>
      </c>
      <c r="B331" s="77">
        <f>'Test 4-Stats'!Y329</f>
        <v>2020</v>
      </c>
      <c r="C331" s="77" t="str">
        <f>'Test 4-Stats'!W329</f>
        <v>ISUZU</v>
      </c>
      <c r="D331" s="77" t="str">
        <f>'Test 4-Stats'!V329</f>
        <v>ONE TON LDV SINGLE CAB</v>
      </c>
      <c r="E331" s="77" t="str">
        <f>'Test 4-Stats'!X329</f>
        <v>D-MAX 250 HO FLEETSIDE (SAFETY)</v>
      </c>
      <c r="F331" s="77" t="str">
        <f t="array" ref="F331:G331">'Test 4-Stats'!Z329:AA329</f>
        <v>DIESEL</v>
      </c>
      <c r="G331" s="77">
        <v>2498.0</v>
      </c>
      <c r="H331" s="77" t="str">
        <f t="array" ref="H331:M331">'Test 4-Stats'!C329:H329</f>
        <v>Business Unit 3</v>
      </c>
      <c r="I331" s="77" t="s">
        <v>137</v>
      </c>
      <c r="J331" s="77" t="s">
        <v>138</v>
      </c>
      <c r="K331" s="77" t="s">
        <v>112</v>
      </c>
      <c r="L331" s="77" t="s">
        <v>113</v>
      </c>
      <c r="M331" s="77" t="s">
        <v>141</v>
      </c>
      <c r="N331" s="78">
        <f t="array" ref="N331:P331">'Test 4-Stats'!AL329:AN329</f>
        <v>44215</v>
      </c>
      <c r="O331" s="78">
        <v>46041.0</v>
      </c>
      <c r="P331" s="77">
        <v>40.0</v>
      </c>
      <c r="Q331" s="77" t="str">
        <f>'Test 4-Stats'!CX329</f>
        <v>Active</v>
      </c>
      <c r="R331" s="79"/>
      <c r="S331" s="79"/>
      <c r="T331" s="79"/>
      <c r="U331" s="79"/>
      <c r="V331" s="79"/>
      <c r="W331" s="79"/>
      <c r="X331" s="79"/>
      <c r="Y331" s="79"/>
      <c r="Z331" s="79"/>
    </row>
    <row r="332" ht="14.25" customHeight="1">
      <c r="A332" s="76" t="str">
        <f>'Test 4-Stats'!S330</f>
        <v>Reg 331</v>
      </c>
      <c r="B332" s="77">
        <f>'Test 4-Stats'!Y330</f>
        <v>2020</v>
      </c>
      <c r="C332" s="77" t="str">
        <f>'Test 4-Stats'!W330</f>
        <v>NISSAN</v>
      </c>
      <c r="D332" s="77" t="str">
        <f>'Test 4-Stats'!V330</f>
        <v>SEDAN</v>
      </c>
      <c r="E332" s="77" t="str">
        <f>'Test 4-Stats'!X330</f>
        <v>ALMERA 1.5 ACENTA</v>
      </c>
      <c r="F332" s="77" t="str">
        <f t="array" ref="F332:G332">'Test 4-Stats'!Z330:AA330</f>
        <v>PETROL</v>
      </c>
      <c r="G332" s="77">
        <v>1498.0</v>
      </c>
      <c r="H332" s="77" t="str">
        <f t="array" ref="H332:M332">'Test 4-Stats'!C330:H330</f>
        <v>Business Unit 1</v>
      </c>
      <c r="I332" s="77" t="s">
        <v>110</v>
      </c>
      <c r="J332" s="77" t="s">
        <v>111</v>
      </c>
      <c r="K332" s="77" t="s">
        <v>231</v>
      </c>
      <c r="L332" s="77" t="s">
        <v>113</v>
      </c>
      <c r="M332" s="77" t="s">
        <v>114</v>
      </c>
      <c r="N332" s="78">
        <f t="array" ref="N332:P332">'Test 4-Stats'!AL330:AN330</f>
        <v>44216</v>
      </c>
      <c r="O332" s="78">
        <v>46042.0</v>
      </c>
      <c r="P332" s="77">
        <v>37.0</v>
      </c>
      <c r="Q332" s="77" t="str">
        <f>'Test 4-Stats'!CX330</f>
        <v>Active</v>
      </c>
      <c r="R332" s="79"/>
      <c r="S332" s="79"/>
      <c r="T332" s="79"/>
      <c r="U332" s="79"/>
      <c r="V332" s="79"/>
      <c r="W332" s="79"/>
      <c r="X332" s="79"/>
      <c r="Y332" s="79"/>
      <c r="Z332" s="79"/>
    </row>
    <row r="333" ht="14.25" customHeight="1">
      <c r="A333" s="76" t="str">
        <f>'Test 4-Stats'!S331</f>
        <v>Reg 332</v>
      </c>
      <c r="B333" s="77">
        <f>'Test 4-Stats'!Y331</f>
        <v>2020</v>
      </c>
      <c r="C333" s="77" t="str">
        <f>'Test 4-Stats'!W331</f>
        <v>ISUZU</v>
      </c>
      <c r="D333" s="77" t="str">
        <f>'Test 4-Stats'!V331</f>
        <v>ONE TON LDV DOUBLE CAB</v>
      </c>
      <c r="E333" s="77" t="str">
        <f>'Test 4-Stats'!X331</f>
        <v>D-MAX 250 HO HI-RIDER D/CAB</v>
      </c>
      <c r="F333" s="77" t="str">
        <f t="array" ref="F333:G333">'Test 4-Stats'!Z331:AA331</f>
        <v>DIESEL</v>
      </c>
      <c r="G333" s="77">
        <v>2498.0</v>
      </c>
      <c r="H333" s="77" t="str">
        <f t="array" ref="H333:M333">'Test 4-Stats'!C331:H331</f>
        <v>Business Unit 2</v>
      </c>
      <c r="I333" s="77" t="s">
        <v>125</v>
      </c>
      <c r="J333" s="77" t="s">
        <v>126</v>
      </c>
      <c r="K333" s="77" t="s">
        <v>112</v>
      </c>
      <c r="L333" s="77" t="s">
        <v>113</v>
      </c>
      <c r="M333" s="77" t="s">
        <v>129</v>
      </c>
      <c r="N333" s="78">
        <f t="array" ref="N333:P333">'Test 4-Stats'!AL331:AN331</f>
        <v>44339</v>
      </c>
      <c r="O333" s="78">
        <v>46165.0</v>
      </c>
      <c r="P333" s="77">
        <v>60.0</v>
      </c>
      <c r="Q333" s="77" t="str">
        <f>'Test 4-Stats'!CX331</f>
        <v>Active</v>
      </c>
      <c r="R333" s="79"/>
      <c r="S333" s="79"/>
      <c r="T333" s="79"/>
      <c r="U333" s="79"/>
      <c r="V333" s="79"/>
      <c r="W333" s="79"/>
      <c r="X333" s="79"/>
      <c r="Y333" s="79"/>
      <c r="Z333" s="79"/>
    </row>
    <row r="334" ht="14.25" customHeight="1">
      <c r="A334" s="76" t="str">
        <f>'Test 4-Stats'!S332</f>
        <v>Reg 333</v>
      </c>
      <c r="B334" s="77">
        <f>'Test 4-Stats'!Y332</f>
        <v>2024</v>
      </c>
      <c r="C334" s="77" t="str">
        <f>'Test 4-Stats'!W332</f>
        <v>TOYOTA</v>
      </c>
      <c r="D334" s="77" t="str">
        <f>'Test 4-Stats'!V332</f>
        <v>MINIBUS</v>
      </c>
      <c r="E334" s="77" t="str">
        <f>'Test 4-Stats'!X332</f>
        <v>QUANTUM 2.5 D-4D SESFIKILE 16-SEATER BUS</v>
      </c>
      <c r="F334" s="77" t="str">
        <f t="array" ref="F334:G334">'Test 4-Stats'!Z332:AA332</f>
        <v>DIESEL</v>
      </c>
      <c r="G334" s="77">
        <v>2498.0</v>
      </c>
      <c r="H334" s="77" t="str">
        <f t="array" ref="H334:M334">'Test 4-Stats'!C332:H332</f>
        <v>Business Unit 1</v>
      </c>
      <c r="I334" s="77" t="s">
        <v>137</v>
      </c>
      <c r="J334" s="77" t="s">
        <v>138</v>
      </c>
      <c r="K334" s="77" t="s">
        <v>112</v>
      </c>
      <c r="L334" s="77" t="s">
        <v>113</v>
      </c>
      <c r="M334" s="77" t="s">
        <v>141</v>
      </c>
      <c r="N334" s="78">
        <f t="array" ref="N334:P334">'Test 4-Stats'!AL332:AN332</f>
        <v>44338</v>
      </c>
      <c r="O334" s="78">
        <v>46164.0</v>
      </c>
      <c r="P334" s="77">
        <v>60.0</v>
      </c>
      <c r="Q334" s="77" t="str">
        <f>'Test 4-Stats'!CX332</f>
        <v>Active</v>
      </c>
      <c r="R334" s="79"/>
      <c r="S334" s="79"/>
      <c r="T334" s="79"/>
      <c r="U334" s="79"/>
      <c r="V334" s="79"/>
      <c r="W334" s="79"/>
      <c r="X334" s="79"/>
      <c r="Y334" s="79"/>
      <c r="Z334" s="79"/>
    </row>
    <row r="335" ht="14.25" customHeight="1">
      <c r="A335" s="76" t="str">
        <f>'Test 4-Stats'!S333</f>
        <v>Reg 334</v>
      </c>
      <c r="B335" s="77">
        <f>'Test 4-Stats'!Y333</f>
        <v>2020</v>
      </c>
      <c r="C335" s="77" t="str">
        <f>'Test 4-Stats'!W333</f>
        <v>FORD</v>
      </c>
      <c r="D335" s="77" t="str">
        <f>'Test 4-Stats'!V333</f>
        <v>MINIBUS</v>
      </c>
      <c r="E335" s="77" t="str">
        <f>'Test 4-Stats'!X333</f>
        <v>TOURNEO CUSTOM 2.2 TDCI AMBIENTE LWB</v>
      </c>
      <c r="F335" s="77" t="str">
        <f t="array" ref="F335:G335">'Test 4-Stats'!Z333:AA333</f>
        <v>DIESEL</v>
      </c>
      <c r="G335" s="77">
        <v>2198.0</v>
      </c>
      <c r="H335" s="77" t="str">
        <f t="array" ref="H335:M335">'Test 4-Stats'!C333:H333</f>
        <v>Business Unit 2</v>
      </c>
      <c r="I335" s="77" t="s">
        <v>110</v>
      </c>
      <c r="J335" s="77" t="s">
        <v>111</v>
      </c>
      <c r="K335" s="77" t="s">
        <v>112</v>
      </c>
      <c r="L335" s="77" t="s">
        <v>113</v>
      </c>
      <c r="M335" s="77" t="s">
        <v>114</v>
      </c>
      <c r="N335" s="78">
        <f t="array" ref="N335:P335">'Test 4-Stats'!AL333:AN333</f>
        <v>44339</v>
      </c>
      <c r="O335" s="78">
        <v>46165.0</v>
      </c>
      <c r="P335" s="77">
        <v>42.0</v>
      </c>
      <c r="Q335" s="77" t="str">
        <f>'Test 4-Stats'!CX333</f>
        <v>Active</v>
      </c>
      <c r="R335" s="79"/>
      <c r="S335" s="79"/>
      <c r="T335" s="79"/>
      <c r="U335" s="79"/>
      <c r="V335" s="79"/>
      <c r="W335" s="79"/>
      <c r="X335" s="79"/>
      <c r="Y335" s="79"/>
      <c r="Z335" s="79"/>
    </row>
    <row r="336" ht="14.25" customHeight="1">
      <c r="A336" s="76" t="str">
        <f>'Test 4-Stats'!S334</f>
        <v>Reg 335</v>
      </c>
      <c r="B336" s="77">
        <f>'Test 4-Stats'!Y334</f>
        <v>2024</v>
      </c>
      <c r="C336" s="77" t="str">
        <f>'Test 4-Stats'!W334</f>
        <v>TOYOTA</v>
      </c>
      <c r="D336" s="77" t="str">
        <f>'Test 4-Stats'!V334</f>
        <v>MINIBUS</v>
      </c>
      <c r="E336" s="77" t="str">
        <f>'Test 4-Stats'!X334</f>
        <v>QUANTUM 2.5 D-4D SESFIKILE 16-SEATER BUS</v>
      </c>
      <c r="F336" s="77" t="str">
        <f t="array" ref="F336:G336">'Test 4-Stats'!Z334:AA334</f>
        <v>DIESEL</v>
      </c>
      <c r="G336" s="77">
        <v>2498.0</v>
      </c>
      <c r="H336" s="77" t="str">
        <f t="array" ref="H336:M336">'Test 4-Stats'!C334:H334</f>
        <v>Business Unit 3</v>
      </c>
      <c r="I336" s="77" t="s">
        <v>125</v>
      </c>
      <c r="J336" s="77" t="s">
        <v>126</v>
      </c>
      <c r="K336" s="77" t="s">
        <v>112</v>
      </c>
      <c r="L336" s="77" t="s">
        <v>113</v>
      </c>
      <c r="M336" s="77" t="s">
        <v>129</v>
      </c>
      <c r="N336" s="78">
        <f t="array" ref="N336:P336">'Test 4-Stats'!AL334:AN334</f>
        <v>44340</v>
      </c>
      <c r="O336" s="78">
        <v>46166.0</v>
      </c>
      <c r="P336" s="77">
        <v>60.0</v>
      </c>
      <c r="Q336" s="77" t="str">
        <f>'Test 4-Stats'!CX334</f>
        <v>Active</v>
      </c>
      <c r="R336" s="79"/>
      <c r="S336" s="79"/>
      <c r="T336" s="79"/>
      <c r="U336" s="79"/>
      <c r="V336" s="79"/>
      <c r="W336" s="79"/>
      <c r="X336" s="79"/>
      <c r="Y336" s="79"/>
      <c r="Z336" s="79"/>
    </row>
    <row r="337" ht="14.25" customHeight="1">
      <c r="A337" s="76" t="str">
        <f>'Test 4-Stats'!S335</f>
        <v>Reg 336</v>
      </c>
      <c r="B337" s="77">
        <f>'Test 4-Stats'!Y335</f>
        <v>2024</v>
      </c>
      <c r="C337" s="77" t="str">
        <f>'Test 4-Stats'!W335</f>
        <v>TOYOTA</v>
      </c>
      <c r="D337" s="77" t="str">
        <f>'Test 4-Stats'!V335</f>
        <v>MINIBUS</v>
      </c>
      <c r="E337" s="77" t="str">
        <f>'Test 4-Stats'!X335</f>
        <v>QUANTUM 2.5 D-4D SESFIKILE 16-SEATER BUS</v>
      </c>
      <c r="F337" s="77" t="str">
        <f t="array" ref="F337:G337">'Test 4-Stats'!Z335:AA335</f>
        <v>DIESEL</v>
      </c>
      <c r="G337" s="77">
        <v>2498.0</v>
      </c>
      <c r="H337" s="77" t="str">
        <f t="array" ref="H337:M337">'Test 4-Stats'!C335:H335</f>
        <v>Business Unit 1</v>
      </c>
      <c r="I337" s="77" t="s">
        <v>137</v>
      </c>
      <c r="J337" s="77" t="s">
        <v>138</v>
      </c>
      <c r="K337" s="77" t="s">
        <v>112</v>
      </c>
      <c r="L337" s="77" t="s">
        <v>113</v>
      </c>
      <c r="M337" s="77" t="s">
        <v>141</v>
      </c>
      <c r="N337" s="78">
        <f t="array" ref="N337:P337">'Test 4-Stats'!AL335:AN335</f>
        <v>44341</v>
      </c>
      <c r="O337" s="78">
        <v>46167.0</v>
      </c>
      <c r="P337" s="77">
        <v>60.0</v>
      </c>
      <c r="Q337" s="77" t="str">
        <f>'Test 4-Stats'!CX335</f>
        <v>Active</v>
      </c>
      <c r="R337" s="79"/>
      <c r="S337" s="79"/>
      <c r="T337" s="79"/>
      <c r="U337" s="79"/>
      <c r="V337" s="79"/>
      <c r="W337" s="79"/>
      <c r="X337" s="79"/>
      <c r="Y337" s="79"/>
      <c r="Z337" s="79"/>
    </row>
    <row r="338" ht="14.25" customHeight="1">
      <c r="A338" s="76" t="str">
        <f>'Test 4-Stats'!S336</f>
        <v>Reg 337</v>
      </c>
      <c r="B338" s="77">
        <f>'Test 4-Stats'!Y336</f>
        <v>2024</v>
      </c>
      <c r="C338" s="77" t="str">
        <f>'Test 4-Stats'!W336</f>
        <v>TOYOTA</v>
      </c>
      <c r="D338" s="77" t="str">
        <f>'Test 4-Stats'!V336</f>
        <v>MINIBUS</v>
      </c>
      <c r="E338" s="77" t="str">
        <f>'Test 4-Stats'!X336</f>
        <v>QUANTUM 2.5 D-4D SESFIKILE 16-SEATER BUS</v>
      </c>
      <c r="F338" s="77" t="str">
        <f t="array" ref="F338:G338">'Test 4-Stats'!Z336:AA336</f>
        <v>DIESEL</v>
      </c>
      <c r="G338" s="77">
        <v>2498.0</v>
      </c>
      <c r="H338" s="77" t="str">
        <f t="array" ref="H338:M338">'Test 4-Stats'!C336:H336</f>
        <v>Business Unit 2</v>
      </c>
      <c r="I338" s="77" t="s">
        <v>110</v>
      </c>
      <c r="J338" s="77" t="s">
        <v>111</v>
      </c>
      <c r="K338" s="77" t="s">
        <v>112</v>
      </c>
      <c r="L338" s="77" t="s">
        <v>113</v>
      </c>
      <c r="M338" s="77" t="s">
        <v>114</v>
      </c>
      <c r="N338" s="78">
        <f t="array" ref="N338:P338">'Test 4-Stats'!AL336:AN336</f>
        <v>44342</v>
      </c>
      <c r="O338" s="78">
        <v>46168.0</v>
      </c>
      <c r="P338" s="77">
        <v>60.0</v>
      </c>
      <c r="Q338" s="77" t="str">
        <f>'Test 4-Stats'!CX336</f>
        <v>Active</v>
      </c>
      <c r="R338" s="79"/>
      <c r="S338" s="79"/>
      <c r="T338" s="79"/>
      <c r="U338" s="79"/>
      <c r="V338" s="79"/>
      <c r="W338" s="79"/>
      <c r="X338" s="79"/>
      <c r="Y338" s="79"/>
      <c r="Z338" s="79"/>
    </row>
    <row r="339" ht="14.25" customHeight="1">
      <c r="A339" s="76" t="str">
        <f>'Test 4-Stats'!S337</f>
        <v>Reg 338</v>
      </c>
      <c r="B339" s="77">
        <f>'Test 4-Stats'!Y337</f>
        <v>2020</v>
      </c>
      <c r="C339" s="77" t="str">
        <f>'Test 4-Stats'!W337</f>
        <v>FORD</v>
      </c>
      <c r="D339" s="77" t="str">
        <f>'Test 4-Stats'!V337</f>
        <v>MINIBUS</v>
      </c>
      <c r="E339" s="77" t="str">
        <f>'Test 4-Stats'!X337</f>
        <v>TOURNEO CUSTOM 2.2 TDCI AMBIENTE LWB</v>
      </c>
      <c r="F339" s="77" t="str">
        <f t="array" ref="F339:G339">'Test 4-Stats'!Z337:AA337</f>
        <v>DIESEL</v>
      </c>
      <c r="G339" s="77">
        <v>2198.0</v>
      </c>
      <c r="H339" s="77" t="str">
        <f t="array" ref="H339:M339">'Test 4-Stats'!C337:H337</f>
        <v>Business Unit 3</v>
      </c>
      <c r="I339" s="77" t="s">
        <v>125</v>
      </c>
      <c r="J339" s="77" t="s">
        <v>126</v>
      </c>
      <c r="K339" s="77" t="s">
        <v>112</v>
      </c>
      <c r="L339" s="77" t="s">
        <v>113</v>
      </c>
      <c r="M339" s="77" t="s">
        <v>129</v>
      </c>
      <c r="N339" s="78">
        <f t="array" ref="N339:P339">'Test 4-Stats'!AL337:AN337</f>
        <v>44343</v>
      </c>
      <c r="O339" s="78">
        <v>46169.0</v>
      </c>
      <c r="P339" s="77">
        <v>60.0</v>
      </c>
      <c r="Q339" s="77" t="str">
        <f>'Test 4-Stats'!CX337</f>
        <v>Active</v>
      </c>
      <c r="R339" s="79"/>
      <c r="S339" s="79"/>
      <c r="T339" s="79"/>
      <c r="U339" s="79"/>
      <c r="V339" s="79"/>
      <c r="W339" s="79"/>
      <c r="X339" s="79"/>
      <c r="Y339" s="79"/>
      <c r="Z339" s="79"/>
    </row>
    <row r="340" ht="14.25" customHeight="1">
      <c r="A340" s="76" t="str">
        <f>'Test 4-Stats'!S338</f>
        <v>Reg 339</v>
      </c>
      <c r="B340" s="77">
        <f>'Test 4-Stats'!Y338</f>
        <v>2020</v>
      </c>
      <c r="C340" s="77" t="str">
        <f>'Test 4-Stats'!W338</f>
        <v>NISSAN</v>
      </c>
      <c r="D340" s="77" t="str">
        <f>'Test 4-Stats'!V338</f>
        <v>SEDAN</v>
      </c>
      <c r="E340" s="77" t="str">
        <f>'Test 4-Stats'!X338</f>
        <v>ALMERA 1.5 ACENTA</v>
      </c>
      <c r="F340" s="77" t="str">
        <f t="array" ref="F340:G340">'Test 4-Stats'!Z338:AA338</f>
        <v>PETROL</v>
      </c>
      <c r="G340" s="77">
        <v>1498.0</v>
      </c>
      <c r="H340" s="77" t="str">
        <f t="array" ref="H340:M340">'Test 4-Stats'!C338:H338</f>
        <v>Business Unit 1</v>
      </c>
      <c r="I340" s="77" t="s">
        <v>137</v>
      </c>
      <c r="J340" s="77" t="s">
        <v>138</v>
      </c>
      <c r="K340" s="77" t="s">
        <v>112</v>
      </c>
      <c r="L340" s="77" t="s">
        <v>113</v>
      </c>
      <c r="M340" s="77" t="s">
        <v>141</v>
      </c>
      <c r="N340" s="78">
        <f t="array" ref="N340:P340">'Test 4-Stats'!AL338:AN338</f>
        <v>44344</v>
      </c>
      <c r="O340" s="78">
        <v>46170.0</v>
      </c>
      <c r="P340" s="77">
        <v>42.0</v>
      </c>
      <c r="Q340" s="77" t="str">
        <f>'Test 4-Stats'!CX338</f>
        <v>Active</v>
      </c>
      <c r="R340" s="79"/>
      <c r="S340" s="79"/>
      <c r="T340" s="79"/>
      <c r="U340" s="79"/>
      <c r="V340" s="79"/>
      <c r="W340" s="79"/>
      <c r="X340" s="79"/>
      <c r="Y340" s="79"/>
      <c r="Z340" s="79"/>
    </row>
    <row r="341" ht="14.25" customHeight="1">
      <c r="A341" s="76" t="str">
        <f>'Test 4-Stats'!S339</f>
        <v>Reg 340</v>
      </c>
      <c r="B341" s="77">
        <f>'Test 4-Stats'!Y339</f>
        <v>2024</v>
      </c>
      <c r="C341" s="77" t="str">
        <f>'Test 4-Stats'!W339</f>
        <v>NISSAN</v>
      </c>
      <c r="D341" s="77" t="str">
        <f>'Test 4-Stats'!V339</f>
        <v>ONE TON LDV DOUBLE CAB</v>
      </c>
      <c r="E341" s="77" t="str">
        <f>'Test 4-Stats'!X339</f>
        <v>NAVARA 2.5D SE 4X4 D CAB</v>
      </c>
      <c r="F341" s="77" t="str">
        <f t="array" ref="F341:G341">'Test 4-Stats'!Z339:AA339</f>
        <v>DIESEL</v>
      </c>
      <c r="G341" s="77">
        <v>2498.0</v>
      </c>
      <c r="H341" s="77" t="str">
        <f t="array" ref="H341:M341">'Test 4-Stats'!C339:H339</f>
        <v>Business Unit 2</v>
      </c>
      <c r="I341" s="77" t="s">
        <v>110</v>
      </c>
      <c r="J341" s="77" t="s">
        <v>111</v>
      </c>
      <c r="K341" s="77" t="s">
        <v>231</v>
      </c>
      <c r="L341" s="77" t="s">
        <v>113</v>
      </c>
      <c r="M341" s="77" t="s">
        <v>114</v>
      </c>
      <c r="N341" s="78">
        <f t="array" ref="N341:P341">'Test 4-Stats'!AL339:AN339</f>
        <v>44345</v>
      </c>
      <c r="O341" s="78">
        <v>46171.0</v>
      </c>
      <c r="P341" s="77">
        <v>31.0</v>
      </c>
      <c r="Q341" s="77" t="str">
        <f>'Test 4-Stats'!CX339</f>
        <v>Active</v>
      </c>
      <c r="R341" s="79"/>
      <c r="S341" s="79"/>
      <c r="T341" s="79"/>
      <c r="U341" s="79"/>
      <c r="V341" s="79"/>
      <c r="W341" s="79"/>
      <c r="X341" s="79"/>
      <c r="Y341" s="79"/>
      <c r="Z341" s="79"/>
    </row>
    <row r="342" ht="14.25" customHeight="1">
      <c r="A342" s="76" t="str">
        <f>'Test 4-Stats'!S340</f>
        <v>Reg 341</v>
      </c>
      <c r="B342" s="77">
        <f>'Test 4-Stats'!Y340</f>
        <v>2020</v>
      </c>
      <c r="C342" s="77" t="str">
        <f>'Test 4-Stats'!W340</f>
        <v>FORD</v>
      </c>
      <c r="D342" s="77" t="str">
        <f>'Test 4-Stats'!V340</f>
        <v>MINIBUS</v>
      </c>
      <c r="E342" s="77" t="str">
        <f>'Test 4-Stats'!X340</f>
        <v>TOURNEO CUSTOM 2.2 TDCI AMBIENTE LWB</v>
      </c>
      <c r="F342" s="77" t="str">
        <f t="array" ref="F342:G342">'Test 4-Stats'!Z340:AA340</f>
        <v>DIESEL</v>
      </c>
      <c r="G342" s="77">
        <v>2198.0</v>
      </c>
      <c r="H342" s="77" t="str">
        <f t="array" ref="H342:M342">'Test 4-Stats'!C340:H340</f>
        <v>Business Unit 3</v>
      </c>
      <c r="I342" s="77" t="s">
        <v>125</v>
      </c>
      <c r="J342" s="77" t="s">
        <v>126</v>
      </c>
      <c r="K342" s="77" t="s">
        <v>112</v>
      </c>
      <c r="L342" s="77" t="s">
        <v>113</v>
      </c>
      <c r="M342" s="77" t="s">
        <v>129</v>
      </c>
      <c r="N342" s="78">
        <f t="array" ref="N342:P342">'Test 4-Stats'!AL340:AN340</f>
        <v>44346</v>
      </c>
      <c r="O342" s="78">
        <v>46172.0</v>
      </c>
      <c r="P342" s="77">
        <v>60.0</v>
      </c>
      <c r="Q342" s="77" t="str">
        <f>'Test 4-Stats'!CX340</f>
        <v>Active</v>
      </c>
      <c r="R342" s="79"/>
      <c r="S342" s="79"/>
      <c r="T342" s="79"/>
      <c r="U342" s="79"/>
      <c r="V342" s="79"/>
      <c r="W342" s="79"/>
      <c r="X342" s="79"/>
      <c r="Y342" s="79"/>
      <c r="Z342" s="79"/>
    </row>
    <row r="343" ht="14.25" customHeight="1">
      <c r="A343" s="76" t="str">
        <f>'Test 4-Stats'!S341</f>
        <v>Reg 342</v>
      </c>
      <c r="B343" s="77">
        <f>'Test 4-Stats'!Y341</f>
        <v>2020</v>
      </c>
      <c r="C343" s="77" t="str">
        <f>'Test 4-Stats'!W341</f>
        <v>ISUZU</v>
      </c>
      <c r="D343" s="77" t="str">
        <f>'Test 4-Stats'!V341</f>
        <v>ONE TON LDV DOUBLE CAB</v>
      </c>
      <c r="E343" s="77" t="str">
        <f>'Test 4-Stats'!X341</f>
        <v>D-MAX 250 HO HI-RIDER D/CAB</v>
      </c>
      <c r="F343" s="77" t="str">
        <f t="array" ref="F343:G343">'Test 4-Stats'!Z341:AA341</f>
        <v>DIESEL</v>
      </c>
      <c r="G343" s="77">
        <v>2498.0</v>
      </c>
      <c r="H343" s="77" t="str">
        <f t="array" ref="H343:M343">'Test 4-Stats'!C341:H341</f>
        <v>Business Unit 1</v>
      </c>
      <c r="I343" s="77" t="s">
        <v>137</v>
      </c>
      <c r="J343" s="77" t="s">
        <v>138</v>
      </c>
      <c r="K343" s="77" t="s">
        <v>112</v>
      </c>
      <c r="L343" s="77" t="s">
        <v>113</v>
      </c>
      <c r="M343" s="77" t="s">
        <v>141</v>
      </c>
      <c r="N343" s="78">
        <f t="array" ref="N343:P343">'Test 4-Stats'!AL341:AN341</f>
        <v>44347</v>
      </c>
      <c r="O343" s="78">
        <v>46173.0</v>
      </c>
      <c r="P343" s="77">
        <v>43.0</v>
      </c>
      <c r="Q343" s="77" t="str">
        <f>'Test 4-Stats'!CX341</f>
        <v>Active</v>
      </c>
      <c r="R343" s="79"/>
      <c r="S343" s="79"/>
      <c r="T343" s="79"/>
      <c r="U343" s="79"/>
      <c r="V343" s="79"/>
      <c r="W343" s="79"/>
      <c r="X343" s="79"/>
      <c r="Y343" s="79"/>
      <c r="Z343" s="79"/>
    </row>
    <row r="344" ht="14.25" customHeight="1">
      <c r="A344" s="76" t="str">
        <f>'Test 4-Stats'!S342</f>
        <v>Reg 343</v>
      </c>
      <c r="B344" s="77">
        <f>'Test 4-Stats'!Y342</f>
        <v>2020</v>
      </c>
      <c r="C344" s="77" t="str">
        <f>'Test 4-Stats'!W342</f>
        <v>ISUZU</v>
      </c>
      <c r="D344" s="77" t="str">
        <f>'Test 4-Stats'!V342</f>
        <v>ONE TON LDV DOUBLE CAB</v>
      </c>
      <c r="E344" s="77" t="str">
        <f>'Test 4-Stats'!X342</f>
        <v>D-MAX 250 HO HI-RIDER D/CAB</v>
      </c>
      <c r="F344" s="77" t="str">
        <f t="array" ref="F344:G344">'Test 4-Stats'!Z342:AA342</f>
        <v>DIESEL</v>
      </c>
      <c r="G344" s="77">
        <v>2498.0</v>
      </c>
      <c r="H344" s="77" t="str">
        <f t="array" ref="H344:M344">'Test 4-Stats'!C342:H342</f>
        <v>Business Unit 2</v>
      </c>
      <c r="I344" s="77" t="s">
        <v>110</v>
      </c>
      <c r="J344" s="77" t="s">
        <v>111</v>
      </c>
      <c r="K344" s="77" t="s">
        <v>112</v>
      </c>
      <c r="L344" s="77" t="s">
        <v>113</v>
      </c>
      <c r="M344" s="77" t="s">
        <v>114</v>
      </c>
      <c r="N344" s="78">
        <f t="array" ref="N344:P344">'Test 4-Stats'!AL342:AN342</f>
        <v>44258</v>
      </c>
      <c r="O344" s="78">
        <v>46084.0</v>
      </c>
      <c r="P344" s="77">
        <v>43.0</v>
      </c>
      <c r="Q344" s="77" t="str">
        <f>'Test 4-Stats'!CX342</f>
        <v>Active</v>
      </c>
      <c r="R344" s="79"/>
      <c r="S344" s="79"/>
      <c r="T344" s="79"/>
      <c r="U344" s="79"/>
      <c r="V344" s="79"/>
      <c r="W344" s="79"/>
      <c r="X344" s="79"/>
      <c r="Y344" s="79"/>
      <c r="Z344" s="79"/>
    </row>
    <row r="345" ht="14.25" customHeight="1">
      <c r="A345" s="76" t="str">
        <f>'Test 4-Stats'!S343</f>
        <v>Reg 344</v>
      </c>
      <c r="B345" s="77">
        <f>'Test 4-Stats'!Y343</f>
        <v>2020</v>
      </c>
      <c r="C345" s="77" t="str">
        <f>'Test 4-Stats'!W343</f>
        <v>ISUZU</v>
      </c>
      <c r="D345" s="77" t="str">
        <f>'Test 4-Stats'!V343</f>
        <v>ONE TON LDV SINGLE CAB</v>
      </c>
      <c r="E345" s="77" t="str">
        <f>'Test 4-Stats'!X343</f>
        <v>D-MAX 250 HO FLEETSIDE (SAFETY)</v>
      </c>
      <c r="F345" s="77" t="str">
        <f t="array" ref="F345:G345">'Test 4-Stats'!Z343:AA343</f>
        <v>DIESEL</v>
      </c>
      <c r="G345" s="77">
        <v>2498.0</v>
      </c>
      <c r="H345" s="77" t="str">
        <f t="array" ref="H345:M345">'Test 4-Stats'!C343:H343</f>
        <v>Business Unit 3</v>
      </c>
      <c r="I345" s="77" t="s">
        <v>125</v>
      </c>
      <c r="J345" s="77" t="s">
        <v>126</v>
      </c>
      <c r="K345" s="77" t="s">
        <v>231</v>
      </c>
      <c r="L345" s="77" t="s">
        <v>113</v>
      </c>
      <c r="M345" s="77" t="s">
        <v>129</v>
      </c>
      <c r="N345" s="78">
        <f t="array" ref="N345:P345">'Test 4-Stats'!AL343:AN343</f>
        <v>44257</v>
      </c>
      <c r="O345" s="78">
        <v>46083.0</v>
      </c>
      <c r="P345" s="77">
        <v>60.0</v>
      </c>
      <c r="Q345" s="77" t="str">
        <f>'Test 4-Stats'!CX343</f>
        <v>Active</v>
      </c>
      <c r="R345" s="79"/>
      <c r="S345" s="79"/>
      <c r="T345" s="79"/>
      <c r="U345" s="79"/>
      <c r="V345" s="79"/>
      <c r="W345" s="79"/>
      <c r="X345" s="79"/>
      <c r="Y345" s="79"/>
      <c r="Z345" s="79"/>
    </row>
    <row r="346" ht="14.25" customHeight="1">
      <c r="A346" s="76" t="str">
        <f>'Test 4-Stats'!S344</f>
        <v>Reg 345</v>
      </c>
      <c r="B346" s="77">
        <f>'Test 4-Stats'!Y344</f>
        <v>2020</v>
      </c>
      <c r="C346" s="77" t="str">
        <f>'Test 4-Stats'!W344</f>
        <v>ISUZU</v>
      </c>
      <c r="D346" s="77" t="str">
        <f>'Test 4-Stats'!V344</f>
        <v>ONE TON LDV SINGLE CAB</v>
      </c>
      <c r="E346" s="77" t="str">
        <f>'Test 4-Stats'!X344</f>
        <v>D-MAX 250 HO FLEETSIDE (SAFETY)</v>
      </c>
      <c r="F346" s="77" t="str">
        <f t="array" ref="F346:G346">'Test 4-Stats'!Z344:AA344</f>
        <v>DIESEL</v>
      </c>
      <c r="G346" s="77">
        <v>2498.0</v>
      </c>
      <c r="H346" s="77" t="str">
        <f t="array" ref="H346:M346">'Test 4-Stats'!C344:H344</f>
        <v>Business Unit 1</v>
      </c>
      <c r="I346" s="77" t="s">
        <v>137</v>
      </c>
      <c r="J346" s="77" t="s">
        <v>138</v>
      </c>
      <c r="K346" s="77" t="s">
        <v>231</v>
      </c>
      <c r="L346" s="77" t="s">
        <v>113</v>
      </c>
      <c r="M346" s="77" t="s">
        <v>141</v>
      </c>
      <c r="N346" s="78">
        <f t="array" ref="N346:P346">'Test 4-Stats'!AL344:AN344</f>
        <v>44258</v>
      </c>
      <c r="O346" s="78">
        <v>46084.0</v>
      </c>
      <c r="P346" s="77">
        <v>60.0</v>
      </c>
      <c r="Q346" s="77" t="str">
        <f>'Test 4-Stats'!CX344</f>
        <v>Active</v>
      </c>
      <c r="R346" s="79"/>
      <c r="S346" s="79"/>
      <c r="T346" s="79"/>
      <c r="U346" s="79"/>
      <c r="V346" s="79"/>
      <c r="W346" s="79"/>
      <c r="X346" s="79"/>
      <c r="Y346" s="79"/>
      <c r="Z346" s="79"/>
    </row>
    <row r="347" ht="14.25" customHeight="1">
      <c r="A347" s="76" t="str">
        <f>'Test 4-Stats'!S345</f>
        <v>Reg 346</v>
      </c>
      <c r="B347" s="77">
        <f>'Test 4-Stats'!Y345</f>
        <v>2020</v>
      </c>
      <c r="C347" s="77" t="str">
        <f>'Test 4-Stats'!W345</f>
        <v>NISSAN</v>
      </c>
      <c r="D347" s="77" t="str">
        <f>'Test 4-Stats'!V345</f>
        <v>SEDAN</v>
      </c>
      <c r="E347" s="77" t="str">
        <f>'Test 4-Stats'!X345</f>
        <v>ALMERA 1.5 ACENTA AT</v>
      </c>
      <c r="F347" s="77" t="str">
        <f t="array" ref="F347:G347">'Test 4-Stats'!Z345:AA345</f>
        <v>PETROL</v>
      </c>
      <c r="G347" s="77">
        <v>1498.0</v>
      </c>
      <c r="H347" s="77" t="str">
        <f t="array" ref="H347:M347">'Test 4-Stats'!C345:H345</f>
        <v>Business Unit 2</v>
      </c>
      <c r="I347" s="77" t="s">
        <v>110</v>
      </c>
      <c r="J347" s="77" t="s">
        <v>111</v>
      </c>
      <c r="K347" s="77" t="s">
        <v>231</v>
      </c>
      <c r="L347" s="77" t="s">
        <v>113</v>
      </c>
      <c r="M347" s="77" t="s">
        <v>114</v>
      </c>
      <c r="N347" s="78">
        <f t="array" ref="N347:P347">'Test 4-Stats'!AL345:AN345</f>
        <v>44259</v>
      </c>
      <c r="O347" s="78">
        <v>46085.0</v>
      </c>
      <c r="P347" s="77">
        <v>60.0</v>
      </c>
      <c r="Q347" s="77" t="str">
        <f>'Test 4-Stats'!CX345</f>
        <v>Active</v>
      </c>
      <c r="R347" s="79"/>
      <c r="S347" s="79"/>
      <c r="T347" s="79"/>
      <c r="U347" s="79"/>
      <c r="V347" s="79"/>
      <c r="W347" s="79"/>
      <c r="X347" s="79"/>
      <c r="Y347" s="79"/>
      <c r="Z347" s="79"/>
    </row>
    <row r="348" ht="14.25" customHeight="1">
      <c r="A348" s="76" t="str">
        <f>'Test 4-Stats'!S346</f>
        <v>Reg 347</v>
      </c>
      <c r="B348" s="77">
        <f>'Test 4-Stats'!Y346</f>
        <v>2023</v>
      </c>
      <c r="C348" s="77" t="str">
        <f>'Test 4-Stats'!W346</f>
        <v>ISUZU</v>
      </c>
      <c r="D348" s="77" t="str">
        <f>'Test 4-Stats'!V346</f>
        <v>ONE TON LDV SINGLE CAB</v>
      </c>
      <c r="E348" s="77" t="str">
        <f>'Test 4-Stats'!X346</f>
        <v>D-MAX 250 HO FLEETSIDE (SAFETY)</v>
      </c>
      <c r="F348" s="77" t="str">
        <f t="array" ref="F348:G348">'Test 4-Stats'!Z346:AA346</f>
        <v>DIESEL</v>
      </c>
      <c r="G348" s="77">
        <v>2498.0</v>
      </c>
      <c r="H348" s="77" t="str">
        <f t="array" ref="H348:M348">'Test 4-Stats'!C346:H346</f>
        <v>Business Unit 3</v>
      </c>
      <c r="I348" s="77" t="s">
        <v>125</v>
      </c>
      <c r="J348" s="77" t="s">
        <v>126</v>
      </c>
      <c r="K348" s="77" t="s">
        <v>231</v>
      </c>
      <c r="L348" s="77" t="s">
        <v>113</v>
      </c>
      <c r="M348" s="77" t="s">
        <v>129</v>
      </c>
      <c r="N348" s="78">
        <f t="array" ref="N348:P348">'Test 4-Stats'!AL346:AN346</f>
        <v>44260</v>
      </c>
      <c r="O348" s="78">
        <v>46086.0</v>
      </c>
      <c r="P348" s="77">
        <v>60.0</v>
      </c>
      <c r="Q348" s="77" t="str">
        <f>'Test 4-Stats'!CX346</f>
        <v>Active</v>
      </c>
      <c r="R348" s="79"/>
      <c r="S348" s="79"/>
      <c r="T348" s="79"/>
      <c r="U348" s="79"/>
      <c r="V348" s="79"/>
      <c r="W348" s="79"/>
      <c r="X348" s="79"/>
      <c r="Y348" s="79"/>
      <c r="Z348" s="79"/>
    </row>
    <row r="349" ht="14.25" customHeight="1">
      <c r="A349" s="76" t="str">
        <f>'Test 4-Stats'!S347</f>
        <v>Reg 348</v>
      </c>
      <c r="B349" s="77">
        <f>'Test 4-Stats'!Y347</f>
        <v>2024</v>
      </c>
      <c r="C349" s="77" t="str">
        <f>'Test 4-Stats'!W347</f>
        <v>TOYOTA</v>
      </c>
      <c r="D349" s="77" t="str">
        <f>'Test 4-Stats'!V347</f>
        <v>MINIBUS</v>
      </c>
      <c r="E349" s="77" t="str">
        <f>'Test 4-Stats'!X347</f>
        <v>QUANTUM 2.5 D-4D 14-SEATER BUS</v>
      </c>
      <c r="F349" s="77" t="str">
        <f t="array" ref="F349:G349">'Test 4-Stats'!Z347:AA347</f>
        <v>DIESEL</v>
      </c>
      <c r="G349" s="77">
        <v>2498.0</v>
      </c>
      <c r="H349" s="77" t="str">
        <f t="array" ref="H349:M349">'Test 4-Stats'!C347:H347</f>
        <v>Business Unit 1</v>
      </c>
      <c r="I349" s="77" t="s">
        <v>137</v>
      </c>
      <c r="J349" s="77" t="s">
        <v>138</v>
      </c>
      <c r="K349" s="77" t="s">
        <v>838</v>
      </c>
      <c r="L349" s="77" t="s">
        <v>113</v>
      </c>
      <c r="M349" s="77" t="s">
        <v>141</v>
      </c>
      <c r="N349" s="78">
        <f t="array" ref="N349:P349">'Test 4-Stats'!AL347:AN347</f>
        <v>44261</v>
      </c>
      <c r="O349" s="78">
        <v>46087.0</v>
      </c>
      <c r="P349" s="77">
        <v>60.0</v>
      </c>
      <c r="Q349" s="77" t="str">
        <f>'Test 4-Stats'!CX347</f>
        <v>Active</v>
      </c>
      <c r="R349" s="79"/>
      <c r="S349" s="79"/>
      <c r="T349" s="79"/>
      <c r="U349" s="79"/>
      <c r="V349" s="79"/>
      <c r="W349" s="79"/>
      <c r="X349" s="79"/>
      <c r="Y349" s="79"/>
      <c r="Z349" s="79"/>
    </row>
    <row r="350" ht="14.25" customHeight="1">
      <c r="A350" s="76" t="str">
        <f>'Test 4-Stats'!S348</f>
        <v>Reg 349</v>
      </c>
      <c r="B350" s="77">
        <f>'Test 4-Stats'!Y348</f>
        <v>2025</v>
      </c>
      <c r="C350" s="77" t="str">
        <f>'Test 4-Stats'!W348</f>
        <v>TOYOTA</v>
      </c>
      <c r="D350" s="77" t="str">
        <f>'Test 4-Stats'!V348</f>
        <v>MINIBUS</v>
      </c>
      <c r="E350" s="77" t="str">
        <f>'Test 4-Stats'!X348</f>
        <v>QUANTUM 2.8 GL LWB 11 SEATER</v>
      </c>
      <c r="F350" s="77" t="str">
        <f t="array" ref="F350:G350">'Test 4-Stats'!Z348:AA348</f>
        <v>DIESEL</v>
      </c>
      <c r="G350" s="77">
        <v>2498.0</v>
      </c>
      <c r="H350" s="77" t="str">
        <f t="array" ref="H350:M350">'Test 4-Stats'!C348:H348</f>
        <v>Business Unit 2</v>
      </c>
      <c r="I350" s="77" t="s">
        <v>110</v>
      </c>
      <c r="J350" s="77" t="s">
        <v>111</v>
      </c>
      <c r="K350" s="77" t="s">
        <v>782</v>
      </c>
      <c r="L350" s="77" t="s">
        <v>113</v>
      </c>
      <c r="M350" s="77" t="s">
        <v>114</v>
      </c>
      <c r="N350" s="78">
        <f t="array" ref="N350:P350">'Test 4-Stats'!AL348:AN348</f>
        <v>44262</v>
      </c>
      <c r="O350" s="78">
        <v>46088.0</v>
      </c>
      <c r="P350" s="77">
        <v>60.0</v>
      </c>
      <c r="Q350" s="77" t="str">
        <f>'Test 4-Stats'!CX348</f>
        <v>Active</v>
      </c>
      <c r="R350" s="79"/>
      <c r="S350" s="79"/>
      <c r="T350" s="79"/>
      <c r="U350" s="79"/>
      <c r="V350" s="79"/>
      <c r="W350" s="79"/>
      <c r="X350" s="79"/>
      <c r="Y350" s="79"/>
      <c r="Z350" s="79"/>
    </row>
    <row r="351" ht="14.25" customHeight="1">
      <c r="A351" s="76" t="str">
        <f>'Test 4-Stats'!S349</f>
        <v>Reg 350</v>
      </c>
      <c r="B351" s="77">
        <f>'Test 4-Stats'!Y349</f>
        <v>2021</v>
      </c>
      <c r="C351" s="77" t="str">
        <f>'Test 4-Stats'!W349</f>
        <v>FORD</v>
      </c>
      <c r="D351" s="77" t="str">
        <f>'Test 4-Stats'!V349</f>
        <v>ONE TON LDV DOUBLE CAB</v>
      </c>
      <c r="E351" s="77" t="str">
        <f>'Test 4-Stats'!X349</f>
        <v>RANGER 2.2 TDCI XL 4X2 D CAB</v>
      </c>
      <c r="F351" s="77" t="str">
        <f t="array" ref="F351:G351">'Test 4-Stats'!Z349:AA349</f>
        <v>DIESEL</v>
      </c>
      <c r="G351" s="77">
        <v>2198.0</v>
      </c>
      <c r="H351" s="77" t="str">
        <f t="array" ref="H351:M351">'Test 4-Stats'!C349:H349</f>
        <v>Business Unit 3</v>
      </c>
      <c r="I351" s="77" t="s">
        <v>125</v>
      </c>
      <c r="J351" s="77" t="s">
        <v>126</v>
      </c>
      <c r="K351" s="77" t="s">
        <v>919</v>
      </c>
      <c r="L351" s="77" t="s">
        <v>113</v>
      </c>
      <c r="M351" s="77" t="s">
        <v>129</v>
      </c>
      <c r="N351" s="78">
        <f t="array" ref="N351:P351">'Test 4-Stats'!AL349:AN349</f>
        <v>44263</v>
      </c>
      <c r="O351" s="78">
        <v>46089.0</v>
      </c>
      <c r="P351" s="77">
        <v>60.0</v>
      </c>
      <c r="Q351" s="77" t="str">
        <f>'Test 4-Stats'!CX349</f>
        <v>Active</v>
      </c>
      <c r="R351" s="79"/>
      <c r="S351" s="79"/>
      <c r="T351" s="79"/>
      <c r="U351" s="79"/>
      <c r="V351" s="79"/>
      <c r="W351" s="79"/>
      <c r="X351" s="79"/>
      <c r="Y351" s="79"/>
      <c r="Z351" s="79"/>
    </row>
    <row r="352" ht="14.25" customHeight="1">
      <c r="A352" s="76" t="str">
        <f>'Test 4-Stats'!S350</f>
        <v>Reg 351</v>
      </c>
      <c r="B352" s="77">
        <f>'Test 4-Stats'!Y350</f>
        <v>2021</v>
      </c>
      <c r="C352" s="77" t="str">
        <f>'Test 4-Stats'!W350</f>
        <v>FORD</v>
      </c>
      <c r="D352" s="77" t="str">
        <f>'Test 4-Stats'!V350</f>
        <v>MINIBUS</v>
      </c>
      <c r="E352" s="77" t="str">
        <f>'Test 4-Stats'!X350</f>
        <v>TOURNEO CUSTOM 2.2 TDCI AMBIENTE LWB</v>
      </c>
      <c r="F352" s="77" t="str">
        <f t="array" ref="F352:G352">'Test 4-Stats'!Z350:AA350</f>
        <v>DIESEL</v>
      </c>
      <c r="G352" s="77">
        <v>2198.0</v>
      </c>
      <c r="H352" s="77" t="str">
        <f t="array" ref="H352:M352">'Test 4-Stats'!C350:H350</f>
        <v>Business Unit 1</v>
      </c>
      <c r="I352" s="77" t="s">
        <v>110</v>
      </c>
      <c r="J352" s="77" t="s">
        <v>111</v>
      </c>
      <c r="K352" s="77" t="s">
        <v>838</v>
      </c>
      <c r="L352" s="77" t="s">
        <v>113</v>
      </c>
      <c r="M352" s="77" t="s">
        <v>141</v>
      </c>
      <c r="N352" s="78">
        <f t="array" ref="N352:P352">'Test 4-Stats'!AL350:AN350</f>
        <v>44264</v>
      </c>
      <c r="O352" s="78">
        <v>46090.0</v>
      </c>
      <c r="P352" s="77">
        <v>60.0</v>
      </c>
      <c r="Q352" s="77" t="str">
        <f>'Test 4-Stats'!CX350</f>
        <v>Active</v>
      </c>
      <c r="R352" s="79"/>
      <c r="S352" s="79"/>
      <c r="T352" s="79"/>
      <c r="U352" s="79"/>
      <c r="V352" s="79"/>
      <c r="W352" s="79"/>
      <c r="X352" s="79"/>
      <c r="Y352" s="79"/>
      <c r="Z352" s="79"/>
    </row>
    <row r="353" ht="14.25" customHeight="1">
      <c r="A353" s="76" t="str">
        <f>'Test 4-Stats'!S351</f>
        <v>Reg 352</v>
      </c>
      <c r="B353" s="77">
        <f>'Test 4-Stats'!Y351</f>
        <v>2021</v>
      </c>
      <c r="C353" s="77" t="str">
        <f>'Test 4-Stats'!W351</f>
        <v>ISUZU</v>
      </c>
      <c r="D353" s="77" t="str">
        <f>'Test 4-Stats'!V351</f>
        <v>ONE TON LDV DOUBLE CAB</v>
      </c>
      <c r="E353" s="77" t="str">
        <f>'Test 4-Stats'!X351</f>
        <v>D-MAX 250 HO HI-RIDER D/CAB 4X4</v>
      </c>
      <c r="F353" s="77" t="str">
        <f t="array" ref="F353:G353">'Test 4-Stats'!Z351:AA351</f>
        <v>DIESEL</v>
      </c>
      <c r="G353" s="77">
        <v>2498.0</v>
      </c>
      <c r="H353" s="77" t="str">
        <f t="array" ref="H353:M353">'Test 4-Stats'!C351:H351</f>
        <v>Business Unit 2</v>
      </c>
      <c r="I353" s="77" t="s">
        <v>125</v>
      </c>
      <c r="J353" s="77" t="s">
        <v>126</v>
      </c>
      <c r="K353" s="77" t="s">
        <v>231</v>
      </c>
      <c r="L353" s="77" t="s">
        <v>113</v>
      </c>
      <c r="M353" s="77" t="s">
        <v>114</v>
      </c>
      <c r="N353" s="78">
        <f t="array" ref="N353:P353">'Test 4-Stats'!AL351:AN351</f>
        <v>44265</v>
      </c>
      <c r="O353" s="78">
        <v>46091.0</v>
      </c>
      <c r="P353" s="77">
        <v>60.0</v>
      </c>
      <c r="Q353" s="77" t="str">
        <f>'Test 4-Stats'!CX351</f>
        <v>Active</v>
      </c>
      <c r="R353" s="79"/>
      <c r="S353" s="79"/>
      <c r="T353" s="79"/>
      <c r="U353" s="79"/>
      <c r="V353" s="79"/>
      <c r="W353" s="79"/>
      <c r="X353" s="79"/>
      <c r="Y353" s="79"/>
      <c r="Z353" s="79"/>
    </row>
    <row r="354" ht="14.25" customHeight="1">
      <c r="A354" s="76" t="str">
        <f>'Test 4-Stats'!S352</f>
        <v>Reg 353</v>
      </c>
      <c r="B354" s="77">
        <f>'Test 4-Stats'!Y352</f>
        <v>2023</v>
      </c>
      <c r="C354" s="77" t="str">
        <f>'Test 4-Stats'!W352</f>
        <v>ISUZU</v>
      </c>
      <c r="D354" s="77" t="str">
        <f>'Test 4-Stats'!V352</f>
        <v>ONE TON LDV DOUBLE CAB</v>
      </c>
      <c r="E354" s="77" t="str">
        <f>'Test 4-Stats'!X352</f>
        <v>D-MAX 250 HO HI-RIDER D/CAB</v>
      </c>
      <c r="F354" s="77" t="str">
        <f t="array" ref="F354:G354">'Test 4-Stats'!Z352:AA352</f>
        <v>DIESEL</v>
      </c>
      <c r="G354" s="77">
        <v>2498.0</v>
      </c>
      <c r="H354" s="77" t="str">
        <f t="array" ref="H354:M354">'Test 4-Stats'!C352:H352</f>
        <v>Business Unit 3</v>
      </c>
      <c r="I354" s="77" t="s">
        <v>137</v>
      </c>
      <c r="J354" s="77" t="s">
        <v>138</v>
      </c>
      <c r="K354" s="77" t="s">
        <v>231</v>
      </c>
      <c r="L354" s="77" t="s">
        <v>113</v>
      </c>
      <c r="M354" s="77" t="s">
        <v>129</v>
      </c>
      <c r="N354" s="78">
        <f t="array" ref="N354:P354">'Test 4-Stats'!AL352:AN352</f>
        <v>44632</v>
      </c>
      <c r="O354" s="78">
        <v>46458.0</v>
      </c>
      <c r="P354" s="77">
        <v>60.0</v>
      </c>
      <c r="Q354" s="77" t="str">
        <f>'Test 4-Stats'!CX352</f>
        <v>Active</v>
      </c>
      <c r="R354" s="79"/>
      <c r="S354" s="79"/>
      <c r="T354" s="79"/>
      <c r="U354" s="79"/>
      <c r="V354" s="79"/>
      <c r="W354" s="79"/>
      <c r="X354" s="79"/>
      <c r="Y354" s="79"/>
      <c r="Z354" s="79"/>
    </row>
    <row r="355" ht="14.25" customHeight="1">
      <c r="A355" s="76" t="str">
        <f>'Test 4-Stats'!S353</f>
        <v>Reg 354</v>
      </c>
      <c r="B355" s="77">
        <f>'Test 4-Stats'!Y353</f>
        <v>2021</v>
      </c>
      <c r="C355" s="77" t="str">
        <f>'Test 4-Stats'!W353</f>
        <v>ISUZU</v>
      </c>
      <c r="D355" s="77" t="str">
        <f>'Test 4-Stats'!V353</f>
        <v>ONE TON LDV DOUBLE CAB</v>
      </c>
      <c r="E355" s="77" t="str">
        <f>'Test 4-Stats'!X353</f>
        <v>D-MAX 250 HO HI-RIDER 4X4</v>
      </c>
      <c r="F355" s="77" t="str">
        <f t="array" ref="F355:G355">'Test 4-Stats'!Z353:AA353</f>
        <v>DIESEL</v>
      </c>
      <c r="G355" s="77">
        <v>2498.0</v>
      </c>
      <c r="H355" s="77" t="str">
        <f t="array" ref="H355:M355">'Test 4-Stats'!C353:H353</f>
        <v>Business Unit 1</v>
      </c>
      <c r="I355" s="77" t="s">
        <v>110</v>
      </c>
      <c r="J355" s="77" t="s">
        <v>111</v>
      </c>
      <c r="K355" s="77" t="s">
        <v>231</v>
      </c>
      <c r="L355" s="77" t="s">
        <v>113</v>
      </c>
      <c r="M355" s="77" t="s">
        <v>141</v>
      </c>
      <c r="N355" s="78">
        <f t="array" ref="N355:P355">'Test 4-Stats'!AL353:AN353</f>
        <v>44625</v>
      </c>
      <c r="O355" s="78">
        <v>46451.0</v>
      </c>
      <c r="P355" s="77">
        <v>60.0</v>
      </c>
      <c r="Q355" s="77" t="str">
        <f>'Test 4-Stats'!CX353</f>
        <v>Active</v>
      </c>
      <c r="R355" s="79"/>
      <c r="S355" s="79"/>
      <c r="T355" s="79"/>
      <c r="U355" s="79"/>
      <c r="V355" s="79"/>
      <c r="W355" s="79"/>
      <c r="X355" s="79"/>
      <c r="Y355" s="79"/>
      <c r="Z355" s="79"/>
    </row>
    <row r="356" ht="14.25" customHeight="1">
      <c r="A356" s="76" t="str">
        <f>'Test 4-Stats'!S354</f>
        <v>Reg 355</v>
      </c>
      <c r="B356" s="77">
        <f>'Test 4-Stats'!Y354</f>
        <v>2021</v>
      </c>
      <c r="C356" s="77" t="str">
        <f>'Test 4-Stats'!W354</f>
        <v>ISUZU</v>
      </c>
      <c r="D356" s="77" t="str">
        <f>'Test 4-Stats'!V354</f>
        <v>ONE TON LDV DOUBLE CAB</v>
      </c>
      <c r="E356" s="77" t="str">
        <f>'Test 4-Stats'!X354</f>
        <v>D-MAX 250 HO HI-RIDER D/CAB 4X4</v>
      </c>
      <c r="F356" s="77" t="str">
        <f t="array" ref="F356:G356">'Test 4-Stats'!Z354:AA354</f>
        <v>DIESEL</v>
      </c>
      <c r="G356" s="77">
        <v>2498.0</v>
      </c>
      <c r="H356" s="77" t="str">
        <f t="array" ref="H356:M356">'Test 4-Stats'!C354:H354</f>
        <v>Business Unit 2</v>
      </c>
      <c r="I356" s="77" t="s">
        <v>125</v>
      </c>
      <c r="J356" s="77" t="s">
        <v>126</v>
      </c>
      <c r="K356" s="77" t="s">
        <v>231</v>
      </c>
      <c r="L356" s="77" t="s">
        <v>113</v>
      </c>
      <c r="M356" s="77" t="s">
        <v>114</v>
      </c>
      <c r="N356" s="78">
        <f t="array" ref="N356:P356">'Test 4-Stats'!AL354:AN354</f>
        <v>44633</v>
      </c>
      <c r="O356" s="78">
        <v>46459.0</v>
      </c>
      <c r="P356" s="77">
        <v>60.0</v>
      </c>
      <c r="Q356" s="77" t="str">
        <f>'Test 4-Stats'!CX354</f>
        <v>Active</v>
      </c>
      <c r="R356" s="79"/>
      <c r="S356" s="79"/>
      <c r="T356" s="79"/>
      <c r="U356" s="79"/>
      <c r="V356" s="79"/>
      <c r="W356" s="79"/>
      <c r="X356" s="79"/>
      <c r="Y356" s="79"/>
      <c r="Z356" s="79"/>
    </row>
    <row r="357" ht="14.25" customHeight="1">
      <c r="A357" s="76" t="str">
        <f>'Test 4-Stats'!S355</f>
        <v>Reg 356</v>
      </c>
      <c r="B357" s="77">
        <f>'Test 4-Stats'!Y355</f>
        <v>2023</v>
      </c>
      <c r="C357" s="77" t="str">
        <f>'Test 4-Stats'!W355</f>
        <v>ISUZU</v>
      </c>
      <c r="D357" s="77" t="str">
        <f>'Test 4-Stats'!V355</f>
        <v>ONE TON LDV DOUBLE CAB</v>
      </c>
      <c r="E357" s="77" t="str">
        <f>'Test 4-Stats'!X355</f>
        <v>D-MAX 250 HO HI-RIDER D/CAB</v>
      </c>
      <c r="F357" s="77" t="str">
        <f t="array" ref="F357:G357">'Test 4-Stats'!Z355:AA355</f>
        <v>DIESEL</v>
      </c>
      <c r="G357" s="77">
        <v>2498.0</v>
      </c>
      <c r="H357" s="77" t="str">
        <f t="array" ref="H357:M357">'Test 4-Stats'!C355:H355</f>
        <v>Business Unit 3</v>
      </c>
      <c r="I357" s="77" t="s">
        <v>137</v>
      </c>
      <c r="J357" s="77" t="s">
        <v>138</v>
      </c>
      <c r="K357" s="77" t="s">
        <v>112</v>
      </c>
      <c r="L357" s="77" t="s">
        <v>113</v>
      </c>
      <c r="M357" s="77" t="s">
        <v>129</v>
      </c>
      <c r="N357" s="78">
        <f t="array" ref="N357:P357">'Test 4-Stats'!AL355:AN355</f>
        <v>44634</v>
      </c>
      <c r="O357" s="78">
        <v>46460.0</v>
      </c>
      <c r="P357" s="77">
        <v>60.0</v>
      </c>
      <c r="Q357" s="77" t="str">
        <f>'Test 4-Stats'!CX355</f>
        <v>Active</v>
      </c>
      <c r="R357" s="79"/>
      <c r="S357" s="79"/>
      <c r="T357" s="79"/>
      <c r="U357" s="79"/>
      <c r="V357" s="79"/>
      <c r="W357" s="79"/>
      <c r="X357" s="79"/>
      <c r="Y357" s="79"/>
      <c r="Z357" s="79"/>
    </row>
    <row r="358" ht="14.25" customHeight="1">
      <c r="A358" s="76" t="str">
        <f>'Test 4-Stats'!S356</f>
        <v>Reg 357</v>
      </c>
      <c r="B358" s="77">
        <f>'Test 4-Stats'!Y356</f>
        <v>2021</v>
      </c>
      <c r="C358" s="77" t="str">
        <f>'Test 4-Stats'!W356</f>
        <v>ISUZU</v>
      </c>
      <c r="D358" s="77" t="str">
        <f>'Test 4-Stats'!V356</f>
        <v>ONE TON LDV SINGLE CAB</v>
      </c>
      <c r="E358" s="77" t="str">
        <f>'Test 4-Stats'!X356</f>
        <v>D-MAX 250 HO FLEETSIDE (SAFETY)</v>
      </c>
      <c r="F358" s="77" t="str">
        <f t="array" ref="F358:G358">'Test 4-Stats'!Z356:AA356</f>
        <v>DIESEL</v>
      </c>
      <c r="G358" s="77">
        <v>2498.0</v>
      </c>
      <c r="H358" s="77" t="str">
        <f t="array" ref="H358:M358">'Test 4-Stats'!C356:H356</f>
        <v>Business Unit 1</v>
      </c>
      <c r="I358" s="77" t="s">
        <v>110</v>
      </c>
      <c r="J358" s="77" t="s">
        <v>111</v>
      </c>
      <c r="K358" s="77" t="s">
        <v>112</v>
      </c>
      <c r="L358" s="77" t="s">
        <v>113</v>
      </c>
      <c r="M358" s="77" t="s">
        <v>141</v>
      </c>
      <c r="N358" s="78">
        <f t="array" ref="N358:P358">'Test 4-Stats'!AL356:AN356</f>
        <v>44635</v>
      </c>
      <c r="O358" s="78">
        <v>46461.0</v>
      </c>
      <c r="P358" s="77">
        <v>60.0</v>
      </c>
      <c r="Q358" s="77" t="str">
        <f>'Test 4-Stats'!CX356</f>
        <v>Active</v>
      </c>
      <c r="R358" s="79"/>
      <c r="S358" s="79"/>
      <c r="T358" s="79"/>
      <c r="U358" s="79"/>
      <c r="V358" s="79"/>
      <c r="W358" s="79"/>
      <c r="X358" s="79"/>
      <c r="Y358" s="79"/>
      <c r="Z358" s="79"/>
    </row>
    <row r="359" ht="14.25" customHeight="1">
      <c r="A359" s="76" t="str">
        <f>'Test 4-Stats'!S357</f>
        <v>Reg 358</v>
      </c>
      <c r="B359" s="77">
        <f>'Test 4-Stats'!Y357</f>
        <v>2021</v>
      </c>
      <c r="C359" s="77" t="str">
        <f>'Test 4-Stats'!W357</f>
        <v>VOLKSWAGEN</v>
      </c>
      <c r="D359" s="77" t="str">
        <f>'Test 4-Stats'!V357</f>
        <v>ONE TON LDV DOUBLE CAB</v>
      </c>
      <c r="E359" s="77" t="str">
        <f>'Test 4-Stats'!X357</f>
        <v>T6.1 PICK UP 2.0 TDI D CAB LWB</v>
      </c>
      <c r="F359" s="77" t="str">
        <f t="array" ref="F359:G359">'Test 4-Stats'!Z357:AA357</f>
        <v>DIESEL</v>
      </c>
      <c r="G359" s="77">
        <v>1998.0</v>
      </c>
      <c r="H359" s="77" t="str">
        <f t="array" ref="H359:M359">'Test 4-Stats'!C357:H357</f>
        <v>Business Unit 2</v>
      </c>
      <c r="I359" s="77" t="s">
        <v>125</v>
      </c>
      <c r="J359" s="77" t="s">
        <v>126</v>
      </c>
      <c r="K359" s="77" t="s">
        <v>112</v>
      </c>
      <c r="L359" s="77" t="s">
        <v>113</v>
      </c>
      <c r="M359" s="77" t="s">
        <v>114</v>
      </c>
      <c r="N359" s="78">
        <f t="array" ref="N359:P359">'Test 4-Stats'!AL357:AN357</f>
        <v>44636</v>
      </c>
      <c r="O359" s="78">
        <v>46462.0</v>
      </c>
      <c r="P359" s="77">
        <v>60.0</v>
      </c>
      <c r="Q359" s="77" t="str">
        <f>'Test 4-Stats'!CX357</f>
        <v>Active</v>
      </c>
      <c r="R359" s="79"/>
      <c r="S359" s="79"/>
      <c r="T359" s="79"/>
      <c r="U359" s="79"/>
      <c r="V359" s="79"/>
      <c r="W359" s="79"/>
      <c r="X359" s="79"/>
      <c r="Y359" s="79"/>
      <c r="Z359" s="79"/>
    </row>
    <row r="360" ht="14.25" customHeight="1">
      <c r="A360" s="76" t="str">
        <f>'Test 4-Stats'!S358</f>
        <v>Reg 359</v>
      </c>
      <c r="B360" s="77">
        <f>'Test 4-Stats'!Y358</f>
        <v>2021</v>
      </c>
      <c r="C360" s="77" t="str">
        <f>'Test 4-Stats'!W358</f>
        <v>ISUZU</v>
      </c>
      <c r="D360" s="77" t="str">
        <f>'Test 4-Stats'!V358</f>
        <v>ONE TON LDV SINGLE CAB</v>
      </c>
      <c r="E360" s="77" t="str">
        <f>'Test 4-Stats'!X358</f>
        <v>D-MAX 250 HO FLEETSIDE (SAFETY)</v>
      </c>
      <c r="F360" s="77" t="str">
        <f t="array" ref="F360:G360">'Test 4-Stats'!Z358:AA358</f>
        <v>DIESEL</v>
      </c>
      <c r="G360" s="77">
        <v>2498.0</v>
      </c>
      <c r="H360" s="77" t="str">
        <f t="array" ref="H360:M360">'Test 4-Stats'!C358:H358</f>
        <v>Business Unit 3</v>
      </c>
      <c r="I360" s="77" t="s">
        <v>137</v>
      </c>
      <c r="J360" s="77" t="s">
        <v>138</v>
      </c>
      <c r="K360" s="77" t="s">
        <v>112</v>
      </c>
      <c r="L360" s="77" t="s">
        <v>113</v>
      </c>
      <c r="M360" s="77" t="s">
        <v>129</v>
      </c>
      <c r="N360" s="78">
        <f t="array" ref="N360:P360">'Test 4-Stats'!AL358:AN358</f>
        <v>44637</v>
      </c>
      <c r="O360" s="78">
        <v>46463.0</v>
      </c>
      <c r="P360" s="77">
        <v>60.0</v>
      </c>
      <c r="Q360" s="77" t="str">
        <f>'Test 4-Stats'!CX358</f>
        <v>Active</v>
      </c>
      <c r="R360" s="79"/>
      <c r="S360" s="79"/>
      <c r="T360" s="79"/>
      <c r="U360" s="79"/>
      <c r="V360" s="79"/>
      <c r="W360" s="79"/>
      <c r="X360" s="79"/>
      <c r="Y360" s="79"/>
      <c r="Z360" s="79"/>
    </row>
    <row r="361" ht="14.25" customHeight="1">
      <c r="A361" s="76" t="str">
        <f>'Test 4-Stats'!S359</f>
        <v>Reg 360</v>
      </c>
      <c r="B361" s="77">
        <f>'Test 4-Stats'!Y359</f>
        <v>2021</v>
      </c>
      <c r="C361" s="77" t="str">
        <f>'Test 4-Stats'!W359</f>
        <v>ISUZU</v>
      </c>
      <c r="D361" s="77" t="str">
        <f>'Test 4-Stats'!V359</f>
        <v>ONE TON LDV SINGLE CAB</v>
      </c>
      <c r="E361" s="77" t="str">
        <f>'Test 4-Stats'!X359</f>
        <v>D-MAX 250 HO FLEETSIDE (SAFETY)</v>
      </c>
      <c r="F361" s="77" t="str">
        <f t="array" ref="F361:G361">'Test 4-Stats'!Z359:AA359</f>
        <v>DIESEL</v>
      </c>
      <c r="G361" s="77">
        <v>2498.0</v>
      </c>
      <c r="H361" s="77" t="str">
        <f t="array" ref="H361:M361">'Test 4-Stats'!C359:H359</f>
        <v>Business Unit 1</v>
      </c>
      <c r="I361" s="77" t="s">
        <v>110</v>
      </c>
      <c r="J361" s="77" t="s">
        <v>111</v>
      </c>
      <c r="K361" s="77" t="s">
        <v>112</v>
      </c>
      <c r="L361" s="77" t="s">
        <v>113</v>
      </c>
      <c r="M361" s="77" t="s">
        <v>141</v>
      </c>
      <c r="N361" s="78">
        <f t="array" ref="N361:P361">'Test 4-Stats'!AL359:AN359</f>
        <v>44699</v>
      </c>
      <c r="O361" s="78">
        <v>46525.0</v>
      </c>
      <c r="P361" s="77">
        <v>60.0</v>
      </c>
      <c r="Q361" s="77" t="str">
        <f>'Test 4-Stats'!CX359</f>
        <v>Active</v>
      </c>
      <c r="R361" s="79"/>
      <c r="S361" s="79"/>
      <c r="T361" s="79"/>
      <c r="U361" s="79"/>
      <c r="V361" s="79"/>
      <c r="W361" s="79"/>
      <c r="X361" s="79"/>
      <c r="Y361" s="79"/>
      <c r="Z361" s="79"/>
    </row>
    <row r="362" ht="14.25" customHeight="1">
      <c r="A362" s="76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8"/>
      <c r="O362" s="77"/>
      <c r="P362" s="77"/>
      <c r="Q362" s="77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4.25" customHeight="1">
      <c r="A363" s="76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8"/>
      <c r="O363" s="77"/>
      <c r="P363" s="77"/>
      <c r="Q363" s="77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4.25" customHeight="1">
      <c r="A364" s="76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8"/>
      <c r="O364" s="77"/>
      <c r="P364" s="77"/>
      <c r="Q364" s="77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4.25" customHeight="1">
      <c r="A365" s="76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8"/>
      <c r="O365" s="77"/>
      <c r="P365" s="77"/>
      <c r="Q365" s="77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4.25" customHeight="1">
      <c r="A366" s="76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8"/>
      <c r="O366" s="77"/>
      <c r="P366" s="77"/>
      <c r="Q366" s="77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4.25" customHeight="1">
      <c r="A367" s="76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8"/>
      <c r="O367" s="77"/>
      <c r="P367" s="77"/>
      <c r="Q367" s="77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4.25" customHeight="1">
      <c r="A368" s="76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8"/>
      <c r="O368" s="77"/>
      <c r="P368" s="77"/>
      <c r="Q368" s="77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4.25" customHeight="1">
      <c r="A369" s="76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8"/>
      <c r="O369" s="77"/>
      <c r="P369" s="77"/>
      <c r="Q369" s="77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4.25" customHeight="1">
      <c r="A370" s="76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8"/>
      <c r="O370" s="77"/>
      <c r="P370" s="77"/>
      <c r="Q370" s="77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4.25" customHeight="1">
      <c r="A371" s="76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8"/>
      <c r="O371" s="77"/>
      <c r="P371" s="77"/>
      <c r="Q371" s="77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4.25" customHeight="1">
      <c r="A372" s="76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8"/>
      <c r="O372" s="77"/>
      <c r="P372" s="77"/>
      <c r="Q372" s="77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4.25" customHeight="1">
      <c r="A373" s="76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8"/>
      <c r="O373" s="77"/>
      <c r="P373" s="77"/>
      <c r="Q373" s="77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4.25" customHeight="1">
      <c r="A374" s="76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8"/>
      <c r="O374" s="77"/>
      <c r="P374" s="77"/>
      <c r="Q374" s="77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4.25" customHeight="1">
      <c r="A375" s="76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8"/>
      <c r="O375" s="77"/>
      <c r="P375" s="77"/>
      <c r="Q375" s="77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4.25" customHeight="1">
      <c r="A376" s="76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8"/>
      <c r="O376" s="77"/>
      <c r="P376" s="77"/>
      <c r="Q376" s="77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4.25" customHeight="1">
      <c r="A377" s="76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8"/>
      <c r="O377" s="77"/>
      <c r="P377" s="77"/>
      <c r="Q377" s="77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4.25" customHeight="1">
      <c r="A378" s="76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8"/>
      <c r="O378" s="77"/>
      <c r="P378" s="77"/>
      <c r="Q378" s="77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4.25" customHeight="1">
      <c r="A379" s="76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8"/>
      <c r="O379" s="77"/>
      <c r="P379" s="77"/>
      <c r="Q379" s="77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4.25" customHeight="1">
      <c r="A380" s="76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8"/>
      <c r="O380" s="77"/>
      <c r="P380" s="77"/>
      <c r="Q380" s="77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4.25" customHeight="1">
      <c r="A381" s="76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8"/>
      <c r="O381" s="77"/>
      <c r="P381" s="77"/>
      <c r="Q381" s="77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4.25" customHeight="1">
      <c r="A382" s="76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8"/>
      <c r="O382" s="77"/>
      <c r="P382" s="77"/>
      <c r="Q382" s="77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4.25" customHeight="1">
      <c r="A383" s="76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8"/>
      <c r="O383" s="77"/>
      <c r="P383" s="77"/>
      <c r="Q383" s="77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4.25" customHeight="1">
      <c r="A384" s="76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8"/>
      <c r="O384" s="77"/>
      <c r="P384" s="77"/>
      <c r="Q384" s="77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4.25" customHeight="1">
      <c r="A385" s="76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8"/>
      <c r="O385" s="77"/>
      <c r="P385" s="77"/>
      <c r="Q385" s="77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4.25" customHeight="1">
      <c r="A386" s="76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8"/>
      <c r="O386" s="77"/>
      <c r="P386" s="77"/>
      <c r="Q386" s="77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4.25" customHeight="1">
      <c r="A387" s="76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8"/>
      <c r="O387" s="77"/>
      <c r="P387" s="77"/>
      <c r="Q387" s="77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4.25" customHeight="1">
      <c r="A388" s="76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8"/>
      <c r="O388" s="77"/>
      <c r="P388" s="77"/>
      <c r="Q388" s="77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4.25" customHeight="1">
      <c r="A389" s="76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8"/>
      <c r="O389" s="77"/>
      <c r="P389" s="77"/>
      <c r="Q389" s="77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4.25" customHeight="1">
      <c r="A390" s="76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8"/>
      <c r="O390" s="77"/>
      <c r="P390" s="77"/>
      <c r="Q390" s="77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4.25" customHeight="1">
      <c r="A391" s="76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8"/>
      <c r="O391" s="77"/>
      <c r="P391" s="77"/>
      <c r="Q391" s="77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4.25" customHeight="1">
      <c r="A392" s="76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8"/>
      <c r="O392" s="77"/>
      <c r="P392" s="77"/>
      <c r="Q392" s="77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4.25" customHeight="1">
      <c r="A393" s="76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8"/>
      <c r="O393" s="77"/>
      <c r="P393" s="77"/>
      <c r="Q393" s="77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4.25" customHeight="1">
      <c r="A394" s="76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8"/>
      <c r="O394" s="77"/>
      <c r="P394" s="77"/>
      <c r="Q394" s="77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4.25" customHeight="1">
      <c r="A395" s="76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8"/>
      <c r="O395" s="77"/>
      <c r="P395" s="77"/>
      <c r="Q395" s="77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4.25" customHeight="1">
      <c r="A396" s="76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8"/>
      <c r="O396" s="77"/>
      <c r="P396" s="77"/>
      <c r="Q396" s="77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4.25" customHeight="1">
      <c r="A397" s="76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8"/>
      <c r="O397" s="77"/>
      <c r="P397" s="77"/>
      <c r="Q397" s="77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4.25" customHeight="1">
      <c r="A398" s="76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8"/>
      <c r="O398" s="77"/>
      <c r="P398" s="77"/>
      <c r="Q398" s="77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4.25" customHeight="1">
      <c r="A399" s="76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8"/>
      <c r="O399" s="77"/>
      <c r="P399" s="77"/>
      <c r="Q399" s="77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4.25" customHeight="1">
      <c r="A400" s="76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8"/>
      <c r="O400" s="77"/>
      <c r="P400" s="77"/>
      <c r="Q400" s="77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4.25" customHeight="1">
      <c r="A401" s="76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8"/>
      <c r="O401" s="77"/>
      <c r="P401" s="77"/>
      <c r="Q401" s="77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4.25" customHeight="1">
      <c r="A402" s="76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8"/>
      <c r="O402" s="77"/>
      <c r="P402" s="77"/>
      <c r="Q402" s="77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4.25" customHeight="1">
      <c r="A403" s="76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8"/>
      <c r="O403" s="77"/>
      <c r="P403" s="77"/>
      <c r="Q403" s="77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4.25" customHeight="1">
      <c r="A404" s="76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8"/>
      <c r="O404" s="77"/>
      <c r="P404" s="77"/>
      <c r="Q404" s="77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4.25" customHeight="1">
      <c r="A405" s="76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8"/>
      <c r="O405" s="77"/>
      <c r="P405" s="77"/>
      <c r="Q405" s="77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4.25" customHeight="1">
      <c r="A406" s="76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8"/>
      <c r="O406" s="77"/>
      <c r="P406" s="77"/>
      <c r="Q406" s="77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4.25" customHeight="1">
      <c r="A407" s="76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8"/>
      <c r="O407" s="77"/>
      <c r="P407" s="77"/>
      <c r="Q407" s="77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4.25" customHeight="1">
      <c r="A408" s="76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8"/>
      <c r="O408" s="77"/>
      <c r="P408" s="77"/>
      <c r="Q408" s="77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4.25" customHeight="1">
      <c r="A409" s="76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8"/>
      <c r="O409" s="77"/>
      <c r="P409" s="77"/>
      <c r="Q409" s="77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4.25" customHeight="1">
      <c r="A410" s="76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8"/>
      <c r="O410" s="77"/>
      <c r="P410" s="77"/>
      <c r="Q410" s="77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4.25" customHeight="1">
      <c r="A411" s="76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8"/>
      <c r="O411" s="77"/>
      <c r="P411" s="77"/>
      <c r="Q411" s="77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4.25" customHeight="1">
      <c r="A412" s="76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8"/>
      <c r="O412" s="77"/>
      <c r="P412" s="77"/>
      <c r="Q412" s="77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4.25" customHeight="1">
      <c r="A413" s="76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8"/>
      <c r="O413" s="77"/>
      <c r="P413" s="77"/>
      <c r="Q413" s="77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4.25" customHeight="1">
      <c r="A414" s="76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8"/>
      <c r="O414" s="77"/>
      <c r="P414" s="77"/>
      <c r="Q414" s="77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4.25" customHeight="1">
      <c r="A415" s="76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8"/>
      <c r="O415" s="77"/>
      <c r="P415" s="77"/>
      <c r="Q415" s="77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4.25" customHeight="1">
      <c r="A416" s="76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8"/>
      <c r="O416" s="77"/>
      <c r="P416" s="77"/>
      <c r="Q416" s="77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4.25" customHeight="1">
      <c r="A417" s="76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8"/>
      <c r="O417" s="77"/>
      <c r="P417" s="77"/>
      <c r="Q417" s="77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4.25" customHeight="1">
      <c r="A418" s="76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8"/>
      <c r="O418" s="77"/>
      <c r="P418" s="77"/>
      <c r="Q418" s="77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4.25" customHeight="1">
      <c r="A419" s="76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8"/>
      <c r="O419" s="77"/>
      <c r="P419" s="77"/>
      <c r="Q419" s="77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4.25" customHeight="1">
      <c r="A420" s="76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8"/>
      <c r="O420" s="77"/>
      <c r="P420" s="77"/>
      <c r="Q420" s="77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4.25" customHeight="1">
      <c r="A421" s="76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8"/>
      <c r="O421" s="77"/>
      <c r="P421" s="77"/>
      <c r="Q421" s="77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4.25" customHeight="1">
      <c r="A422" s="76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8"/>
      <c r="O422" s="77"/>
      <c r="P422" s="77"/>
      <c r="Q422" s="77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4.25" customHeight="1">
      <c r="A423" s="76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8"/>
      <c r="O423" s="77"/>
      <c r="P423" s="77"/>
      <c r="Q423" s="77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4.25" customHeight="1">
      <c r="A424" s="76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8"/>
      <c r="O424" s="77"/>
      <c r="P424" s="77"/>
      <c r="Q424" s="77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4.25" customHeight="1">
      <c r="A425" s="76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8"/>
      <c r="O425" s="77"/>
      <c r="P425" s="77"/>
      <c r="Q425" s="77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4.25" customHeight="1">
      <c r="A426" s="76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8"/>
      <c r="O426" s="77"/>
      <c r="P426" s="77"/>
      <c r="Q426" s="77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4.25" customHeight="1">
      <c r="A427" s="76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8"/>
      <c r="O427" s="77"/>
      <c r="P427" s="77"/>
      <c r="Q427" s="77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4.25" customHeight="1">
      <c r="A428" s="76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8"/>
      <c r="O428" s="77"/>
      <c r="P428" s="77"/>
      <c r="Q428" s="77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4.25" customHeight="1">
      <c r="A429" s="76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8"/>
      <c r="O429" s="77"/>
      <c r="P429" s="77"/>
      <c r="Q429" s="77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4.25" customHeight="1">
      <c r="A430" s="76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8"/>
      <c r="O430" s="77"/>
      <c r="P430" s="77"/>
      <c r="Q430" s="77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4.25" customHeight="1">
      <c r="A431" s="76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8"/>
      <c r="O431" s="77"/>
      <c r="P431" s="77"/>
      <c r="Q431" s="77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4.25" customHeight="1">
      <c r="A432" s="76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8"/>
      <c r="O432" s="77"/>
      <c r="P432" s="77"/>
      <c r="Q432" s="77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4.25" customHeight="1">
      <c r="A433" s="76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8"/>
      <c r="O433" s="77"/>
      <c r="P433" s="77"/>
      <c r="Q433" s="77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4.25" customHeight="1">
      <c r="A434" s="76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8"/>
      <c r="O434" s="77"/>
      <c r="P434" s="77"/>
      <c r="Q434" s="77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4.25" customHeight="1">
      <c r="A435" s="76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8"/>
      <c r="O435" s="77"/>
      <c r="P435" s="77"/>
      <c r="Q435" s="77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4.25" customHeight="1">
      <c r="A436" s="76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8"/>
      <c r="O436" s="77"/>
      <c r="P436" s="77"/>
      <c r="Q436" s="77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4.25" customHeight="1">
      <c r="A437" s="76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8"/>
      <c r="O437" s="77"/>
      <c r="P437" s="77"/>
      <c r="Q437" s="77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4.25" customHeight="1">
      <c r="A438" s="76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8"/>
      <c r="O438" s="77"/>
      <c r="P438" s="77"/>
      <c r="Q438" s="77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4.25" customHeight="1">
      <c r="A439" s="76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8"/>
      <c r="O439" s="77"/>
      <c r="P439" s="77"/>
      <c r="Q439" s="77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4.25" customHeight="1">
      <c r="A440" s="76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8"/>
      <c r="O440" s="77"/>
      <c r="P440" s="77"/>
      <c r="Q440" s="77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4.25" customHeight="1">
      <c r="A441" s="76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8"/>
      <c r="O441" s="77"/>
      <c r="P441" s="77"/>
      <c r="Q441" s="77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4.25" customHeight="1">
      <c r="A442" s="76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8"/>
      <c r="O442" s="77"/>
      <c r="P442" s="77"/>
      <c r="Q442" s="77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4.25" customHeight="1">
      <c r="A443" s="76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8"/>
      <c r="O443" s="77"/>
      <c r="P443" s="77"/>
      <c r="Q443" s="77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4.25" customHeight="1">
      <c r="A444" s="76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8"/>
      <c r="O444" s="77"/>
      <c r="P444" s="77"/>
      <c r="Q444" s="77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4.25" customHeight="1">
      <c r="A445" s="76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8"/>
      <c r="O445" s="77"/>
      <c r="P445" s="77"/>
      <c r="Q445" s="77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4.25" customHeight="1">
      <c r="A446" s="76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8"/>
      <c r="O446" s="77"/>
      <c r="P446" s="77"/>
      <c r="Q446" s="77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4.25" customHeight="1">
      <c r="A447" s="76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8"/>
      <c r="O447" s="77"/>
      <c r="P447" s="77"/>
      <c r="Q447" s="77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4.25" customHeight="1">
      <c r="A448" s="76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8"/>
      <c r="O448" s="77"/>
      <c r="P448" s="77"/>
      <c r="Q448" s="77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4.25" customHeight="1">
      <c r="A449" s="76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8"/>
      <c r="O449" s="77"/>
      <c r="P449" s="77"/>
      <c r="Q449" s="77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4.25" customHeight="1">
      <c r="A450" s="76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8"/>
      <c r="O450" s="77"/>
      <c r="P450" s="77"/>
      <c r="Q450" s="77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4.25" customHeight="1">
      <c r="A451" s="76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8"/>
      <c r="O451" s="77"/>
      <c r="P451" s="77"/>
      <c r="Q451" s="77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4.25" customHeight="1">
      <c r="A452" s="76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8"/>
      <c r="O452" s="77"/>
      <c r="P452" s="77"/>
      <c r="Q452" s="77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4.25" customHeight="1">
      <c r="A453" s="76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8"/>
      <c r="O453" s="77"/>
      <c r="P453" s="77"/>
      <c r="Q453" s="77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4.25" customHeight="1">
      <c r="A454" s="76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8"/>
      <c r="O454" s="77"/>
      <c r="P454" s="77"/>
      <c r="Q454" s="77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4.25" customHeight="1">
      <c r="A455" s="76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8"/>
      <c r="O455" s="77"/>
      <c r="P455" s="77"/>
      <c r="Q455" s="77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4.25" customHeight="1">
      <c r="A456" s="76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8"/>
      <c r="O456" s="77"/>
      <c r="P456" s="77"/>
      <c r="Q456" s="77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4.25" customHeight="1">
      <c r="A457" s="76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8"/>
      <c r="O457" s="77"/>
      <c r="P457" s="77"/>
      <c r="Q457" s="77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4.25" customHeight="1">
      <c r="A458" s="76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8"/>
      <c r="O458" s="77"/>
      <c r="P458" s="77"/>
      <c r="Q458" s="77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4.25" customHeight="1">
      <c r="A459" s="76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8"/>
      <c r="O459" s="77"/>
      <c r="P459" s="77"/>
      <c r="Q459" s="77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4.25" customHeight="1">
      <c r="A460" s="76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8"/>
      <c r="O460" s="77"/>
      <c r="P460" s="77"/>
      <c r="Q460" s="77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4.25" customHeight="1">
      <c r="A461" s="76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8"/>
      <c r="O461" s="77"/>
      <c r="P461" s="77"/>
      <c r="Q461" s="77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4.25" customHeight="1">
      <c r="A462" s="76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8"/>
      <c r="O462" s="77"/>
      <c r="P462" s="77"/>
      <c r="Q462" s="77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4.25" customHeight="1">
      <c r="A463" s="76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8"/>
      <c r="O463" s="77"/>
      <c r="P463" s="77"/>
      <c r="Q463" s="77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4.25" customHeight="1">
      <c r="A464" s="76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8"/>
      <c r="O464" s="77"/>
      <c r="P464" s="77"/>
      <c r="Q464" s="77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4.25" customHeight="1">
      <c r="A465" s="76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8"/>
      <c r="O465" s="77"/>
      <c r="P465" s="77"/>
      <c r="Q465" s="77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4.25" customHeight="1">
      <c r="A466" s="76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8"/>
      <c r="O466" s="77"/>
      <c r="P466" s="77"/>
      <c r="Q466" s="77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4.25" customHeight="1">
      <c r="A467" s="76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8"/>
      <c r="O467" s="77"/>
      <c r="P467" s="77"/>
      <c r="Q467" s="77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4.25" customHeight="1">
      <c r="A468" s="76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8"/>
      <c r="O468" s="77"/>
      <c r="P468" s="77"/>
      <c r="Q468" s="77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4.25" customHeight="1">
      <c r="A469" s="76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8"/>
      <c r="O469" s="77"/>
      <c r="P469" s="77"/>
      <c r="Q469" s="77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4.25" customHeight="1">
      <c r="A470" s="76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8"/>
      <c r="O470" s="77"/>
      <c r="P470" s="77"/>
      <c r="Q470" s="77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4.25" customHeight="1">
      <c r="A471" s="76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8"/>
      <c r="O471" s="77"/>
      <c r="P471" s="77"/>
      <c r="Q471" s="77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4.25" customHeight="1">
      <c r="A472" s="76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8"/>
      <c r="O472" s="77"/>
      <c r="P472" s="77"/>
      <c r="Q472" s="77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4.25" customHeight="1">
      <c r="A473" s="76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8"/>
      <c r="O473" s="77"/>
      <c r="P473" s="77"/>
      <c r="Q473" s="77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4.25" customHeight="1">
      <c r="A474" s="76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8"/>
      <c r="O474" s="77"/>
      <c r="P474" s="77"/>
      <c r="Q474" s="77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4.25" customHeight="1">
      <c r="A475" s="76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8"/>
      <c r="O475" s="77"/>
      <c r="P475" s="77"/>
      <c r="Q475" s="77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4.25" customHeight="1">
      <c r="A476" s="76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8"/>
      <c r="O476" s="77"/>
      <c r="P476" s="77"/>
      <c r="Q476" s="77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4.25" customHeight="1">
      <c r="A477" s="76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8"/>
      <c r="O477" s="77"/>
      <c r="P477" s="77"/>
      <c r="Q477" s="77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4.25" customHeight="1">
      <c r="A478" s="76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8"/>
      <c r="O478" s="77"/>
      <c r="P478" s="77"/>
      <c r="Q478" s="77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4.25" customHeight="1">
      <c r="A479" s="76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8"/>
      <c r="O479" s="77"/>
      <c r="P479" s="77"/>
      <c r="Q479" s="77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4.25" customHeight="1">
      <c r="A480" s="76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8"/>
      <c r="O480" s="77"/>
      <c r="P480" s="77"/>
      <c r="Q480" s="77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4.25" customHeight="1">
      <c r="A481" s="76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8"/>
      <c r="O481" s="77"/>
      <c r="P481" s="77"/>
      <c r="Q481" s="77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4.25" customHeight="1">
      <c r="A482" s="76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8"/>
      <c r="O482" s="77"/>
      <c r="P482" s="77"/>
      <c r="Q482" s="77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4.25" customHeight="1">
      <c r="A483" s="76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8"/>
      <c r="O483" s="77"/>
      <c r="P483" s="77"/>
      <c r="Q483" s="77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4.25" customHeight="1">
      <c r="A484" s="76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8"/>
      <c r="O484" s="77"/>
      <c r="P484" s="77"/>
      <c r="Q484" s="77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4.25" customHeight="1">
      <c r="A485" s="76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8"/>
      <c r="O485" s="77"/>
      <c r="P485" s="77"/>
      <c r="Q485" s="77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4.25" customHeight="1">
      <c r="A486" s="76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8"/>
      <c r="O486" s="77"/>
      <c r="P486" s="77"/>
      <c r="Q486" s="77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4.25" customHeight="1">
      <c r="A487" s="76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8"/>
      <c r="O487" s="77"/>
      <c r="P487" s="77"/>
      <c r="Q487" s="77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4.25" customHeight="1">
      <c r="A488" s="76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8"/>
      <c r="O488" s="77"/>
      <c r="P488" s="77"/>
      <c r="Q488" s="77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4.25" customHeight="1">
      <c r="A489" s="76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8"/>
      <c r="O489" s="77"/>
      <c r="P489" s="77"/>
      <c r="Q489" s="77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4.25" customHeight="1">
      <c r="A490" s="76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8"/>
      <c r="O490" s="77"/>
      <c r="P490" s="77"/>
      <c r="Q490" s="77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4.25" customHeight="1">
      <c r="A491" s="76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8"/>
      <c r="O491" s="77"/>
      <c r="P491" s="77"/>
      <c r="Q491" s="77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4.25" customHeight="1">
      <c r="A492" s="76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8"/>
      <c r="O492" s="77"/>
      <c r="P492" s="77"/>
      <c r="Q492" s="77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4.25" customHeight="1">
      <c r="A493" s="76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8"/>
      <c r="O493" s="77"/>
      <c r="P493" s="77"/>
      <c r="Q493" s="77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4.25" customHeight="1">
      <c r="A494" s="76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8"/>
      <c r="O494" s="77"/>
      <c r="P494" s="77"/>
      <c r="Q494" s="77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4.25" customHeight="1">
      <c r="A495" s="76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8"/>
      <c r="O495" s="77"/>
      <c r="P495" s="77"/>
      <c r="Q495" s="77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4.25" customHeight="1">
      <c r="A496" s="76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8"/>
      <c r="O496" s="77"/>
      <c r="P496" s="77"/>
      <c r="Q496" s="77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4.25" customHeight="1">
      <c r="A497" s="76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8"/>
      <c r="O497" s="77"/>
      <c r="P497" s="77"/>
      <c r="Q497" s="77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4.25" customHeight="1">
      <c r="A498" s="76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8"/>
      <c r="O498" s="77"/>
      <c r="P498" s="77"/>
      <c r="Q498" s="77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4.25" customHeight="1">
      <c r="A499" s="76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8"/>
      <c r="O499" s="77"/>
      <c r="P499" s="77"/>
      <c r="Q499" s="77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4.25" customHeight="1">
      <c r="A500" s="76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8"/>
      <c r="O500" s="77"/>
      <c r="P500" s="77"/>
      <c r="Q500" s="77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4.25" customHeight="1">
      <c r="A501" s="76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8"/>
      <c r="O501" s="77"/>
      <c r="P501" s="77"/>
      <c r="Q501" s="77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4.25" customHeight="1">
      <c r="A502" s="76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8"/>
      <c r="O502" s="77"/>
      <c r="P502" s="77"/>
      <c r="Q502" s="77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4.25" customHeight="1">
      <c r="A503" s="76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8"/>
      <c r="O503" s="77"/>
      <c r="P503" s="77"/>
      <c r="Q503" s="77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4.25" customHeight="1">
      <c r="A504" s="76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8"/>
      <c r="O504" s="77"/>
      <c r="P504" s="77"/>
      <c r="Q504" s="77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4.25" customHeight="1">
      <c r="A505" s="76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8"/>
      <c r="O505" s="77"/>
      <c r="P505" s="77"/>
      <c r="Q505" s="77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4.25" customHeight="1">
      <c r="A506" s="76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8"/>
      <c r="O506" s="77"/>
      <c r="P506" s="77"/>
      <c r="Q506" s="77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4.25" customHeight="1">
      <c r="A507" s="76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8"/>
      <c r="O507" s="77"/>
      <c r="P507" s="77"/>
      <c r="Q507" s="77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4.25" customHeight="1">
      <c r="A508" s="76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8"/>
      <c r="O508" s="77"/>
      <c r="P508" s="77"/>
      <c r="Q508" s="77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4.25" customHeight="1">
      <c r="A509" s="76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8"/>
      <c r="O509" s="77"/>
      <c r="P509" s="77"/>
      <c r="Q509" s="77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4.25" customHeight="1">
      <c r="A510" s="76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8"/>
      <c r="O510" s="77"/>
      <c r="P510" s="77"/>
      <c r="Q510" s="77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4.25" customHeight="1">
      <c r="A511" s="76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8"/>
      <c r="O511" s="77"/>
      <c r="P511" s="77"/>
      <c r="Q511" s="77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4.25" customHeight="1">
      <c r="A512" s="76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8"/>
      <c r="O512" s="77"/>
      <c r="P512" s="77"/>
      <c r="Q512" s="77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4.25" customHeight="1">
      <c r="A513" s="76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8"/>
      <c r="O513" s="77"/>
      <c r="P513" s="77"/>
      <c r="Q513" s="77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4.25" customHeight="1">
      <c r="A514" s="76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8"/>
      <c r="O514" s="77"/>
      <c r="P514" s="77"/>
      <c r="Q514" s="77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4.25" customHeight="1">
      <c r="A515" s="76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8"/>
      <c r="O515" s="77"/>
      <c r="P515" s="77"/>
      <c r="Q515" s="77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4.25" customHeight="1">
      <c r="A516" s="76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8"/>
      <c r="O516" s="77"/>
      <c r="P516" s="77"/>
      <c r="Q516" s="77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4.25" customHeight="1">
      <c r="A517" s="76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8"/>
      <c r="O517" s="77"/>
      <c r="P517" s="77"/>
      <c r="Q517" s="77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4.25" customHeight="1">
      <c r="A518" s="76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8"/>
      <c r="O518" s="77"/>
      <c r="P518" s="77"/>
      <c r="Q518" s="77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4.25" customHeight="1">
      <c r="A519" s="76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8"/>
      <c r="O519" s="77"/>
      <c r="P519" s="77"/>
      <c r="Q519" s="77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4.25" customHeight="1">
      <c r="A520" s="76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8"/>
      <c r="O520" s="77"/>
      <c r="P520" s="77"/>
      <c r="Q520" s="77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4.25" customHeight="1">
      <c r="A521" s="76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8"/>
      <c r="O521" s="77"/>
      <c r="P521" s="77"/>
      <c r="Q521" s="77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4.25" customHeight="1">
      <c r="A522" s="76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8"/>
      <c r="O522" s="77"/>
      <c r="P522" s="77"/>
      <c r="Q522" s="77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4.25" customHeight="1">
      <c r="A523" s="76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8"/>
      <c r="O523" s="77"/>
      <c r="P523" s="77"/>
      <c r="Q523" s="77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4.25" customHeight="1">
      <c r="A524" s="76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8"/>
      <c r="O524" s="77"/>
      <c r="P524" s="77"/>
      <c r="Q524" s="77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4.25" customHeight="1">
      <c r="A525" s="76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8"/>
      <c r="O525" s="77"/>
      <c r="P525" s="77"/>
      <c r="Q525" s="77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4.25" customHeight="1">
      <c r="A526" s="76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8"/>
      <c r="O526" s="77"/>
      <c r="P526" s="77"/>
      <c r="Q526" s="77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4.25" customHeight="1">
      <c r="A527" s="76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8"/>
      <c r="O527" s="77"/>
      <c r="P527" s="77"/>
      <c r="Q527" s="77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4.25" customHeight="1">
      <c r="A528" s="76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8"/>
      <c r="O528" s="77"/>
      <c r="P528" s="77"/>
      <c r="Q528" s="77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4.25" customHeight="1">
      <c r="A529" s="76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8"/>
      <c r="O529" s="77"/>
      <c r="P529" s="77"/>
      <c r="Q529" s="77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4.25" customHeight="1">
      <c r="A530" s="76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8"/>
      <c r="O530" s="77"/>
      <c r="P530" s="77"/>
      <c r="Q530" s="77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4.25" customHeight="1">
      <c r="A531" s="76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8"/>
      <c r="O531" s="77"/>
      <c r="P531" s="77"/>
      <c r="Q531" s="77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4.25" customHeight="1">
      <c r="A532" s="76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8"/>
      <c r="O532" s="77"/>
      <c r="P532" s="77"/>
      <c r="Q532" s="77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4.25" customHeight="1">
      <c r="A533" s="76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8"/>
      <c r="O533" s="77"/>
      <c r="P533" s="77"/>
      <c r="Q533" s="77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4.25" customHeight="1">
      <c r="A534" s="76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8"/>
      <c r="O534" s="77"/>
      <c r="P534" s="77"/>
      <c r="Q534" s="77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4.25" customHeight="1">
      <c r="A535" s="76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8"/>
      <c r="O535" s="77"/>
      <c r="P535" s="77"/>
      <c r="Q535" s="77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4.25" customHeight="1">
      <c r="A536" s="76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8"/>
      <c r="O536" s="77"/>
      <c r="P536" s="77"/>
      <c r="Q536" s="77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4.25" customHeight="1">
      <c r="A537" s="76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8"/>
      <c r="O537" s="77"/>
      <c r="P537" s="77"/>
      <c r="Q537" s="77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4.25" customHeight="1">
      <c r="A538" s="76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8"/>
      <c r="O538" s="77"/>
      <c r="P538" s="77"/>
      <c r="Q538" s="77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4.25" customHeight="1">
      <c r="A539" s="76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8"/>
      <c r="O539" s="77"/>
      <c r="P539" s="77"/>
      <c r="Q539" s="77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4.25" customHeight="1">
      <c r="A540" s="76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8"/>
      <c r="O540" s="77"/>
      <c r="P540" s="77"/>
      <c r="Q540" s="77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4.25" customHeight="1">
      <c r="A541" s="76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8"/>
      <c r="O541" s="77"/>
      <c r="P541" s="77"/>
      <c r="Q541" s="77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4.25" customHeight="1">
      <c r="A542" s="76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8"/>
      <c r="O542" s="77"/>
      <c r="P542" s="77"/>
      <c r="Q542" s="77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4.25" customHeight="1">
      <c r="A543" s="76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8"/>
      <c r="O543" s="77"/>
      <c r="P543" s="77"/>
      <c r="Q543" s="77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4.25" customHeight="1">
      <c r="A544" s="76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8"/>
      <c r="O544" s="77"/>
      <c r="P544" s="77"/>
      <c r="Q544" s="77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4.2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4.2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4.2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4.2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4.2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4.2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4.2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4.2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4.2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4.2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4.2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4.2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4.2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4.2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4.2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4.2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4.2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4.2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4.2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4.2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4.2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4.2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4.2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4.2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4.2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4.2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4.2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4.2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4.2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4.2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4.2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4.2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4.2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4.2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4.2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4.2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4.2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4.2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4.2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4.2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4.2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4.2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4.2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4.2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4.2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4.2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4.2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4.2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4.2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4.2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4.2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4.2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4.2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4.2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4.2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4.2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4.2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4.2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4.2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4.2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4.2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4.2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4.2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4.2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4.2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4.2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4.2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4.2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4.2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4.2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4.2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4.2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4.2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4.2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4.2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4.2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4.2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4.2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4.2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4.2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4.2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4.2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4.2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4.2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4.2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4.2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4.2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4.2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4.2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4.2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7.25"/>
    <col customWidth="1" min="3" max="26" width="8.63"/>
  </cols>
  <sheetData>
    <row r="1" ht="14.25" customHeight="1">
      <c r="A1" s="80" t="s">
        <v>949</v>
      </c>
    </row>
    <row r="2" ht="14.25" customHeight="1">
      <c r="A2" s="81"/>
    </row>
    <row r="3" ht="14.25" customHeight="1">
      <c r="A3" s="80" t="s">
        <v>950</v>
      </c>
    </row>
    <row r="4" ht="14.25" customHeight="1">
      <c r="A4" s="82" t="s">
        <v>2</v>
      </c>
      <c r="B4" s="83" t="s">
        <v>951</v>
      </c>
    </row>
    <row r="5" ht="14.25" customHeight="1">
      <c r="A5" s="84" t="s">
        <v>109</v>
      </c>
      <c r="B5" s="85">
        <v>123.0</v>
      </c>
    </row>
    <row r="6" ht="14.25" customHeight="1">
      <c r="A6" s="84" t="s">
        <v>124</v>
      </c>
      <c r="B6" s="85">
        <v>122.0</v>
      </c>
    </row>
    <row r="7" ht="14.25" customHeight="1">
      <c r="A7" s="84" t="s">
        <v>136</v>
      </c>
      <c r="B7" s="85">
        <v>113.0</v>
      </c>
    </row>
    <row r="8" ht="14.25" customHeight="1">
      <c r="A8" s="82" t="s">
        <v>952</v>
      </c>
      <c r="B8" s="83">
        <v>358.0</v>
      </c>
    </row>
    <row r="9" ht="14.25" customHeight="1">
      <c r="A9" s="80"/>
      <c r="B9" s="72"/>
    </row>
    <row r="10" ht="14.25" customHeight="1">
      <c r="A10" s="82" t="s">
        <v>953</v>
      </c>
      <c r="B10" s="85"/>
    </row>
    <row r="11" ht="14.25" customHeight="1">
      <c r="A11" s="82" t="s">
        <v>3</v>
      </c>
      <c r="B11" s="83" t="s">
        <v>951</v>
      </c>
    </row>
    <row r="12" ht="14.25" customHeight="1">
      <c r="A12" s="84" t="s">
        <v>110</v>
      </c>
      <c r="B12" s="85">
        <v>123.0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4.25" customHeight="1">
      <c r="A13" s="84" t="s">
        <v>125</v>
      </c>
      <c r="B13" s="85">
        <v>123.0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4.25" customHeight="1">
      <c r="A14" s="84" t="s">
        <v>137</v>
      </c>
      <c r="B14" s="85">
        <v>112.0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4.25" customHeight="1">
      <c r="A15" s="82" t="s">
        <v>952</v>
      </c>
      <c r="B15" s="83">
        <v>358.0</v>
      </c>
    </row>
    <row r="16" ht="14.25" customHeight="1">
      <c r="A16" s="80"/>
      <c r="B16" s="72"/>
    </row>
    <row r="17" ht="14.25" customHeight="1">
      <c r="A17" s="82" t="s">
        <v>954</v>
      </c>
      <c r="B17" s="85"/>
    </row>
    <row r="18" ht="14.25" customHeight="1">
      <c r="A18" s="82" t="s">
        <v>4</v>
      </c>
      <c r="B18" s="83" t="s">
        <v>951</v>
      </c>
    </row>
    <row r="19" ht="14.25" customHeight="1">
      <c r="A19" s="84" t="s">
        <v>111</v>
      </c>
      <c r="B19" s="85">
        <v>123.0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A20" s="84" t="s">
        <v>126</v>
      </c>
      <c r="B20" s="85">
        <v>123.0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4.25" customHeight="1">
      <c r="A21" s="84" t="s">
        <v>138</v>
      </c>
      <c r="B21" s="85">
        <v>112.0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4.25" customHeight="1">
      <c r="A22" s="82" t="s">
        <v>952</v>
      </c>
      <c r="B22" s="83">
        <v>358.0</v>
      </c>
    </row>
    <row r="23" ht="14.25" customHeight="1">
      <c r="A23" s="80"/>
      <c r="B23" s="72"/>
    </row>
    <row r="24" ht="14.25" customHeight="1">
      <c r="A24" s="82" t="s">
        <v>955</v>
      </c>
      <c r="B24" s="85"/>
    </row>
    <row r="25" ht="14.25" customHeight="1">
      <c r="A25" s="82" t="s">
        <v>956</v>
      </c>
      <c r="B25" s="83" t="s">
        <v>951</v>
      </c>
    </row>
    <row r="26" ht="14.25" customHeight="1">
      <c r="A26" s="81" t="s">
        <v>114</v>
      </c>
      <c r="B26" s="79">
        <v>119.0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4.25" customHeight="1">
      <c r="A27" s="81" t="s">
        <v>129</v>
      </c>
      <c r="B27" s="79">
        <v>120.0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A28" s="81" t="s">
        <v>141</v>
      </c>
      <c r="B28" s="79">
        <v>119.0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4.25" customHeight="1">
      <c r="A29" s="81" t="s">
        <v>957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4.25" customHeight="1">
      <c r="A30" s="80" t="s">
        <v>952</v>
      </c>
      <c r="B30" s="72">
        <v>358.0</v>
      </c>
    </row>
    <row r="31" ht="14.25" customHeight="1">
      <c r="A31" s="81"/>
    </row>
    <row r="32" ht="14.25" customHeight="1">
      <c r="A32" s="80" t="s">
        <v>958</v>
      </c>
    </row>
    <row r="33" ht="14.25" customHeight="1">
      <c r="A33" s="82" t="s">
        <v>21</v>
      </c>
      <c r="B33" s="83" t="s">
        <v>951</v>
      </c>
    </row>
    <row r="34" ht="14.25" customHeight="1">
      <c r="A34" s="84" t="s">
        <v>147</v>
      </c>
      <c r="B34" s="85">
        <v>170.0</v>
      </c>
    </row>
    <row r="35" ht="14.25" customHeight="1">
      <c r="A35" s="84" t="s">
        <v>132</v>
      </c>
      <c r="B35" s="85">
        <v>83.0</v>
      </c>
    </row>
    <row r="36" ht="14.25" customHeight="1">
      <c r="A36" s="84" t="s">
        <v>207</v>
      </c>
      <c r="B36" s="85">
        <v>50.0</v>
      </c>
    </row>
    <row r="37" ht="14.25" customHeight="1">
      <c r="A37" s="84" t="s">
        <v>190</v>
      </c>
      <c r="B37" s="85">
        <v>36.0</v>
      </c>
    </row>
    <row r="38" ht="14.25" customHeight="1">
      <c r="A38" s="84" t="s">
        <v>118</v>
      </c>
      <c r="B38" s="85">
        <v>14.0</v>
      </c>
    </row>
    <row r="39" ht="14.25" customHeight="1">
      <c r="A39" s="84" t="s">
        <v>536</v>
      </c>
      <c r="B39" s="85">
        <v>5.0</v>
      </c>
    </row>
    <row r="40" ht="14.25" customHeight="1">
      <c r="A40" s="82" t="s">
        <v>952</v>
      </c>
      <c r="B40" s="83">
        <v>358.0</v>
      </c>
    </row>
    <row r="41" ht="14.25" customHeight="1">
      <c r="A41" s="81"/>
    </row>
    <row r="42" ht="14.25" customHeight="1">
      <c r="A42" s="80" t="s">
        <v>959</v>
      </c>
    </row>
    <row r="43" ht="14.25" customHeight="1">
      <c r="A43" s="82" t="s">
        <v>22</v>
      </c>
      <c r="B43" s="83" t="s">
        <v>951</v>
      </c>
    </row>
    <row r="44" ht="14.25" customHeight="1">
      <c r="A44" s="84" t="s">
        <v>133</v>
      </c>
      <c r="B44" s="85">
        <v>124.0</v>
      </c>
    </row>
    <row r="45" ht="14.25" customHeight="1">
      <c r="A45" s="84" t="s">
        <v>182</v>
      </c>
      <c r="B45" s="85">
        <v>102.0</v>
      </c>
    </row>
    <row r="46" ht="14.25" customHeight="1">
      <c r="A46" s="84" t="s">
        <v>119</v>
      </c>
      <c r="B46" s="85">
        <v>63.0</v>
      </c>
    </row>
    <row r="47" ht="14.25" customHeight="1">
      <c r="A47" s="84" t="s">
        <v>199</v>
      </c>
      <c r="B47" s="85">
        <v>35.0</v>
      </c>
    </row>
    <row r="48" ht="14.25" customHeight="1">
      <c r="A48" s="84" t="s">
        <v>221</v>
      </c>
      <c r="B48" s="85">
        <v>14.0</v>
      </c>
    </row>
    <row r="49" ht="14.25" customHeight="1">
      <c r="A49" s="84" t="s">
        <v>194</v>
      </c>
      <c r="B49" s="85">
        <v>14.0</v>
      </c>
    </row>
    <row r="50" ht="14.25" customHeight="1">
      <c r="A50" s="84" t="s">
        <v>208</v>
      </c>
      <c r="B50" s="85">
        <v>4.0</v>
      </c>
    </row>
    <row r="51" ht="14.25" customHeight="1">
      <c r="A51" s="84" t="s">
        <v>327</v>
      </c>
      <c r="B51" s="85">
        <v>1.0</v>
      </c>
    </row>
    <row r="52" ht="14.25" customHeight="1">
      <c r="A52" s="84" t="s">
        <v>705</v>
      </c>
      <c r="B52" s="85">
        <v>1.0</v>
      </c>
    </row>
    <row r="53" ht="14.25" customHeight="1">
      <c r="A53" s="82" t="s">
        <v>952</v>
      </c>
      <c r="B53" s="83">
        <v>358.0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4.25" customHeight="1">
      <c r="A54" s="81"/>
    </row>
    <row r="55" ht="14.25" customHeight="1">
      <c r="A55" s="82" t="s">
        <v>960</v>
      </c>
      <c r="B55" s="85"/>
    </row>
    <row r="56" ht="14.25" customHeight="1">
      <c r="A56" s="82" t="s">
        <v>23</v>
      </c>
      <c r="B56" s="83" t="s">
        <v>951</v>
      </c>
    </row>
    <row r="57" ht="14.25" customHeight="1">
      <c r="A57" s="84" t="s">
        <v>259</v>
      </c>
      <c r="B57" s="85">
        <v>68.0</v>
      </c>
    </row>
    <row r="58" ht="14.25" customHeight="1">
      <c r="A58" s="84" t="s">
        <v>164</v>
      </c>
      <c r="B58" s="85">
        <v>49.0</v>
      </c>
    </row>
    <row r="59" ht="14.25" customHeight="1">
      <c r="A59" s="84" t="s">
        <v>168</v>
      </c>
      <c r="B59" s="85">
        <v>47.0</v>
      </c>
    </row>
    <row r="60" ht="14.25" customHeight="1">
      <c r="A60" s="84" t="s">
        <v>433</v>
      </c>
      <c r="B60" s="85">
        <v>22.0</v>
      </c>
    </row>
    <row r="61" ht="14.25" customHeight="1">
      <c r="A61" s="84" t="s">
        <v>183</v>
      </c>
      <c r="B61" s="85">
        <v>18.0</v>
      </c>
    </row>
    <row r="62" ht="14.25" customHeight="1">
      <c r="A62" s="84" t="s">
        <v>191</v>
      </c>
      <c r="B62" s="85">
        <v>17.0</v>
      </c>
    </row>
    <row r="63" ht="14.25" customHeight="1">
      <c r="A63" s="84" t="s">
        <v>541</v>
      </c>
      <c r="B63" s="85">
        <v>12.0</v>
      </c>
    </row>
    <row r="64" ht="14.25" customHeight="1">
      <c r="A64" s="84" t="s">
        <v>120</v>
      </c>
      <c r="B64" s="85">
        <v>12.0</v>
      </c>
    </row>
    <row r="65" ht="14.25" customHeight="1">
      <c r="A65" s="84" t="s">
        <v>225</v>
      </c>
      <c r="B65" s="85">
        <v>11.0</v>
      </c>
    </row>
    <row r="66" ht="14.25" customHeight="1">
      <c r="A66" s="84" t="s">
        <v>222</v>
      </c>
      <c r="B66" s="85">
        <v>10.0</v>
      </c>
    </row>
    <row r="67" ht="14.25" customHeight="1">
      <c r="A67" s="84" t="s">
        <v>195</v>
      </c>
      <c r="B67" s="85">
        <v>9.0</v>
      </c>
    </row>
    <row r="68" ht="14.25" customHeight="1">
      <c r="A68" s="84" t="s">
        <v>335</v>
      </c>
      <c r="B68" s="85">
        <v>7.0</v>
      </c>
    </row>
    <row r="69" ht="14.25" customHeight="1">
      <c r="A69" s="84" t="s">
        <v>284</v>
      </c>
      <c r="B69" s="85">
        <v>7.0</v>
      </c>
    </row>
    <row r="70" ht="14.25" customHeight="1">
      <c r="A70" s="84" t="s">
        <v>134</v>
      </c>
      <c r="B70" s="85">
        <v>6.0</v>
      </c>
    </row>
    <row r="71" ht="14.25" customHeight="1">
      <c r="A71" s="84" t="s">
        <v>628</v>
      </c>
      <c r="B71" s="85">
        <v>6.0</v>
      </c>
    </row>
    <row r="72" ht="14.25" customHeight="1">
      <c r="A72" s="84" t="s">
        <v>387</v>
      </c>
      <c r="B72" s="85">
        <v>5.0</v>
      </c>
    </row>
    <row r="73" ht="14.25" customHeight="1">
      <c r="A73" s="84" t="s">
        <v>869</v>
      </c>
      <c r="B73" s="85">
        <v>5.0</v>
      </c>
    </row>
    <row r="74" ht="14.25" customHeight="1">
      <c r="A74" s="84" t="s">
        <v>781</v>
      </c>
      <c r="B74" s="85">
        <v>4.0</v>
      </c>
    </row>
    <row r="75" ht="14.25" customHeight="1">
      <c r="A75" s="84" t="s">
        <v>833</v>
      </c>
      <c r="B75" s="85">
        <v>3.0</v>
      </c>
    </row>
    <row r="76" ht="14.25" customHeight="1">
      <c r="A76" s="84" t="s">
        <v>568</v>
      </c>
      <c r="B76" s="85">
        <v>3.0</v>
      </c>
    </row>
    <row r="77" ht="14.25" customHeight="1">
      <c r="A77" s="84" t="s">
        <v>826</v>
      </c>
      <c r="B77" s="85">
        <v>3.0</v>
      </c>
    </row>
    <row r="78" ht="14.25" customHeight="1">
      <c r="A78" s="84" t="s">
        <v>554</v>
      </c>
      <c r="B78" s="85">
        <v>3.0</v>
      </c>
    </row>
    <row r="79" ht="14.25" customHeight="1">
      <c r="A79" s="84" t="s">
        <v>548</v>
      </c>
      <c r="B79" s="85">
        <v>2.0</v>
      </c>
    </row>
    <row r="80" ht="14.25" customHeight="1">
      <c r="A80" s="84" t="s">
        <v>370</v>
      </c>
      <c r="B80" s="85">
        <v>2.0</v>
      </c>
    </row>
    <row r="81" ht="14.25" customHeight="1">
      <c r="A81" s="84" t="s">
        <v>215</v>
      </c>
      <c r="B81" s="85">
        <v>2.0</v>
      </c>
    </row>
    <row r="82" ht="14.25" customHeight="1">
      <c r="A82" s="84" t="s">
        <v>811</v>
      </c>
      <c r="B82" s="85">
        <v>2.0</v>
      </c>
    </row>
    <row r="83" ht="14.25" customHeight="1">
      <c r="A83" s="84" t="s">
        <v>200</v>
      </c>
      <c r="B83" s="85">
        <v>2.0</v>
      </c>
    </row>
    <row r="84" ht="14.25" customHeight="1">
      <c r="A84" s="84" t="s">
        <v>754</v>
      </c>
      <c r="B84" s="85">
        <v>2.0</v>
      </c>
    </row>
    <row r="85" ht="14.25" customHeight="1">
      <c r="A85" s="84" t="s">
        <v>252</v>
      </c>
      <c r="B85" s="85">
        <v>2.0</v>
      </c>
    </row>
    <row r="86" ht="14.25" customHeight="1">
      <c r="A86" s="84" t="s">
        <v>209</v>
      </c>
      <c r="B86" s="85">
        <v>2.0</v>
      </c>
    </row>
    <row r="87" ht="14.25" customHeight="1">
      <c r="A87" s="84" t="s">
        <v>619</v>
      </c>
      <c r="B87" s="85">
        <v>1.0</v>
      </c>
    </row>
    <row r="88" ht="14.25" customHeight="1">
      <c r="A88" s="84" t="s">
        <v>296</v>
      </c>
      <c r="B88" s="85">
        <v>1.0</v>
      </c>
    </row>
    <row r="89" ht="14.25" customHeight="1">
      <c r="A89" s="84" t="s">
        <v>594</v>
      </c>
      <c r="B89" s="85">
        <v>1.0</v>
      </c>
    </row>
    <row r="90" ht="14.25" customHeight="1">
      <c r="A90" s="84" t="s">
        <v>930</v>
      </c>
      <c r="B90" s="85">
        <v>1.0</v>
      </c>
    </row>
    <row r="91" ht="14.25" customHeight="1">
      <c r="A91" s="84" t="s">
        <v>537</v>
      </c>
      <c r="B91" s="85">
        <v>1.0</v>
      </c>
    </row>
    <row r="92" ht="14.25" customHeight="1">
      <c r="A92" s="84" t="s">
        <v>589</v>
      </c>
      <c r="B92" s="85">
        <v>1.0</v>
      </c>
    </row>
    <row r="93" ht="14.25" customHeight="1">
      <c r="A93" s="84" t="s">
        <v>773</v>
      </c>
      <c r="B93" s="85">
        <v>1.0</v>
      </c>
    </row>
    <row r="94" ht="14.25" customHeight="1">
      <c r="A94" s="84" t="s">
        <v>234</v>
      </c>
      <c r="B94" s="85">
        <v>1.0</v>
      </c>
    </row>
    <row r="95" ht="14.25" customHeight="1">
      <c r="A95" s="84" t="s">
        <v>148</v>
      </c>
      <c r="B95" s="85">
        <v>1.0</v>
      </c>
    </row>
    <row r="96" ht="14.25" customHeight="1">
      <c r="A96" s="84" t="s">
        <v>900</v>
      </c>
      <c r="B96" s="85">
        <v>1.0</v>
      </c>
    </row>
    <row r="97" ht="14.25" customHeight="1">
      <c r="A97" s="84" t="s">
        <v>328</v>
      </c>
      <c r="B97" s="85">
        <v>1.0</v>
      </c>
    </row>
    <row r="98" ht="14.25" customHeight="1">
      <c r="A98" s="84" t="s">
        <v>238</v>
      </c>
      <c r="B98" s="85">
        <v>1.0</v>
      </c>
    </row>
    <row r="99" ht="14.25" customHeight="1">
      <c r="A99" s="84" t="s">
        <v>739</v>
      </c>
      <c r="B99" s="85">
        <v>1.0</v>
      </c>
    </row>
    <row r="100" ht="14.25" customHeight="1">
      <c r="A100" s="84" t="s">
        <v>939</v>
      </c>
      <c r="B100" s="85">
        <v>1.0</v>
      </c>
    </row>
    <row r="101" ht="14.25" customHeight="1">
      <c r="A101" s="84" t="s">
        <v>706</v>
      </c>
      <c r="B101" s="85">
        <v>1.0</v>
      </c>
    </row>
    <row r="102" ht="14.25" customHeight="1">
      <c r="A102" s="82" t="s">
        <v>952</v>
      </c>
      <c r="B102" s="83">
        <v>358.0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4.25" customHeight="1">
      <c r="A103" s="81"/>
    </row>
    <row r="104" ht="14.25" customHeight="1">
      <c r="A104" s="82" t="s">
        <v>961</v>
      </c>
      <c r="B104" s="85"/>
    </row>
    <row r="105" ht="14.25" customHeight="1">
      <c r="A105" s="82" t="s">
        <v>24</v>
      </c>
      <c r="B105" s="83" t="s">
        <v>951</v>
      </c>
    </row>
    <row r="106" ht="14.25" customHeight="1">
      <c r="A106" s="84">
        <v>2019.0</v>
      </c>
      <c r="B106" s="85">
        <v>7.0</v>
      </c>
    </row>
    <row r="107" ht="14.25" customHeight="1">
      <c r="A107" s="84">
        <v>2020.0</v>
      </c>
      <c r="B107" s="85">
        <v>79.0</v>
      </c>
    </row>
    <row r="108" ht="14.25" customHeight="1">
      <c r="A108" s="84">
        <v>2021.0</v>
      </c>
      <c r="B108" s="85">
        <v>30.0</v>
      </c>
    </row>
    <row r="109" ht="14.25" customHeight="1">
      <c r="A109" s="84">
        <v>2022.0</v>
      </c>
      <c r="B109" s="85">
        <v>3.0</v>
      </c>
    </row>
    <row r="110" ht="14.25" customHeight="1">
      <c r="A110" s="84">
        <v>2023.0</v>
      </c>
      <c r="B110" s="85">
        <v>14.0</v>
      </c>
    </row>
    <row r="111" ht="14.25" customHeight="1">
      <c r="A111" s="84">
        <v>2024.0</v>
      </c>
      <c r="B111" s="85">
        <v>224.0</v>
      </c>
    </row>
    <row r="112" ht="14.25" customHeight="1">
      <c r="A112" s="84">
        <v>2025.0</v>
      </c>
      <c r="B112" s="85">
        <v>1.0</v>
      </c>
    </row>
    <row r="113" ht="14.25" customHeight="1">
      <c r="A113" s="82" t="s">
        <v>952</v>
      </c>
      <c r="B113" s="83">
        <v>358.0</v>
      </c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4.25" customHeight="1">
      <c r="A114" s="81"/>
    </row>
    <row r="115" ht="14.25" customHeight="1">
      <c r="A115" s="82" t="s">
        <v>962</v>
      </c>
      <c r="B115" s="85"/>
    </row>
    <row r="116" ht="14.25" customHeight="1">
      <c r="A116" s="82" t="s">
        <v>25</v>
      </c>
      <c r="B116" s="83" t="s">
        <v>951</v>
      </c>
    </row>
    <row r="117" ht="14.25" customHeight="1">
      <c r="A117" s="84" t="s">
        <v>135</v>
      </c>
      <c r="B117" s="85">
        <v>309.0</v>
      </c>
    </row>
    <row r="118" ht="14.25" customHeight="1">
      <c r="A118" s="84" t="s">
        <v>121</v>
      </c>
      <c r="B118" s="85">
        <v>49.0</v>
      </c>
    </row>
    <row r="119" ht="14.25" customHeight="1">
      <c r="A119" s="82" t="s">
        <v>952</v>
      </c>
      <c r="B119" s="83">
        <v>358.0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4.25" customHeight="1">
      <c r="A120" s="81"/>
    </row>
    <row r="121" ht="14.25" customHeight="1">
      <c r="A121" s="82" t="s">
        <v>963</v>
      </c>
      <c r="B121" s="85"/>
    </row>
    <row r="122" ht="14.25" customHeight="1">
      <c r="A122" s="82" t="s">
        <v>964</v>
      </c>
      <c r="B122" s="83" t="s">
        <v>951</v>
      </c>
    </row>
    <row r="123" ht="14.25" customHeight="1">
      <c r="A123" s="84">
        <v>2498.0</v>
      </c>
      <c r="B123" s="85">
        <v>166.0</v>
      </c>
    </row>
    <row r="124" ht="14.25" customHeight="1">
      <c r="A124" s="84">
        <v>1998.0</v>
      </c>
      <c r="B124" s="85">
        <v>94.0</v>
      </c>
    </row>
    <row r="125" ht="14.25" customHeight="1">
      <c r="A125" s="84">
        <v>1498.0</v>
      </c>
      <c r="B125" s="85">
        <v>27.0</v>
      </c>
    </row>
    <row r="126" ht="14.25" customHeight="1">
      <c r="A126" s="84">
        <v>2198.0</v>
      </c>
      <c r="B126" s="85">
        <v>25.0</v>
      </c>
    </row>
    <row r="127" ht="14.25" customHeight="1">
      <c r="A127" s="84">
        <v>1598.0</v>
      </c>
      <c r="B127" s="85">
        <v>13.0</v>
      </c>
    </row>
    <row r="128" ht="14.25" customHeight="1">
      <c r="A128" s="84">
        <v>2798.0</v>
      </c>
      <c r="B128" s="85">
        <v>12.0</v>
      </c>
    </row>
    <row r="129" ht="14.25" customHeight="1">
      <c r="A129" s="84">
        <v>1198.0</v>
      </c>
      <c r="B129" s="85">
        <v>9.0</v>
      </c>
    </row>
    <row r="130" ht="14.25" customHeight="1">
      <c r="A130" s="84">
        <v>1898.0</v>
      </c>
      <c r="B130" s="85">
        <v>6.0</v>
      </c>
    </row>
    <row r="131" ht="14.25" customHeight="1">
      <c r="A131" s="84">
        <v>2398.0</v>
      </c>
      <c r="B131" s="85">
        <v>3.0</v>
      </c>
    </row>
    <row r="132" ht="14.25" customHeight="1">
      <c r="A132" s="84">
        <v>1798.0</v>
      </c>
      <c r="B132" s="85">
        <v>1.0</v>
      </c>
    </row>
    <row r="133" ht="14.25" customHeight="1">
      <c r="A133" s="84">
        <v>2698.0</v>
      </c>
      <c r="B133" s="85">
        <v>1.0</v>
      </c>
    </row>
    <row r="134" ht="14.25" customHeight="1">
      <c r="A134" s="84">
        <v>2998.0</v>
      </c>
      <c r="B134" s="85">
        <v>1.0</v>
      </c>
    </row>
    <row r="135" ht="14.25" customHeight="1">
      <c r="A135" s="82" t="s">
        <v>952</v>
      </c>
      <c r="B135" s="83">
        <v>358.0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4.25" customHeight="1">
      <c r="A136" s="81"/>
    </row>
    <row r="137" ht="14.25" customHeight="1">
      <c r="A137" s="82" t="s">
        <v>965</v>
      </c>
      <c r="B137" s="85"/>
    </row>
    <row r="138" ht="14.25" customHeight="1">
      <c r="A138" s="82" t="s">
        <v>6</v>
      </c>
      <c r="B138" s="83" t="s">
        <v>951</v>
      </c>
    </row>
    <row r="139" ht="14.25" customHeight="1">
      <c r="A139" s="84" t="s">
        <v>140</v>
      </c>
      <c r="B139" s="85">
        <v>228.0</v>
      </c>
    </row>
    <row r="140" ht="14.25" customHeight="1">
      <c r="A140" s="84" t="s">
        <v>113</v>
      </c>
      <c r="B140" s="85">
        <v>99.0</v>
      </c>
    </row>
    <row r="141" ht="14.25" customHeight="1">
      <c r="A141" s="84" t="s">
        <v>128</v>
      </c>
      <c r="B141" s="85">
        <v>25.0</v>
      </c>
    </row>
    <row r="142" ht="14.25" customHeight="1">
      <c r="A142" s="84" t="s">
        <v>161</v>
      </c>
      <c r="B142" s="85">
        <v>5.0</v>
      </c>
    </row>
    <row r="143" ht="14.25" customHeight="1">
      <c r="A143" s="84" t="s">
        <v>391</v>
      </c>
      <c r="B143" s="85">
        <v>1.0</v>
      </c>
    </row>
    <row r="144" ht="14.25" customHeight="1">
      <c r="A144" s="82" t="s">
        <v>952</v>
      </c>
      <c r="B144" s="83">
        <v>358.0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4.25" customHeight="1">
      <c r="A145" s="81"/>
    </row>
    <row r="146" ht="14.25" customHeight="1">
      <c r="A146" s="82" t="s">
        <v>966</v>
      </c>
      <c r="B146" s="85"/>
    </row>
    <row r="147" ht="14.25" customHeight="1">
      <c r="A147" s="82" t="s">
        <v>5</v>
      </c>
      <c r="B147" s="83" t="s">
        <v>951</v>
      </c>
    </row>
    <row r="148" ht="14.25" customHeight="1">
      <c r="A148" s="84" t="s">
        <v>176</v>
      </c>
      <c r="B148" s="85">
        <v>84.0</v>
      </c>
    </row>
    <row r="149" ht="14.25" customHeight="1">
      <c r="A149" s="84" t="s">
        <v>112</v>
      </c>
      <c r="B149" s="85">
        <v>79.0</v>
      </c>
    </row>
    <row r="150" ht="14.25" customHeight="1">
      <c r="A150" s="84" t="s">
        <v>196</v>
      </c>
      <c r="B150" s="85">
        <v>77.0</v>
      </c>
    </row>
    <row r="151" ht="14.25" customHeight="1">
      <c r="A151" s="84" t="s">
        <v>172</v>
      </c>
      <c r="B151" s="85">
        <v>36.0</v>
      </c>
    </row>
    <row r="152" ht="14.25" customHeight="1">
      <c r="A152" s="84" t="s">
        <v>179</v>
      </c>
      <c r="B152" s="85">
        <v>18.0</v>
      </c>
    </row>
    <row r="153" ht="14.25" customHeight="1">
      <c r="A153" s="84" t="s">
        <v>231</v>
      </c>
      <c r="B153" s="85">
        <v>13.0</v>
      </c>
    </row>
    <row r="154" ht="14.25" customHeight="1">
      <c r="A154" s="84" t="s">
        <v>235</v>
      </c>
      <c r="B154" s="85">
        <v>9.0</v>
      </c>
    </row>
    <row r="155" ht="14.25" customHeight="1">
      <c r="A155" s="84" t="s">
        <v>332</v>
      </c>
      <c r="B155" s="85">
        <v>7.0</v>
      </c>
    </row>
    <row r="156" ht="14.25" customHeight="1">
      <c r="A156" s="84" t="s">
        <v>169</v>
      </c>
      <c r="B156" s="85">
        <v>3.0</v>
      </c>
    </row>
    <row r="157" ht="14.25" customHeight="1">
      <c r="A157" s="84" t="s">
        <v>127</v>
      </c>
      <c r="B157" s="85">
        <v>3.0</v>
      </c>
    </row>
    <row r="158" ht="14.25" customHeight="1">
      <c r="A158" s="84" t="s">
        <v>402</v>
      </c>
      <c r="B158" s="85">
        <v>3.0</v>
      </c>
    </row>
    <row r="159" ht="14.25" customHeight="1">
      <c r="A159" s="84" t="s">
        <v>838</v>
      </c>
      <c r="B159" s="85">
        <v>3.0</v>
      </c>
    </row>
    <row r="160" ht="14.25" customHeight="1">
      <c r="A160" s="84" t="s">
        <v>782</v>
      </c>
      <c r="B160" s="85">
        <v>3.0</v>
      </c>
    </row>
    <row r="161" ht="14.25" customHeight="1">
      <c r="A161" s="84" t="s">
        <v>210</v>
      </c>
      <c r="B161" s="85">
        <v>2.0</v>
      </c>
    </row>
    <row r="162" ht="14.25" customHeight="1">
      <c r="A162" s="84" t="s">
        <v>154</v>
      </c>
      <c r="B162" s="85">
        <v>2.0</v>
      </c>
    </row>
    <row r="163" ht="14.25" customHeight="1">
      <c r="A163" s="84" t="s">
        <v>533</v>
      </c>
      <c r="B163" s="85">
        <v>2.0</v>
      </c>
    </row>
    <row r="164" ht="14.25" customHeight="1">
      <c r="A164" s="84" t="s">
        <v>530</v>
      </c>
      <c r="B164" s="85">
        <v>1.0</v>
      </c>
    </row>
    <row r="165" ht="14.25" customHeight="1">
      <c r="A165" s="84" t="s">
        <v>390</v>
      </c>
      <c r="B165" s="85">
        <v>1.0</v>
      </c>
    </row>
    <row r="166" ht="14.25" customHeight="1">
      <c r="A166" s="84" t="s">
        <v>538</v>
      </c>
      <c r="B166" s="85">
        <v>1.0</v>
      </c>
    </row>
    <row r="167" ht="14.25" customHeight="1">
      <c r="A167" s="84" t="s">
        <v>218</v>
      </c>
      <c r="B167" s="85">
        <v>1.0</v>
      </c>
    </row>
    <row r="168" ht="14.25" customHeight="1">
      <c r="A168" s="84" t="s">
        <v>160</v>
      </c>
      <c r="B168" s="85">
        <v>1.0</v>
      </c>
    </row>
    <row r="169" ht="14.25" customHeight="1">
      <c r="A169" s="84" t="s">
        <v>165</v>
      </c>
      <c r="B169" s="85">
        <v>1.0</v>
      </c>
    </row>
    <row r="170" ht="14.25" customHeight="1">
      <c r="A170" s="84" t="s">
        <v>919</v>
      </c>
      <c r="B170" s="85">
        <v>1.0</v>
      </c>
    </row>
    <row r="171" ht="14.25" customHeight="1">
      <c r="A171" s="84" t="s">
        <v>287</v>
      </c>
      <c r="B171" s="85">
        <v>1.0</v>
      </c>
    </row>
    <row r="172" ht="14.25" customHeight="1">
      <c r="A172" s="84" t="s">
        <v>151</v>
      </c>
      <c r="B172" s="85">
        <v>1.0</v>
      </c>
    </row>
    <row r="173" ht="14.25" customHeight="1">
      <c r="A173" s="84" t="s">
        <v>329</v>
      </c>
      <c r="B173" s="85">
        <v>1.0</v>
      </c>
    </row>
    <row r="174" ht="14.25" customHeight="1">
      <c r="A174" s="84" t="s">
        <v>204</v>
      </c>
      <c r="B174" s="85">
        <v>1.0</v>
      </c>
    </row>
    <row r="175" ht="14.25" customHeight="1">
      <c r="A175" s="84" t="s">
        <v>139</v>
      </c>
      <c r="B175" s="85">
        <v>1.0</v>
      </c>
    </row>
    <row r="176" ht="14.25" customHeight="1">
      <c r="A176" s="84" t="s">
        <v>555</v>
      </c>
      <c r="B176" s="85">
        <v>1.0</v>
      </c>
    </row>
    <row r="177" ht="14.25" customHeight="1">
      <c r="A177" s="84" t="s">
        <v>549</v>
      </c>
      <c r="B177" s="85">
        <v>1.0</v>
      </c>
    </row>
    <row r="178" ht="14.25" customHeight="1">
      <c r="A178" s="82" t="s">
        <v>952</v>
      </c>
      <c r="B178" s="83">
        <v>358.0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4.25" customHeight="1">
      <c r="A179" s="81"/>
    </row>
    <row r="180" ht="14.25" customHeight="1">
      <c r="A180" s="81"/>
    </row>
    <row r="181" ht="14.25" customHeight="1">
      <c r="A181" s="82" t="s">
        <v>967</v>
      </c>
      <c r="B181" s="85"/>
    </row>
    <row r="182" ht="14.25" customHeight="1">
      <c r="A182" s="82" t="s">
        <v>99</v>
      </c>
      <c r="B182" s="83" t="s">
        <v>951</v>
      </c>
    </row>
    <row r="183" ht="14.25" customHeight="1">
      <c r="A183" s="84" t="s">
        <v>122</v>
      </c>
      <c r="B183" s="85">
        <v>358.0</v>
      </c>
    </row>
    <row r="184" ht="14.25" customHeight="1">
      <c r="A184" s="84" t="s">
        <v>968</v>
      </c>
      <c r="B184" s="85">
        <v>0.0</v>
      </c>
    </row>
    <row r="185" ht="14.25" customHeight="1">
      <c r="A185" s="84" t="s">
        <v>969</v>
      </c>
      <c r="B185" s="85">
        <v>0.0</v>
      </c>
    </row>
    <row r="186" ht="14.25" customHeight="1">
      <c r="A186" s="84" t="s">
        <v>970</v>
      </c>
      <c r="B186" s="85">
        <v>0.0</v>
      </c>
    </row>
    <row r="187" ht="14.25" customHeight="1">
      <c r="A187" s="82" t="s">
        <v>952</v>
      </c>
      <c r="B187" s="83">
        <v>358.0</v>
      </c>
    </row>
    <row r="188" ht="14.25" customHeight="1">
      <c r="A188" s="81"/>
    </row>
    <row r="189" ht="14.25" customHeight="1">
      <c r="A189" s="81"/>
    </row>
    <row r="190" ht="14.25" customHeight="1">
      <c r="A190" s="82" t="s">
        <v>971</v>
      </c>
      <c r="B190" s="85"/>
    </row>
    <row r="191" ht="14.25" customHeight="1">
      <c r="A191" s="82" t="s">
        <v>972</v>
      </c>
      <c r="B191" s="83" t="s">
        <v>951</v>
      </c>
    </row>
    <row r="192" ht="14.25" customHeight="1">
      <c r="A192" s="84" t="s">
        <v>175</v>
      </c>
      <c r="B192" s="85">
        <v>95.0</v>
      </c>
    </row>
    <row r="193" ht="14.25" customHeight="1">
      <c r="A193" s="84" t="s">
        <v>203</v>
      </c>
      <c r="B193" s="85">
        <v>87.0</v>
      </c>
    </row>
    <row r="194" ht="14.25" customHeight="1">
      <c r="A194" s="84" t="s">
        <v>157</v>
      </c>
      <c r="B194" s="85">
        <v>60.0</v>
      </c>
    </row>
    <row r="195" ht="14.25" customHeight="1">
      <c r="A195" s="84" t="s">
        <v>144</v>
      </c>
      <c r="B195" s="85">
        <v>48.0</v>
      </c>
    </row>
    <row r="196" ht="14.25" customHeight="1">
      <c r="A196" s="84" t="s">
        <v>108</v>
      </c>
      <c r="B196" s="85">
        <v>38.0</v>
      </c>
    </row>
    <row r="197" ht="14.25" customHeight="1">
      <c r="A197" s="84" t="s">
        <v>228</v>
      </c>
      <c r="B197" s="85">
        <v>30.0</v>
      </c>
    </row>
    <row r="198" ht="14.25" customHeight="1">
      <c r="A198" s="82" t="s">
        <v>952</v>
      </c>
      <c r="B198" s="83">
        <v>358.0</v>
      </c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4.25" customHeight="1">
      <c r="A199" s="81"/>
    </row>
    <row r="200" ht="14.25" customHeight="1">
      <c r="A200" s="81"/>
    </row>
    <row r="201" ht="14.25" customHeight="1">
      <c r="A201" s="81"/>
    </row>
    <row r="202" ht="14.25" customHeight="1">
      <c r="A202" s="81"/>
    </row>
    <row r="203" ht="14.25" customHeight="1">
      <c r="A203" s="81"/>
    </row>
    <row r="204" ht="14.25" customHeight="1">
      <c r="A204" s="81"/>
    </row>
    <row r="205" ht="14.25" customHeight="1">
      <c r="A205" s="81"/>
    </row>
    <row r="206" ht="14.25" customHeight="1">
      <c r="A206" s="81"/>
    </row>
    <row r="207" ht="14.25" customHeight="1">
      <c r="A207" s="81"/>
    </row>
    <row r="208" ht="14.25" customHeight="1">
      <c r="A208" s="81"/>
    </row>
    <row r="209" ht="14.25" customHeight="1">
      <c r="A209" s="81"/>
    </row>
    <row r="210" ht="14.25" customHeight="1">
      <c r="A210" s="81"/>
    </row>
    <row r="211" ht="14.25" customHeight="1">
      <c r="A211" s="81"/>
    </row>
    <row r="212" ht="14.25" customHeight="1">
      <c r="A212" s="81"/>
    </row>
    <row r="213" ht="14.25" customHeight="1">
      <c r="A213" s="81"/>
    </row>
    <row r="214" ht="14.25" customHeight="1">
      <c r="A214" s="81"/>
    </row>
    <row r="215" ht="14.25" customHeight="1">
      <c r="A215" s="81"/>
    </row>
    <row r="216" ht="14.25" customHeight="1">
      <c r="A216" s="81"/>
    </row>
    <row r="217" ht="14.25" customHeight="1">
      <c r="A217" s="81"/>
    </row>
    <row r="218" ht="14.25" customHeight="1">
      <c r="A218" s="81"/>
    </row>
    <row r="219" ht="14.25" customHeight="1">
      <c r="A219" s="81"/>
    </row>
    <row r="220" ht="14.25" customHeight="1">
      <c r="A220" s="81"/>
    </row>
    <row r="221" ht="14.25" customHeight="1">
      <c r="A221" s="81"/>
    </row>
    <row r="222" ht="14.25" customHeight="1">
      <c r="A222" s="81"/>
    </row>
    <row r="223" ht="14.25" customHeight="1">
      <c r="A223" s="81"/>
    </row>
    <row r="224" ht="14.25" customHeight="1">
      <c r="A224" s="81"/>
    </row>
    <row r="225" ht="14.25" customHeight="1">
      <c r="A225" s="81"/>
    </row>
    <row r="226" ht="14.25" customHeight="1">
      <c r="A226" s="81"/>
    </row>
    <row r="227" ht="14.25" customHeight="1">
      <c r="A227" s="81"/>
    </row>
    <row r="228" ht="14.25" customHeight="1">
      <c r="A228" s="81"/>
    </row>
    <row r="229" ht="14.25" customHeight="1">
      <c r="A229" s="81"/>
    </row>
    <row r="230" ht="14.25" customHeight="1">
      <c r="A230" s="81"/>
    </row>
    <row r="231" ht="14.25" customHeight="1">
      <c r="A231" s="81"/>
    </row>
    <row r="232" ht="14.25" customHeight="1">
      <c r="A232" s="81"/>
    </row>
    <row r="233" ht="14.25" customHeight="1">
      <c r="A233" s="81"/>
    </row>
    <row r="234" ht="14.25" customHeight="1">
      <c r="A234" s="81"/>
    </row>
    <row r="235" ht="14.25" customHeight="1">
      <c r="A235" s="81"/>
    </row>
    <row r="236" ht="14.25" customHeight="1">
      <c r="A236" s="81"/>
    </row>
    <row r="237" ht="14.25" customHeight="1">
      <c r="A237" s="81"/>
    </row>
    <row r="238" ht="14.25" customHeight="1">
      <c r="A238" s="81"/>
    </row>
    <row r="239" ht="14.25" customHeight="1">
      <c r="A239" s="81"/>
    </row>
    <row r="240" ht="14.25" customHeight="1">
      <c r="A240" s="81"/>
    </row>
    <row r="241" ht="14.25" customHeight="1">
      <c r="A241" s="81"/>
    </row>
    <row r="242" ht="14.25" customHeight="1">
      <c r="A242" s="81"/>
    </row>
    <row r="243" ht="14.25" customHeight="1">
      <c r="A243" s="81"/>
    </row>
    <row r="244" ht="14.25" customHeight="1">
      <c r="A244" s="81"/>
    </row>
    <row r="245" ht="14.25" customHeight="1">
      <c r="A245" s="81"/>
    </row>
    <row r="246" ht="14.25" customHeight="1">
      <c r="A246" s="81"/>
    </row>
    <row r="247" ht="14.25" customHeight="1">
      <c r="A247" s="81"/>
    </row>
    <row r="248" ht="14.25" customHeight="1">
      <c r="A248" s="81"/>
    </row>
    <row r="249" ht="14.25" customHeight="1">
      <c r="A249" s="81"/>
    </row>
    <row r="250" ht="14.25" customHeight="1">
      <c r="A250" s="81"/>
    </row>
    <row r="251" ht="14.25" customHeight="1">
      <c r="A251" s="81"/>
    </row>
    <row r="252" ht="14.25" customHeight="1">
      <c r="A252" s="81"/>
    </row>
    <row r="253" ht="14.25" customHeight="1">
      <c r="A253" s="81"/>
    </row>
    <row r="254" ht="14.25" customHeight="1">
      <c r="A254" s="81"/>
    </row>
    <row r="255" ht="14.25" customHeight="1">
      <c r="A255" s="81"/>
    </row>
    <row r="256" ht="14.25" customHeight="1">
      <c r="A256" s="81"/>
    </row>
    <row r="257" ht="14.25" customHeight="1">
      <c r="A257" s="81"/>
    </row>
    <row r="258" ht="14.25" customHeight="1">
      <c r="A258" s="81"/>
    </row>
    <row r="259" ht="14.25" customHeight="1">
      <c r="A259" s="81"/>
    </row>
    <row r="260" ht="14.25" customHeight="1">
      <c r="A260" s="81"/>
    </row>
    <row r="261" ht="14.25" customHeight="1">
      <c r="A261" s="81"/>
    </row>
    <row r="262" ht="14.25" customHeight="1">
      <c r="A262" s="81"/>
    </row>
    <row r="263" ht="14.25" customHeight="1">
      <c r="A263" s="81"/>
    </row>
    <row r="264" ht="14.25" customHeight="1">
      <c r="A264" s="81"/>
    </row>
    <row r="265" ht="14.25" customHeight="1">
      <c r="A265" s="81"/>
    </row>
    <row r="266" ht="14.25" customHeight="1">
      <c r="A266" s="81"/>
    </row>
    <row r="267" ht="14.25" customHeight="1">
      <c r="A267" s="81"/>
    </row>
    <row r="268" ht="14.25" customHeight="1">
      <c r="A268" s="81"/>
    </row>
    <row r="269" ht="14.25" customHeight="1">
      <c r="A269" s="81"/>
    </row>
    <row r="270" ht="14.25" customHeight="1">
      <c r="A270" s="81"/>
    </row>
    <row r="271" ht="14.25" customHeight="1">
      <c r="A271" s="81"/>
    </row>
    <row r="272" ht="14.25" customHeight="1">
      <c r="A272" s="81"/>
    </row>
    <row r="273" ht="14.25" customHeight="1">
      <c r="A273" s="81"/>
    </row>
    <row r="274" ht="14.25" customHeight="1">
      <c r="A274" s="81"/>
    </row>
    <row r="275" ht="14.25" customHeight="1">
      <c r="A275" s="81"/>
    </row>
    <row r="276" ht="14.25" customHeight="1">
      <c r="A276" s="81"/>
    </row>
    <row r="277" ht="14.25" customHeight="1">
      <c r="A277" s="81"/>
    </row>
    <row r="278" ht="14.25" customHeight="1">
      <c r="A278" s="81"/>
    </row>
    <row r="279" ht="14.25" customHeight="1">
      <c r="A279" s="81"/>
    </row>
    <row r="280" ht="14.25" customHeight="1">
      <c r="A280" s="81"/>
    </row>
    <row r="281" ht="14.25" customHeight="1">
      <c r="A281" s="81"/>
    </row>
    <row r="282" ht="14.25" customHeight="1">
      <c r="A282" s="81"/>
    </row>
    <row r="283" ht="14.25" customHeight="1">
      <c r="A283" s="81"/>
    </row>
    <row r="284" ht="14.25" customHeight="1">
      <c r="A284" s="81"/>
    </row>
    <row r="285" ht="14.25" customHeight="1">
      <c r="A285" s="81"/>
    </row>
    <row r="286" ht="14.25" customHeight="1">
      <c r="A286" s="81"/>
    </row>
    <row r="287" ht="14.25" customHeight="1">
      <c r="A287" s="81"/>
    </row>
    <row r="288" ht="14.25" customHeight="1">
      <c r="A288" s="81"/>
    </row>
    <row r="289" ht="14.25" customHeight="1">
      <c r="A289" s="81"/>
    </row>
    <row r="290" ht="14.25" customHeight="1">
      <c r="A290" s="81"/>
    </row>
    <row r="291" ht="14.25" customHeight="1">
      <c r="A291" s="81"/>
    </row>
    <row r="292" ht="14.25" customHeight="1">
      <c r="A292" s="81"/>
    </row>
    <row r="293" ht="14.25" customHeight="1">
      <c r="A293" s="81"/>
    </row>
    <row r="294" ht="14.25" customHeight="1">
      <c r="A294" s="81"/>
    </row>
    <row r="295" ht="14.25" customHeight="1">
      <c r="A295" s="81"/>
    </row>
    <row r="296" ht="14.25" customHeight="1">
      <c r="A296" s="81"/>
    </row>
    <row r="297" ht="14.25" customHeight="1">
      <c r="A297" s="81"/>
    </row>
    <row r="298" ht="14.25" customHeight="1">
      <c r="A298" s="81"/>
    </row>
    <row r="299" ht="14.25" customHeight="1">
      <c r="A299" s="81"/>
    </row>
    <row r="300" ht="14.25" customHeight="1">
      <c r="A300" s="81"/>
    </row>
    <row r="301" ht="14.25" customHeight="1">
      <c r="A301" s="81"/>
    </row>
    <row r="302" ht="14.25" customHeight="1">
      <c r="A302" s="81"/>
    </row>
    <row r="303" ht="14.25" customHeight="1">
      <c r="A303" s="81"/>
    </row>
    <row r="304" ht="14.25" customHeight="1">
      <c r="A304" s="81"/>
    </row>
    <row r="305" ht="14.25" customHeight="1">
      <c r="A305" s="81"/>
    </row>
    <row r="306" ht="14.25" customHeight="1">
      <c r="A306" s="81"/>
    </row>
    <row r="307" ht="14.25" customHeight="1">
      <c r="A307" s="81"/>
    </row>
    <row r="308" ht="14.25" customHeight="1">
      <c r="A308" s="81"/>
    </row>
    <row r="309" ht="14.25" customHeight="1">
      <c r="A309" s="81"/>
    </row>
    <row r="310" ht="14.25" customHeight="1">
      <c r="A310" s="81"/>
    </row>
    <row r="311" ht="14.25" customHeight="1">
      <c r="A311" s="81"/>
    </row>
    <row r="312" ht="14.25" customHeight="1">
      <c r="A312" s="81"/>
    </row>
    <row r="313" ht="14.25" customHeight="1">
      <c r="A313" s="81"/>
    </row>
    <row r="314" ht="14.25" customHeight="1">
      <c r="A314" s="81"/>
    </row>
    <row r="315" ht="14.25" customHeight="1">
      <c r="A315" s="81"/>
    </row>
    <row r="316" ht="14.25" customHeight="1">
      <c r="A316" s="81"/>
    </row>
    <row r="317" ht="14.25" customHeight="1">
      <c r="A317" s="81"/>
    </row>
    <row r="318" ht="14.25" customHeight="1">
      <c r="A318" s="81"/>
    </row>
    <row r="319" ht="14.25" customHeight="1">
      <c r="A319" s="81"/>
    </row>
    <row r="320" ht="14.25" customHeight="1">
      <c r="A320" s="81"/>
    </row>
    <row r="321" ht="14.25" customHeight="1">
      <c r="A321" s="81"/>
    </row>
    <row r="322" ht="14.25" customHeight="1">
      <c r="A322" s="81"/>
    </row>
    <row r="323" ht="14.25" customHeight="1">
      <c r="A323" s="81"/>
    </row>
    <row r="324" ht="14.25" customHeight="1">
      <c r="A324" s="81"/>
    </row>
    <row r="325" ht="14.25" customHeight="1">
      <c r="A325" s="81"/>
    </row>
    <row r="326" ht="14.25" customHeight="1">
      <c r="A326" s="81"/>
    </row>
    <row r="327" ht="14.25" customHeight="1">
      <c r="A327" s="81"/>
    </row>
    <row r="328" ht="14.25" customHeight="1">
      <c r="A328" s="81"/>
    </row>
    <row r="329" ht="14.25" customHeight="1">
      <c r="A329" s="81"/>
    </row>
    <row r="330" ht="14.25" customHeight="1">
      <c r="A330" s="81"/>
    </row>
    <row r="331" ht="14.25" customHeight="1">
      <c r="A331" s="81"/>
    </row>
    <row r="332" ht="14.25" customHeight="1">
      <c r="A332" s="81"/>
    </row>
    <row r="333" ht="14.25" customHeight="1">
      <c r="A333" s="81"/>
    </row>
    <row r="334" ht="14.25" customHeight="1">
      <c r="A334" s="81"/>
    </row>
    <row r="335" ht="14.25" customHeight="1">
      <c r="A335" s="81"/>
    </row>
    <row r="336" ht="14.25" customHeight="1">
      <c r="A336" s="81"/>
    </row>
    <row r="337" ht="14.25" customHeight="1">
      <c r="A337" s="81"/>
    </row>
    <row r="338" ht="14.25" customHeight="1">
      <c r="A338" s="81"/>
    </row>
    <row r="339" ht="14.25" customHeight="1">
      <c r="A339" s="81"/>
    </row>
    <row r="340" ht="14.25" customHeight="1">
      <c r="A340" s="81"/>
    </row>
    <row r="341" ht="14.25" customHeight="1">
      <c r="A341" s="81"/>
    </row>
    <row r="342" ht="14.25" customHeight="1">
      <c r="A342" s="81"/>
    </row>
    <row r="343" ht="14.25" customHeight="1">
      <c r="A343" s="81"/>
    </row>
    <row r="344" ht="14.25" customHeight="1">
      <c r="A344" s="81"/>
    </row>
    <row r="345" ht="14.25" customHeight="1">
      <c r="A345" s="81"/>
    </row>
    <row r="346" ht="14.25" customHeight="1">
      <c r="A346" s="81"/>
    </row>
    <row r="347" ht="14.25" customHeight="1">
      <c r="A347" s="81"/>
    </row>
    <row r="348" ht="14.25" customHeight="1">
      <c r="A348" s="81"/>
    </row>
    <row r="349" ht="14.25" customHeight="1">
      <c r="A349" s="81"/>
    </row>
    <row r="350" ht="14.25" customHeight="1">
      <c r="A350" s="81"/>
    </row>
    <row r="351" ht="14.25" customHeight="1">
      <c r="A351" s="81"/>
    </row>
    <row r="352" ht="14.25" customHeight="1">
      <c r="A352" s="81"/>
    </row>
    <row r="353" ht="14.25" customHeight="1">
      <c r="A353" s="81"/>
    </row>
    <row r="354" ht="14.25" customHeight="1">
      <c r="A354" s="81"/>
    </row>
    <row r="355" ht="14.25" customHeight="1">
      <c r="A355" s="81"/>
    </row>
    <row r="356" ht="14.25" customHeight="1">
      <c r="A356" s="81"/>
    </row>
    <row r="357" ht="14.25" customHeight="1">
      <c r="A357" s="81"/>
    </row>
    <row r="358" ht="14.25" customHeight="1">
      <c r="A358" s="81"/>
    </row>
    <row r="359" ht="14.25" customHeight="1">
      <c r="A359" s="81"/>
    </row>
    <row r="360" ht="14.25" customHeight="1">
      <c r="A360" s="81"/>
    </row>
    <row r="361" ht="14.25" customHeight="1">
      <c r="A361" s="81"/>
    </row>
    <row r="362" ht="14.25" customHeight="1">
      <c r="A362" s="81"/>
    </row>
    <row r="363" ht="14.25" customHeight="1">
      <c r="A363" s="81"/>
    </row>
    <row r="364" ht="14.25" customHeight="1">
      <c r="A364" s="81"/>
    </row>
    <row r="365" ht="14.25" customHeight="1">
      <c r="A365" s="81"/>
    </row>
    <row r="366" ht="14.25" customHeight="1">
      <c r="A366" s="81"/>
    </row>
    <row r="367" ht="14.25" customHeight="1">
      <c r="A367" s="81"/>
    </row>
    <row r="368" ht="14.25" customHeight="1">
      <c r="A368" s="81"/>
    </row>
    <row r="369" ht="14.25" customHeight="1">
      <c r="A369" s="81"/>
    </row>
    <row r="370" ht="14.25" customHeight="1">
      <c r="A370" s="81"/>
    </row>
    <row r="371" ht="14.25" customHeight="1">
      <c r="A371" s="81"/>
    </row>
    <row r="372" ht="14.25" customHeight="1">
      <c r="A372" s="81"/>
    </row>
    <row r="373" ht="14.25" customHeight="1">
      <c r="A373" s="81"/>
    </row>
    <row r="374" ht="14.25" customHeight="1">
      <c r="A374" s="81"/>
    </row>
    <row r="375" ht="14.25" customHeight="1">
      <c r="A375" s="81"/>
    </row>
    <row r="376" ht="14.25" customHeight="1">
      <c r="A376" s="81"/>
    </row>
    <row r="377" ht="14.25" customHeight="1">
      <c r="A377" s="81"/>
    </row>
    <row r="378" ht="14.25" customHeight="1">
      <c r="A378" s="81"/>
    </row>
    <row r="379" ht="14.25" customHeight="1">
      <c r="A379" s="81"/>
    </row>
    <row r="380" ht="14.25" customHeight="1">
      <c r="A380" s="81"/>
    </row>
    <row r="381" ht="14.25" customHeight="1">
      <c r="A381" s="81"/>
    </row>
    <row r="382" ht="14.25" customHeight="1">
      <c r="A382" s="81"/>
    </row>
    <row r="383" ht="14.25" customHeight="1">
      <c r="A383" s="81"/>
    </row>
    <row r="384" ht="14.25" customHeight="1">
      <c r="A384" s="81"/>
    </row>
    <row r="385" ht="14.25" customHeight="1">
      <c r="A385" s="81"/>
    </row>
    <row r="386" ht="14.25" customHeight="1">
      <c r="A386" s="81"/>
    </row>
    <row r="387" ht="14.25" customHeight="1">
      <c r="A387" s="81"/>
    </row>
    <row r="388" ht="14.25" customHeight="1">
      <c r="A388" s="81"/>
    </row>
    <row r="389" ht="14.25" customHeight="1">
      <c r="A389" s="81"/>
    </row>
    <row r="390" ht="14.25" customHeight="1">
      <c r="A390" s="81"/>
    </row>
    <row r="391" ht="14.25" customHeight="1">
      <c r="A391" s="81"/>
    </row>
    <row r="392" ht="14.25" customHeight="1">
      <c r="A392" s="81"/>
    </row>
    <row r="393" ht="14.25" customHeight="1">
      <c r="A393" s="81"/>
    </row>
    <row r="394" ht="14.25" customHeight="1">
      <c r="A394" s="81"/>
    </row>
    <row r="395" ht="14.25" customHeight="1">
      <c r="A395" s="81"/>
    </row>
    <row r="396" ht="14.25" customHeight="1">
      <c r="A396" s="81"/>
    </row>
    <row r="397" ht="14.25" customHeight="1">
      <c r="A397" s="81"/>
    </row>
    <row r="398" ht="14.25" customHeight="1">
      <c r="A398" s="81"/>
    </row>
    <row r="399" ht="14.25" customHeight="1">
      <c r="A399" s="81"/>
    </row>
    <row r="400" ht="14.25" customHeight="1">
      <c r="A400" s="81"/>
    </row>
    <row r="401" ht="14.25" customHeight="1">
      <c r="A401" s="81"/>
    </row>
    <row r="402" ht="14.25" customHeight="1">
      <c r="A402" s="81"/>
    </row>
    <row r="403" ht="14.25" customHeight="1">
      <c r="A403" s="81"/>
    </row>
    <row r="404" ht="14.25" customHeight="1">
      <c r="A404" s="81"/>
    </row>
    <row r="405" ht="14.25" customHeight="1">
      <c r="A405" s="81"/>
    </row>
    <row r="406" ht="14.25" customHeight="1">
      <c r="A406" s="81"/>
    </row>
    <row r="407" ht="14.25" customHeight="1">
      <c r="A407" s="81"/>
    </row>
    <row r="408" ht="14.25" customHeight="1">
      <c r="A408" s="81"/>
    </row>
    <row r="409" ht="14.25" customHeight="1">
      <c r="A409" s="81"/>
    </row>
    <row r="410" ht="14.25" customHeight="1">
      <c r="A410" s="81"/>
    </row>
    <row r="411" ht="14.25" customHeight="1">
      <c r="A411" s="81"/>
    </row>
    <row r="412" ht="14.25" customHeight="1">
      <c r="A412" s="81"/>
    </row>
    <row r="413" ht="14.25" customHeight="1">
      <c r="A413" s="81"/>
    </row>
    <row r="414" ht="14.25" customHeight="1">
      <c r="A414" s="81"/>
    </row>
    <row r="415" ht="14.25" customHeight="1">
      <c r="A415" s="81"/>
    </row>
    <row r="416" ht="14.25" customHeight="1">
      <c r="A416" s="81"/>
    </row>
    <row r="417" ht="14.25" customHeight="1">
      <c r="A417" s="81"/>
    </row>
    <row r="418" ht="14.25" customHeight="1">
      <c r="A418" s="81"/>
    </row>
    <row r="419" ht="14.25" customHeight="1">
      <c r="A419" s="81"/>
    </row>
    <row r="420" ht="14.25" customHeight="1">
      <c r="A420" s="81"/>
    </row>
    <row r="421" ht="14.25" customHeight="1">
      <c r="A421" s="81"/>
    </row>
    <row r="422" ht="14.25" customHeight="1">
      <c r="A422" s="81"/>
    </row>
    <row r="423" ht="14.25" customHeight="1">
      <c r="A423" s="81"/>
    </row>
    <row r="424" ht="14.25" customHeight="1">
      <c r="A424" s="81"/>
    </row>
    <row r="425" ht="14.25" customHeight="1">
      <c r="A425" s="81"/>
    </row>
    <row r="426" ht="14.25" customHeight="1">
      <c r="A426" s="81"/>
    </row>
    <row r="427" ht="14.25" customHeight="1">
      <c r="A427" s="81"/>
    </row>
    <row r="428" ht="14.25" customHeight="1">
      <c r="A428" s="81"/>
    </row>
    <row r="429" ht="14.25" customHeight="1">
      <c r="A429" s="81"/>
    </row>
    <row r="430" ht="14.25" customHeight="1">
      <c r="A430" s="81"/>
    </row>
    <row r="431" ht="14.25" customHeight="1">
      <c r="A431" s="81"/>
    </row>
    <row r="432" ht="14.25" customHeight="1">
      <c r="A432" s="81"/>
    </row>
    <row r="433" ht="14.25" customHeight="1">
      <c r="A433" s="81"/>
    </row>
    <row r="434" ht="14.25" customHeight="1">
      <c r="A434" s="81"/>
    </row>
    <row r="435" ht="14.25" customHeight="1">
      <c r="A435" s="81"/>
    </row>
    <row r="436" ht="14.25" customHeight="1">
      <c r="A436" s="81"/>
    </row>
    <row r="437" ht="14.25" customHeight="1">
      <c r="A437" s="81"/>
    </row>
    <row r="438" ht="14.25" customHeight="1">
      <c r="A438" s="81"/>
    </row>
    <row r="439" ht="14.25" customHeight="1">
      <c r="A439" s="81"/>
    </row>
    <row r="440" ht="14.25" customHeight="1">
      <c r="A440" s="81"/>
    </row>
    <row r="441" ht="14.25" customHeight="1">
      <c r="A441" s="81"/>
    </row>
    <row r="442" ht="14.25" customHeight="1">
      <c r="A442" s="81"/>
    </row>
    <row r="443" ht="14.25" customHeight="1">
      <c r="A443" s="81"/>
    </row>
    <row r="444" ht="14.25" customHeight="1">
      <c r="A444" s="81"/>
    </row>
    <row r="445" ht="14.25" customHeight="1">
      <c r="A445" s="81"/>
    </row>
    <row r="446" ht="14.25" customHeight="1">
      <c r="A446" s="81"/>
    </row>
    <row r="447" ht="14.25" customHeight="1">
      <c r="A447" s="81"/>
    </row>
    <row r="448" ht="14.25" customHeight="1">
      <c r="A448" s="81"/>
    </row>
    <row r="449" ht="14.25" customHeight="1">
      <c r="A449" s="81"/>
    </row>
    <row r="450" ht="14.25" customHeight="1">
      <c r="A450" s="81"/>
    </row>
    <row r="451" ht="14.25" customHeight="1">
      <c r="A451" s="81"/>
    </row>
    <row r="452" ht="14.25" customHeight="1">
      <c r="A452" s="81"/>
    </row>
    <row r="453" ht="14.25" customHeight="1">
      <c r="A453" s="81"/>
    </row>
    <row r="454" ht="14.25" customHeight="1">
      <c r="A454" s="81"/>
    </row>
    <row r="455" ht="14.25" customHeight="1">
      <c r="A455" s="81"/>
    </row>
    <row r="456" ht="14.25" customHeight="1">
      <c r="A456" s="81"/>
    </row>
    <row r="457" ht="14.25" customHeight="1">
      <c r="A457" s="81"/>
    </row>
    <row r="458" ht="14.25" customHeight="1">
      <c r="A458" s="81"/>
    </row>
    <row r="459" ht="14.25" customHeight="1">
      <c r="A459" s="81"/>
    </row>
    <row r="460" ht="14.25" customHeight="1">
      <c r="A460" s="81"/>
    </row>
    <row r="461" ht="14.25" customHeight="1">
      <c r="A461" s="81"/>
    </row>
    <row r="462" ht="14.25" customHeight="1">
      <c r="A462" s="81"/>
    </row>
    <row r="463" ht="14.25" customHeight="1">
      <c r="A463" s="81"/>
    </row>
    <row r="464" ht="14.25" customHeight="1">
      <c r="A464" s="81"/>
    </row>
    <row r="465" ht="14.25" customHeight="1">
      <c r="A465" s="81"/>
    </row>
    <row r="466" ht="14.25" customHeight="1">
      <c r="A466" s="81"/>
    </row>
    <row r="467" ht="14.25" customHeight="1">
      <c r="A467" s="81"/>
    </row>
    <row r="468" ht="14.25" customHeight="1">
      <c r="A468" s="81"/>
    </row>
    <row r="469" ht="14.25" customHeight="1">
      <c r="A469" s="81"/>
    </row>
    <row r="470" ht="14.25" customHeight="1">
      <c r="A470" s="81"/>
    </row>
    <row r="471" ht="14.25" customHeight="1">
      <c r="A471" s="81"/>
    </row>
    <row r="472" ht="14.25" customHeight="1">
      <c r="A472" s="81"/>
    </row>
    <row r="473" ht="14.25" customHeight="1">
      <c r="A473" s="81"/>
    </row>
    <row r="474" ht="14.25" customHeight="1">
      <c r="A474" s="81"/>
    </row>
    <row r="475" ht="14.25" customHeight="1">
      <c r="A475" s="81"/>
    </row>
    <row r="476" ht="14.25" customHeight="1">
      <c r="A476" s="81"/>
    </row>
    <row r="477" ht="14.25" customHeight="1">
      <c r="A477" s="81"/>
    </row>
    <row r="478" ht="14.25" customHeight="1">
      <c r="A478" s="81"/>
    </row>
    <row r="479" ht="14.25" customHeight="1">
      <c r="A479" s="81"/>
    </row>
    <row r="480" ht="14.25" customHeight="1">
      <c r="A480" s="81"/>
    </row>
    <row r="481" ht="14.25" customHeight="1">
      <c r="A481" s="81"/>
    </row>
    <row r="482" ht="14.25" customHeight="1">
      <c r="A482" s="81"/>
    </row>
    <row r="483" ht="14.25" customHeight="1">
      <c r="A483" s="81"/>
    </row>
    <row r="484" ht="14.25" customHeight="1">
      <c r="A484" s="81"/>
    </row>
    <row r="485" ht="14.25" customHeight="1">
      <c r="A485" s="81"/>
    </row>
    <row r="486" ht="14.25" customHeight="1">
      <c r="A486" s="81"/>
    </row>
    <row r="487" ht="14.25" customHeight="1">
      <c r="A487" s="81"/>
    </row>
    <row r="488" ht="14.25" customHeight="1">
      <c r="A488" s="81"/>
    </row>
    <row r="489" ht="14.25" customHeight="1">
      <c r="A489" s="81"/>
    </row>
    <row r="490" ht="14.25" customHeight="1">
      <c r="A490" s="81"/>
    </row>
    <row r="491" ht="14.25" customHeight="1">
      <c r="A491" s="81"/>
    </row>
    <row r="492" ht="14.25" customHeight="1">
      <c r="A492" s="81"/>
    </row>
    <row r="493" ht="14.25" customHeight="1">
      <c r="A493" s="81"/>
    </row>
    <row r="494" ht="14.25" customHeight="1">
      <c r="A494" s="81"/>
    </row>
    <row r="495" ht="14.25" customHeight="1">
      <c r="A495" s="81"/>
    </row>
    <row r="496" ht="14.25" customHeight="1">
      <c r="A496" s="81"/>
    </row>
    <row r="497" ht="14.25" customHeight="1">
      <c r="A497" s="81"/>
    </row>
    <row r="498" ht="14.25" customHeight="1">
      <c r="A498" s="81"/>
    </row>
    <row r="499" ht="14.25" customHeight="1">
      <c r="A499" s="81"/>
    </row>
    <row r="500" ht="14.25" customHeight="1">
      <c r="A500" s="81"/>
    </row>
    <row r="501" ht="14.25" customHeight="1">
      <c r="A501" s="81"/>
    </row>
    <row r="502" ht="14.25" customHeight="1">
      <c r="A502" s="81"/>
    </row>
    <row r="503" ht="14.25" customHeight="1">
      <c r="A503" s="81"/>
    </row>
    <row r="504" ht="14.25" customHeight="1">
      <c r="A504" s="81"/>
    </row>
    <row r="505" ht="14.25" customHeight="1">
      <c r="A505" s="81"/>
    </row>
    <row r="506" ht="14.25" customHeight="1">
      <c r="A506" s="81"/>
    </row>
    <row r="507" ht="14.25" customHeight="1">
      <c r="A507" s="81"/>
    </row>
    <row r="508" ht="14.25" customHeight="1">
      <c r="A508" s="81"/>
    </row>
    <row r="509" ht="14.25" customHeight="1">
      <c r="A509" s="81"/>
    </row>
    <row r="510" ht="14.25" customHeight="1">
      <c r="A510" s="81"/>
    </row>
    <row r="511" ht="14.25" customHeight="1">
      <c r="A511" s="81"/>
    </row>
    <row r="512" ht="14.25" customHeight="1">
      <c r="A512" s="81"/>
    </row>
    <row r="513" ht="14.25" customHeight="1">
      <c r="A513" s="81"/>
    </row>
    <row r="514" ht="14.25" customHeight="1">
      <c r="A514" s="81"/>
    </row>
    <row r="515" ht="14.25" customHeight="1">
      <c r="A515" s="81"/>
    </row>
    <row r="516" ht="14.25" customHeight="1">
      <c r="A516" s="81"/>
    </row>
    <row r="517" ht="14.25" customHeight="1">
      <c r="A517" s="81"/>
    </row>
    <row r="518" ht="14.25" customHeight="1">
      <c r="A518" s="81"/>
    </row>
    <row r="519" ht="14.25" customHeight="1">
      <c r="A519" s="81"/>
    </row>
    <row r="520" ht="14.25" customHeight="1">
      <c r="A520" s="81"/>
    </row>
    <row r="521" ht="14.25" customHeight="1">
      <c r="A521" s="81"/>
    </row>
    <row r="522" ht="14.25" customHeight="1">
      <c r="A522" s="81"/>
    </row>
    <row r="523" ht="14.25" customHeight="1">
      <c r="A523" s="81"/>
    </row>
    <row r="524" ht="14.25" customHeight="1">
      <c r="A524" s="81"/>
    </row>
    <row r="525" ht="14.25" customHeight="1">
      <c r="A525" s="81"/>
    </row>
    <row r="526" ht="14.25" customHeight="1">
      <c r="A526" s="81"/>
    </row>
    <row r="527" ht="14.25" customHeight="1">
      <c r="A527" s="81"/>
    </row>
    <row r="528" ht="14.25" customHeight="1">
      <c r="A528" s="81"/>
    </row>
    <row r="529" ht="14.25" customHeight="1">
      <c r="A529" s="81"/>
    </row>
    <row r="530" ht="14.25" customHeight="1">
      <c r="A530" s="81"/>
    </row>
    <row r="531" ht="14.25" customHeight="1">
      <c r="A531" s="81"/>
    </row>
    <row r="532" ht="14.25" customHeight="1">
      <c r="A532" s="81"/>
    </row>
    <row r="533" ht="14.25" customHeight="1">
      <c r="A533" s="81"/>
    </row>
    <row r="534" ht="14.25" customHeight="1">
      <c r="A534" s="81"/>
    </row>
    <row r="535" ht="14.25" customHeight="1">
      <c r="A535" s="81"/>
    </row>
    <row r="536" ht="14.25" customHeight="1">
      <c r="A536" s="81"/>
    </row>
    <row r="537" ht="14.25" customHeight="1">
      <c r="A537" s="81"/>
    </row>
    <row r="538" ht="14.25" customHeight="1">
      <c r="A538" s="81"/>
    </row>
    <row r="539" ht="14.25" customHeight="1">
      <c r="A539" s="81"/>
    </row>
    <row r="540" ht="14.25" customHeight="1">
      <c r="A540" s="81"/>
    </row>
    <row r="541" ht="14.25" customHeight="1">
      <c r="A541" s="81"/>
    </row>
    <row r="542" ht="14.25" customHeight="1">
      <c r="A542" s="81"/>
    </row>
    <row r="543" ht="14.25" customHeight="1">
      <c r="A543" s="81"/>
    </row>
    <row r="544" ht="14.25" customHeight="1">
      <c r="A544" s="81"/>
    </row>
    <row r="545" ht="14.25" customHeight="1">
      <c r="A545" s="81"/>
    </row>
    <row r="546" ht="14.25" customHeight="1">
      <c r="A546" s="81"/>
    </row>
    <row r="547" ht="14.25" customHeight="1">
      <c r="A547" s="81"/>
    </row>
    <row r="548" ht="14.25" customHeight="1">
      <c r="A548" s="81"/>
    </row>
    <row r="549" ht="14.25" customHeight="1">
      <c r="A549" s="81"/>
    </row>
    <row r="550" ht="14.25" customHeight="1">
      <c r="A550" s="81"/>
    </row>
    <row r="551" ht="14.25" customHeight="1">
      <c r="A551" s="81"/>
    </row>
    <row r="552" ht="14.25" customHeight="1">
      <c r="A552" s="81"/>
    </row>
    <row r="553" ht="14.25" customHeight="1">
      <c r="A553" s="81"/>
    </row>
    <row r="554" ht="14.25" customHeight="1">
      <c r="A554" s="81"/>
    </row>
    <row r="555" ht="14.25" customHeight="1">
      <c r="A555" s="81"/>
    </row>
    <row r="556" ht="14.25" customHeight="1">
      <c r="A556" s="81"/>
    </row>
    <row r="557" ht="14.25" customHeight="1">
      <c r="A557" s="81"/>
    </row>
    <row r="558" ht="14.25" customHeight="1">
      <c r="A558" s="81"/>
    </row>
    <row r="559" ht="14.25" customHeight="1">
      <c r="A559" s="81"/>
    </row>
    <row r="560" ht="14.25" customHeight="1">
      <c r="A560" s="81"/>
    </row>
    <row r="561" ht="14.25" customHeight="1">
      <c r="A561" s="81"/>
    </row>
    <row r="562" ht="14.25" customHeight="1">
      <c r="A562" s="81"/>
    </row>
    <row r="563" ht="14.25" customHeight="1">
      <c r="A563" s="81"/>
    </row>
    <row r="564" ht="14.25" customHeight="1">
      <c r="A564" s="81"/>
    </row>
    <row r="565" ht="14.25" customHeight="1">
      <c r="A565" s="81"/>
    </row>
    <row r="566" ht="14.25" customHeight="1">
      <c r="A566" s="81"/>
    </row>
    <row r="567" ht="14.25" customHeight="1">
      <c r="A567" s="81"/>
    </row>
    <row r="568" ht="14.25" customHeight="1">
      <c r="A568" s="81"/>
    </row>
    <row r="569" ht="14.25" customHeight="1">
      <c r="A569" s="81"/>
    </row>
    <row r="570" ht="14.25" customHeight="1">
      <c r="A570" s="81"/>
    </row>
    <row r="571" ht="14.25" customHeight="1">
      <c r="A571" s="81"/>
    </row>
    <row r="572" ht="14.25" customHeight="1">
      <c r="A572" s="81"/>
    </row>
    <row r="573" ht="14.25" customHeight="1">
      <c r="A573" s="81"/>
    </row>
    <row r="574" ht="14.25" customHeight="1">
      <c r="A574" s="81"/>
    </row>
    <row r="575" ht="14.25" customHeight="1">
      <c r="A575" s="81"/>
    </row>
    <row r="576" ht="14.25" customHeight="1">
      <c r="A576" s="81"/>
    </row>
    <row r="577" ht="14.25" customHeight="1">
      <c r="A577" s="81"/>
    </row>
    <row r="578" ht="14.25" customHeight="1">
      <c r="A578" s="81"/>
    </row>
    <row r="579" ht="14.25" customHeight="1">
      <c r="A579" s="81"/>
    </row>
    <row r="580" ht="14.25" customHeight="1">
      <c r="A580" s="81"/>
    </row>
    <row r="581" ht="14.25" customHeight="1">
      <c r="A581" s="81"/>
    </row>
    <row r="582" ht="14.25" customHeight="1">
      <c r="A582" s="81"/>
    </row>
    <row r="583" ht="14.25" customHeight="1">
      <c r="A583" s="81"/>
    </row>
    <row r="584" ht="14.25" customHeight="1">
      <c r="A584" s="81"/>
    </row>
    <row r="585" ht="14.25" customHeight="1">
      <c r="A585" s="81"/>
    </row>
    <row r="586" ht="14.25" customHeight="1">
      <c r="A586" s="81"/>
    </row>
    <row r="587" ht="14.25" customHeight="1">
      <c r="A587" s="81"/>
    </row>
    <row r="588" ht="14.25" customHeight="1">
      <c r="A588" s="81"/>
    </row>
    <row r="589" ht="14.25" customHeight="1">
      <c r="A589" s="81"/>
    </row>
    <row r="590" ht="14.25" customHeight="1">
      <c r="A590" s="81"/>
    </row>
    <row r="591" ht="14.25" customHeight="1">
      <c r="A591" s="81"/>
    </row>
    <row r="592" ht="14.25" customHeight="1">
      <c r="A592" s="81"/>
    </row>
    <row r="593" ht="14.25" customHeight="1">
      <c r="A593" s="81"/>
    </row>
    <row r="594" ht="14.25" customHeight="1">
      <c r="A594" s="81"/>
    </row>
    <row r="595" ht="14.25" customHeight="1">
      <c r="A595" s="81"/>
    </row>
    <row r="596" ht="14.25" customHeight="1">
      <c r="A596" s="81"/>
    </row>
    <row r="597" ht="14.25" customHeight="1">
      <c r="A597" s="81"/>
    </row>
    <row r="598" ht="14.25" customHeight="1">
      <c r="A598" s="81"/>
    </row>
    <row r="599" ht="14.25" customHeight="1">
      <c r="A599" s="81"/>
    </row>
    <row r="600" ht="14.25" customHeight="1">
      <c r="A600" s="81"/>
    </row>
    <row r="601" ht="14.25" customHeight="1">
      <c r="A601" s="81"/>
    </row>
    <row r="602" ht="14.25" customHeight="1">
      <c r="A602" s="81"/>
    </row>
    <row r="603" ht="14.25" customHeight="1">
      <c r="A603" s="81"/>
    </row>
    <row r="604" ht="14.25" customHeight="1">
      <c r="A604" s="81"/>
    </row>
    <row r="605" ht="14.25" customHeight="1">
      <c r="A605" s="81"/>
    </row>
    <row r="606" ht="14.25" customHeight="1">
      <c r="A606" s="81"/>
    </row>
    <row r="607" ht="14.25" customHeight="1">
      <c r="A607" s="81"/>
    </row>
    <row r="608" ht="14.25" customHeight="1">
      <c r="A608" s="81"/>
    </row>
    <row r="609" ht="14.25" customHeight="1">
      <c r="A609" s="81"/>
    </row>
    <row r="610" ht="14.25" customHeight="1">
      <c r="A610" s="81"/>
    </row>
    <row r="611" ht="14.25" customHeight="1">
      <c r="A611" s="81"/>
    </row>
    <row r="612" ht="14.25" customHeight="1">
      <c r="A612" s="81"/>
    </row>
    <row r="613" ht="14.25" customHeight="1">
      <c r="A613" s="81"/>
    </row>
    <row r="614" ht="14.25" customHeight="1">
      <c r="A614" s="81"/>
    </row>
    <row r="615" ht="14.25" customHeight="1">
      <c r="A615" s="81"/>
    </row>
    <row r="616" ht="14.25" customHeight="1">
      <c r="A616" s="81"/>
    </row>
    <row r="617" ht="14.25" customHeight="1">
      <c r="A617" s="81"/>
    </row>
    <row r="618" ht="14.25" customHeight="1">
      <c r="A618" s="81"/>
    </row>
    <row r="619" ht="14.25" customHeight="1">
      <c r="A619" s="81"/>
    </row>
    <row r="620" ht="14.25" customHeight="1">
      <c r="A620" s="81"/>
    </row>
    <row r="621" ht="14.25" customHeight="1">
      <c r="A621" s="81"/>
    </row>
    <row r="622" ht="14.25" customHeight="1">
      <c r="A622" s="81"/>
    </row>
    <row r="623" ht="14.25" customHeight="1">
      <c r="A623" s="81"/>
    </row>
    <row r="624" ht="14.25" customHeight="1">
      <c r="A624" s="81"/>
    </row>
    <row r="625" ht="14.25" customHeight="1">
      <c r="A625" s="81"/>
    </row>
    <row r="626" ht="14.25" customHeight="1">
      <c r="A626" s="81"/>
    </row>
    <row r="627" ht="14.25" customHeight="1">
      <c r="A627" s="81"/>
    </row>
    <row r="628" ht="14.25" customHeight="1">
      <c r="A628" s="81"/>
    </row>
    <row r="629" ht="14.25" customHeight="1">
      <c r="A629" s="81"/>
    </row>
    <row r="630" ht="14.25" customHeight="1">
      <c r="A630" s="81"/>
    </row>
    <row r="631" ht="14.25" customHeight="1">
      <c r="A631" s="81"/>
    </row>
    <row r="632" ht="14.25" customHeight="1">
      <c r="A632" s="81"/>
    </row>
    <row r="633" ht="14.25" customHeight="1">
      <c r="A633" s="81"/>
    </row>
    <row r="634" ht="14.25" customHeight="1">
      <c r="A634" s="81"/>
    </row>
    <row r="635" ht="14.25" customHeight="1">
      <c r="A635" s="81"/>
    </row>
    <row r="636" ht="14.25" customHeight="1">
      <c r="A636" s="81"/>
    </row>
    <row r="637" ht="14.25" customHeight="1">
      <c r="A637" s="81"/>
    </row>
    <row r="638" ht="14.25" customHeight="1">
      <c r="A638" s="81"/>
    </row>
    <row r="639" ht="14.25" customHeight="1">
      <c r="A639" s="81"/>
    </row>
    <row r="640" ht="14.25" customHeight="1">
      <c r="A640" s="81"/>
    </row>
    <row r="641" ht="14.25" customHeight="1">
      <c r="A641" s="81"/>
    </row>
    <row r="642" ht="14.25" customHeight="1">
      <c r="A642" s="81"/>
    </row>
    <row r="643" ht="14.25" customHeight="1">
      <c r="A643" s="81"/>
    </row>
    <row r="644" ht="14.25" customHeight="1">
      <c r="A644" s="81"/>
    </row>
    <row r="645" ht="14.25" customHeight="1">
      <c r="A645" s="81"/>
    </row>
    <row r="646" ht="14.25" customHeight="1">
      <c r="A646" s="81"/>
    </row>
    <row r="647" ht="14.25" customHeight="1">
      <c r="A647" s="81"/>
    </row>
    <row r="648" ht="14.25" customHeight="1">
      <c r="A648" s="81"/>
    </row>
    <row r="649" ht="14.25" customHeight="1">
      <c r="A649" s="81"/>
    </row>
    <row r="650" ht="14.25" customHeight="1">
      <c r="A650" s="81"/>
    </row>
    <row r="651" ht="14.25" customHeight="1">
      <c r="A651" s="81"/>
    </row>
    <row r="652" ht="14.25" customHeight="1">
      <c r="A652" s="81"/>
    </row>
    <row r="653" ht="14.25" customHeight="1">
      <c r="A653" s="81"/>
    </row>
    <row r="654" ht="14.25" customHeight="1">
      <c r="A654" s="81"/>
    </row>
    <row r="655" ht="14.25" customHeight="1">
      <c r="A655" s="81"/>
    </row>
    <row r="656" ht="14.25" customHeight="1">
      <c r="A656" s="81"/>
    </row>
    <row r="657" ht="14.25" customHeight="1">
      <c r="A657" s="81"/>
    </row>
    <row r="658" ht="14.25" customHeight="1">
      <c r="A658" s="81"/>
    </row>
    <row r="659" ht="14.25" customHeight="1">
      <c r="A659" s="81"/>
    </row>
    <row r="660" ht="14.25" customHeight="1">
      <c r="A660" s="81"/>
    </row>
    <row r="661" ht="14.25" customHeight="1">
      <c r="A661" s="81"/>
    </row>
    <row r="662" ht="14.25" customHeight="1">
      <c r="A662" s="81"/>
    </row>
    <row r="663" ht="14.25" customHeight="1">
      <c r="A663" s="81"/>
    </row>
    <row r="664" ht="14.25" customHeight="1">
      <c r="A664" s="81"/>
    </row>
    <row r="665" ht="14.25" customHeight="1">
      <c r="A665" s="81"/>
    </row>
    <row r="666" ht="14.25" customHeight="1">
      <c r="A666" s="81"/>
    </row>
    <row r="667" ht="14.25" customHeight="1">
      <c r="A667" s="81"/>
    </row>
    <row r="668" ht="14.25" customHeight="1">
      <c r="A668" s="81"/>
    </row>
    <row r="669" ht="14.25" customHeight="1">
      <c r="A669" s="81"/>
    </row>
    <row r="670" ht="14.25" customHeight="1">
      <c r="A670" s="81"/>
    </row>
    <row r="671" ht="14.25" customHeight="1">
      <c r="A671" s="81"/>
    </row>
    <row r="672" ht="14.25" customHeight="1">
      <c r="A672" s="81"/>
    </row>
    <row r="673" ht="14.25" customHeight="1">
      <c r="A673" s="81"/>
    </row>
    <row r="674" ht="14.25" customHeight="1">
      <c r="A674" s="81"/>
    </row>
    <row r="675" ht="14.25" customHeight="1">
      <c r="A675" s="81"/>
    </row>
    <row r="676" ht="14.25" customHeight="1">
      <c r="A676" s="81"/>
    </row>
    <row r="677" ht="14.25" customHeight="1">
      <c r="A677" s="81"/>
    </row>
    <row r="678" ht="14.25" customHeight="1">
      <c r="A678" s="81"/>
    </row>
    <row r="679" ht="14.25" customHeight="1">
      <c r="A679" s="81"/>
    </row>
    <row r="680" ht="14.25" customHeight="1">
      <c r="A680" s="81"/>
    </row>
    <row r="681" ht="14.25" customHeight="1">
      <c r="A681" s="81"/>
    </row>
    <row r="682" ht="14.25" customHeight="1">
      <c r="A682" s="81"/>
    </row>
    <row r="683" ht="14.25" customHeight="1">
      <c r="A683" s="81"/>
    </row>
    <row r="684" ht="14.25" customHeight="1">
      <c r="A684" s="81"/>
    </row>
    <row r="685" ht="14.25" customHeight="1">
      <c r="A685" s="81"/>
    </row>
    <row r="686" ht="14.25" customHeight="1">
      <c r="A686" s="81"/>
    </row>
    <row r="687" ht="14.25" customHeight="1">
      <c r="A687" s="81"/>
    </row>
    <row r="688" ht="14.25" customHeight="1">
      <c r="A688" s="81"/>
    </row>
    <row r="689" ht="14.25" customHeight="1">
      <c r="A689" s="81"/>
    </row>
    <row r="690" ht="14.25" customHeight="1">
      <c r="A690" s="81"/>
    </row>
    <row r="691" ht="14.25" customHeight="1">
      <c r="A691" s="81"/>
    </row>
    <row r="692" ht="14.25" customHeight="1">
      <c r="A692" s="81"/>
    </row>
    <row r="693" ht="14.25" customHeight="1">
      <c r="A693" s="81"/>
    </row>
    <row r="694" ht="14.25" customHeight="1">
      <c r="A694" s="81"/>
    </row>
    <row r="695" ht="14.25" customHeight="1">
      <c r="A695" s="81"/>
    </row>
    <row r="696" ht="14.25" customHeight="1">
      <c r="A696" s="81"/>
    </row>
    <row r="697" ht="14.25" customHeight="1">
      <c r="A697" s="81"/>
    </row>
    <row r="698" ht="14.25" customHeight="1">
      <c r="A698" s="81"/>
    </row>
    <row r="699" ht="14.25" customHeight="1">
      <c r="A699" s="81"/>
    </row>
    <row r="700" ht="14.25" customHeight="1">
      <c r="A700" s="81"/>
    </row>
    <row r="701" ht="14.25" customHeight="1">
      <c r="A701" s="81"/>
    </row>
    <row r="702" ht="14.25" customHeight="1">
      <c r="A702" s="81"/>
    </row>
    <row r="703" ht="14.25" customHeight="1">
      <c r="A703" s="81"/>
    </row>
    <row r="704" ht="14.25" customHeight="1">
      <c r="A704" s="81"/>
    </row>
    <row r="705" ht="14.25" customHeight="1">
      <c r="A705" s="81"/>
    </row>
    <row r="706" ht="14.25" customHeight="1">
      <c r="A706" s="81"/>
    </row>
    <row r="707" ht="14.25" customHeight="1">
      <c r="A707" s="81"/>
    </row>
    <row r="708" ht="14.25" customHeight="1">
      <c r="A708" s="81"/>
    </row>
    <row r="709" ht="14.25" customHeight="1">
      <c r="A709" s="81"/>
    </row>
    <row r="710" ht="14.25" customHeight="1">
      <c r="A710" s="81"/>
    </row>
    <row r="711" ht="14.25" customHeight="1">
      <c r="A711" s="81"/>
    </row>
    <row r="712" ht="14.25" customHeight="1">
      <c r="A712" s="81"/>
    </row>
    <row r="713" ht="14.25" customHeight="1">
      <c r="A713" s="81"/>
    </row>
    <row r="714" ht="14.25" customHeight="1">
      <c r="A714" s="81"/>
    </row>
    <row r="715" ht="14.25" customHeight="1">
      <c r="A715" s="81"/>
    </row>
    <row r="716" ht="14.25" customHeight="1">
      <c r="A716" s="81"/>
    </row>
    <row r="717" ht="14.25" customHeight="1">
      <c r="A717" s="81"/>
    </row>
    <row r="718" ht="14.25" customHeight="1">
      <c r="A718" s="81"/>
    </row>
    <row r="719" ht="14.25" customHeight="1">
      <c r="A719" s="81"/>
    </row>
    <row r="720" ht="14.25" customHeight="1">
      <c r="A720" s="81"/>
    </row>
    <row r="721" ht="14.25" customHeight="1">
      <c r="A721" s="81"/>
    </row>
    <row r="722" ht="14.25" customHeight="1">
      <c r="A722" s="81"/>
    </row>
    <row r="723" ht="14.25" customHeight="1">
      <c r="A723" s="81"/>
    </row>
    <row r="724" ht="14.25" customHeight="1">
      <c r="A724" s="81"/>
    </row>
    <row r="725" ht="14.25" customHeight="1">
      <c r="A725" s="81"/>
    </row>
    <row r="726" ht="14.25" customHeight="1">
      <c r="A726" s="81"/>
    </row>
    <row r="727" ht="14.25" customHeight="1">
      <c r="A727" s="81"/>
    </row>
    <row r="728" ht="14.25" customHeight="1">
      <c r="A728" s="81"/>
    </row>
    <row r="729" ht="14.25" customHeight="1">
      <c r="A729" s="81"/>
    </row>
    <row r="730" ht="14.25" customHeight="1">
      <c r="A730" s="81"/>
    </row>
    <row r="731" ht="14.25" customHeight="1">
      <c r="A731" s="81"/>
    </row>
    <row r="732" ht="14.25" customHeight="1">
      <c r="A732" s="81"/>
    </row>
    <row r="733" ht="14.25" customHeight="1">
      <c r="A733" s="81"/>
    </row>
    <row r="734" ht="14.25" customHeight="1">
      <c r="A734" s="81"/>
    </row>
    <row r="735" ht="14.25" customHeight="1">
      <c r="A735" s="81"/>
    </row>
    <row r="736" ht="14.25" customHeight="1">
      <c r="A736" s="81"/>
    </row>
    <row r="737" ht="14.25" customHeight="1">
      <c r="A737" s="81"/>
    </row>
    <row r="738" ht="14.25" customHeight="1">
      <c r="A738" s="81"/>
    </row>
    <row r="739" ht="14.25" customHeight="1">
      <c r="A739" s="81"/>
    </row>
    <row r="740" ht="14.25" customHeight="1">
      <c r="A740" s="81"/>
    </row>
    <row r="741" ht="14.25" customHeight="1">
      <c r="A741" s="81"/>
    </row>
    <row r="742" ht="14.25" customHeight="1">
      <c r="A742" s="81"/>
    </row>
    <row r="743" ht="14.25" customHeight="1">
      <c r="A743" s="81"/>
    </row>
    <row r="744" ht="14.25" customHeight="1">
      <c r="A744" s="81"/>
    </row>
    <row r="745" ht="14.25" customHeight="1">
      <c r="A745" s="81"/>
    </row>
    <row r="746" ht="14.25" customHeight="1">
      <c r="A746" s="81"/>
    </row>
    <row r="747" ht="14.25" customHeight="1">
      <c r="A747" s="81"/>
    </row>
    <row r="748" ht="14.25" customHeight="1">
      <c r="A748" s="81"/>
    </row>
    <row r="749" ht="14.25" customHeight="1">
      <c r="A749" s="81"/>
    </row>
    <row r="750" ht="14.25" customHeight="1">
      <c r="A750" s="81"/>
    </row>
    <row r="751" ht="14.25" customHeight="1">
      <c r="A751" s="81"/>
    </row>
    <row r="752" ht="14.25" customHeight="1">
      <c r="A752" s="81"/>
    </row>
    <row r="753" ht="14.25" customHeight="1">
      <c r="A753" s="81"/>
    </row>
    <row r="754" ht="14.25" customHeight="1">
      <c r="A754" s="81"/>
    </row>
    <row r="755" ht="14.25" customHeight="1">
      <c r="A755" s="81"/>
    </row>
    <row r="756" ht="14.25" customHeight="1">
      <c r="A756" s="81"/>
    </row>
    <row r="757" ht="14.25" customHeight="1">
      <c r="A757" s="81"/>
    </row>
    <row r="758" ht="14.25" customHeight="1">
      <c r="A758" s="81"/>
    </row>
    <row r="759" ht="14.25" customHeight="1">
      <c r="A759" s="81"/>
    </row>
    <row r="760" ht="14.25" customHeight="1">
      <c r="A760" s="81"/>
    </row>
    <row r="761" ht="14.25" customHeight="1">
      <c r="A761" s="81"/>
    </row>
    <row r="762" ht="14.25" customHeight="1">
      <c r="A762" s="81"/>
    </row>
    <row r="763" ht="14.25" customHeight="1">
      <c r="A763" s="81"/>
    </row>
    <row r="764" ht="14.25" customHeight="1">
      <c r="A764" s="81"/>
    </row>
    <row r="765" ht="14.25" customHeight="1">
      <c r="A765" s="81"/>
    </row>
    <row r="766" ht="14.25" customHeight="1">
      <c r="A766" s="81"/>
    </row>
    <row r="767" ht="14.25" customHeight="1">
      <c r="A767" s="81"/>
    </row>
    <row r="768" ht="14.25" customHeight="1">
      <c r="A768" s="81"/>
    </row>
    <row r="769" ht="14.25" customHeight="1">
      <c r="A769" s="81"/>
    </row>
    <row r="770" ht="14.25" customHeight="1">
      <c r="A770" s="81"/>
    </row>
    <row r="771" ht="14.25" customHeight="1">
      <c r="A771" s="81"/>
    </row>
    <row r="772" ht="14.25" customHeight="1">
      <c r="A772" s="81"/>
    </row>
    <row r="773" ht="14.25" customHeight="1">
      <c r="A773" s="81"/>
    </row>
    <row r="774" ht="14.25" customHeight="1">
      <c r="A774" s="81"/>
    </row>
    <row r="775" ht="14.25" customHeight="1">
      <c r="A775" s="81"/>
    </row>
    <row r="776" ht="14.25" customHeight="1">
      <c r="A776" s="81"/>
    </row>
    <row r="777" ht="14.25" customHeight="1">
      <c r="A777" s="81"/>
    </row>
    <row r="778" ht="14.25" customHeight="1">
      <c r="A778" s="81"/>
    </row>
    <row r="779" ht="14.25" customHeight="1">
      <c r="A779" s="81"/>
    </row>
    <row r="780" ht="14.25" customHeight="1">
      <c r="A780" s="81"/>
    </row>
    <row r="781" ht="14.25" customHeight="1">
      <c r="A781" s="81"/>
    </row>
    <row r="782" ht="14.25" customHeight="1">
      <c r="A782" s="81"/>
    </row>
    <row r="783" ht="14.25" customHeight="1">
      <c r="A783" s="81"/>
    </row>
    <row r="784" ht="14.25" customHeight="1">
      <c r="A784" s="81"/>
    </row>
    <row r="785" ht="14.25" customHeight="1">
      <c r="A785" s="81"/>
    </row>
    <row r="786" ht="14.25" customHeight="1">
      <c r="A786" s="81"/>
    </row>
    <row r="787" ht="14.25" customHeight="1">
      <c r="A787" s="81"/>
    </row>
    <row r="788" ht="14.25" customHeight="1">
      <c r="A788" s="81"/>
    </row>
    <row r="789" ht="14.25" customHeight="1">
      <c r="A789" s="81"/>
    </row>
    <row r="790" ht="14.25" customHeight="1">
      <c r="A790" s="81"/>
    </row>
    <row r="791" ht="14.25" customHeight="1">
      <c r="A791" s="81"/>
    </row>
    <row r="792" ht="14.25" customHeight="1">
      <c r="A792" s="81"/>
    </row>
    <row r="793" ht="14.25" customHeight="1">
      <c r="A793" s="81"/>
    </row>
    <row r="794" ht="14.25" customHeight="1">
      <c r="A794" s="81"/>
    </row>
    <row r="795" ht="14.25" customHeight="1">
      <c r="A795" s="81"/>
    </row>
    <row r="796" ht="14.25" customHeight="1">
      <c r="A796" s="81"/>
    </row>
    <row r="797" ht="14.25" customHeight="1">
      <c r="A797" s="81"/>
    </row>
    <row r="798" ht="14.25" customHeight="1">
      <c r="A798" s="81"/>
    </row>
    <row r="799" ht="14.25" customHeight="1">
      <c r="A799" s="81"/>
    </row>
    <row r="800" ht="14.25" customHeight="1">
      <c r="A800" s="81"/>
    </row>
    <row r="801" ht="14.25" customHeight="1">
      <c r="A801" s="81"/>
    </row>
    <row r="802" ht="14.25" customHeight="1">
      <c r="A802" s="81"/>
    </row>
    <row r="803" ht="14.25" customHeight="1">
      <c r="A803" s="81"/>
    </row>
    <row r="804" ht="14.25" customHeight="1">
      <c r="A804" s="81"/>
    </row>
    <row r="805" ht="14.25" customHeight="1">
      <c r="A805" s="81"/>
    </row>
    <row r="806" ht="14.25" customHeight="1">
      <c r="A806" s="81"/>
    </row>
    <row r="807" ht="14.25" customHeight="1">
      <c r="A807" s="81"/>
    </row>
    <row r="808" ht="14.25" customHeight="1">
      <c r="A808" s="81"/>
    </row>
    <row r="809" ht="14.25" customHeight="1">
      <c r="A809" s="81"/>
    </row>
    <row r="810" ht="14.25" customHeight="1">
      <c r="A810" s="81"/>
    </row>
    <row r="811" ht="14.25" customHeight="1">
      <c r="A811" s="81"/>
    </row>
    <row r="812" ht="14.25" customHeight="1">
      <c r="A812" s="81"/>
    </row>
    <row r="813" ht="14.25" customHeight="1">
      <c r="A813" s="81"/>
    </row>
    <row r="814" ht="14.25" customHeight="1">
      <c r="A814" s="81"/>
    </row>
    <row r="815" ht="14.25" customHeight="1">
      <c r="A815" s="81"/>
    </row>
    <row r="816" ht="14.25" customHeight="1">
      <c r="A816" s="81"/>
    </row>
    <row r="817" ht="14.25" customHeight="1">
      <c r="A817" s="81"/>
    </row>
    <row r="818" ht="14.25" customHeight="1">
      <c r="A818" s="81"/>
    </row>
    <row r="819" ht="14.25" customHeight="1">
      <c r="A819" s="81"/>
    </row>
    <row r="820" ht="14.25" customHeight="1">
      <c r="A820" s="81"/>
    </row>
    <row r="821" ht="14.25" customHeight="1">
      <c r="A821" s="81"/>
    </row>
    <row r="822" ht="14.25" customHeight="1">
      <c r="A822" s="81"/>
    </row>
    <row r="823" ht="14.25" customHeight="1">
      <c r="A823" s="81"/>
    </row>
    <row r="824" ht="14.25" customHeight="1">
      <c r="A824" s="81"/>
    </row>
    <row r="825" ht="14.25" customHeight="1">
      <c r="A825" s="81"/>
    </row>
    <row r="826" ht="14.25" customHeight="1">
      <c r="A826" s="81"/>
    </row>
    <row r="827" ht="14.25" customHeight="1">
      <c r="A827" s="81"/>
    </row>
    <row r="828" ht="14.25" customHeight="1">
      <c r="A828" s="81"/>
    </row>
    <row r="829" ht="14.25" customHeight="1">
      <c r="A829" s="81"/>
    </row>
    <row r="830" ht="14.25" customHeight="1">
      <c r="A830" s="81"/>
    </row>
    <row r="831" ht="14.25" customHeight="1">
      <c r="A831" s="81"/>
    </row>
    <row r="832" ht="14.25" customHeight="1">
      <c r="A832" s="81"/>
    </row>
    <row r="833" ht="14.25" customHeight="1">
      <c r="A833" s="81"/>
    </row>
    <row r="834" ht="14.25" customHeight="1">
      <c r="A834" s="81"/>
    </row>
    <row r="835" ht="14.25" customHeight="1">
      <c r="A835" s="81"/>
    </row>
    <row r="836" ht="14.25" customHeight="1">
      <c r="A836" s="81"/>
    </row>
    <row r="837" ht="14.25" customHeight="1">
      <c r="A837" s="81"/>
    </row>
    <row r="838" ht="14.25" customHeight="1">
      <c r="A838" s="81"/>
    </row>
    <row r="839" ht="14.25" customHeight="1">
      <c r="A839" s="81"/>
    </row>
    <row r="840" ht="14.25" customHeight="1">
      <c r="A840" s="81"/>
    </row>
    <row r="841" ht="14.25" customHeight="1">
      <c r="A841" s="81"/>
    </row>
    <row r="842" ht="14.25" customHeight="1">
      <c r="A842" s="81"/>
    </row>
    <row r="843" ht="14.25" customHeight="1">
      <c r="A843" s="81"/>
    </row>
    <row r="844" ht="14.25" customHeight="1">
      <c r="A844" s="81"/>
    </row>
    <row r="845" ht="14.25" customHeight="1">
      <c r="A845" s="81"/>
    </row>
    <row r="846" ht="14.25" customHeight="1">
      <c r="A846" s="81"/>
    </row>
    <row r="847" ht="14.25" customHeight="1">
      <c r="A847" s="81"/>
    </row>
    <row r="848" ht="14.25" customHeight="1">
      <c r="A848" s="81"/>
    </row>
    <row r="849" ht="14.25" customHeight="1">
      <c r="A849" s="81"/>
    </row>
    <row r="850" ht="14.25" customHeight="1">
      <c r="A850" s="81"/>
    </row>
    <row r="851" ht="14.25" customHeight="1">
      <c r="A851" s="81"/>
    </row>
    <row r="852" ht="14.25" customHeight="1">
      <c r="A852" s="81"/>
    </row>
    <row r="853" ht="14.25" customHeight="1">
      <c r="A853" s="81"/>
    </row>
    <row r="854" ht="14.25" customHeight="1">
      <c r="A854" s="81"/>
    </row>
    <row r="855" ht="14.25" customHeight="1">
      <c r="A855" s="81"/>
    </row>
    <row r="856" ht="14.25" customHeight="1">
      <c r="A856" s="81"/>
    </row>
    <row r="857" ht="14.25" customHeight="1">
      <c r="A857" s="81"/>
    </row>
    <row r="858" ht="14.25" customHeight="1">
      <c r="A858" s="81"/>
    </row>
    <row r="859" ht="14.25" customHeight="1">
      <c r="A859" s="81"/>
    </row>
    <row r="860" ht="14.25" customHeight="1">
      <c r="A860" s="81"/>
    </row>
    <row r="861" ht="14.25" customHeight="1">
      <c r="A861" s="81"/>
    </row>
    <row r="862" ht="14.25" customHeight="1">
      <c r="A862" s="81"/>
    </row>
    <row r="863" ht="14.25" customHeight="1">
      <c r="A863" s="81"/>
    </row>
    <row r="864" ht="14.25" customHeight="1">
      <c r="A864" s="81"/>
    </row>
    <row r="865" ht="14.25" customHeight="1">
      <c r="A865" s="81"/>
    </row>
    <row r="866" ht="14.25" customHeight="1">
      <c r="A866" s="81"/>
    </row>
    <row r="867" ht="14.25" customHeight="1">
      <c r="A867" s="81"/>
    </row>
    <row r="868" ht="14.25" customHeight="1">
      <c r="A868" s="81"/>
    </row>
    <row r="869" ht="14.25" customHeight="1">
      <c r="A869" s="81"/>
    </row>
    <row r="870" ht="14.25" customHeight="1">
      <c r="A870" s="81"/>
    </row>
    <row r="871" ht="14.25" customHeight="1">
      <c r="A871" s="81"/>
    </row>
    <row r="872" ht="14.25" customHeight="1">
      <c r="A872" s="81"/>
    </row>
    <row r="873" ht="14.25" customHeight="1">
      <c r="A873" s="81"/>
    </row>
    <row r="874" ht="14.25" customHeight="1">
      <c r="A874" s="81"/>
    </row>
    <row r="875" ht="14.25" customHeight="1">
      <c r="A875" s="81"/>
    </row>
    <row r="876" ht="14.25" customHeight="1">
      <c r="A876" s="81"/>
    </row>
    <row r="877" ht="14.25" customHeight="1">
      <c r="A877" s="81"/>
    </row>
    <row r="878" ht="14.25" customHeight="1">
      <c r="A878" s="81"/>
    </row>
    <row r="879" ht="14.25" customHeight="1">
      <c r="A879" s="81"/>
    </row>
    <row r="880" ht="14.25" customHeight="1">
      <c r="A880" s="81"/>
    </row>
    <row r="881" ht="14.25" customHeight="1">
      <c r="A881" s="81"/>
    </row>
    <row r="882" ht="14.25" customHeight="1">
      <c r="A882" s="81"/>
    </row>
    <row r="883" ht="14.25" customHeight="1">
      <c r="A883" s="81"/>
    </row>
    <row r="884" ht="14.25" customHeight="1">
      <c r="A884" s="81"/>
    </row>
    <row r="885" ht="14.25" customHeight="1">
      <c r="A885" s="81"/>
    </row>
    <row r="886" ht="14.25" customHeight="1">
      <c r="A886" s="81"/>
    </row>
    <row r="887" ht="14.25" customHeight="1">
      <c r="A887" s="81"/>
    </row>
    <row r="888" ht="14.25" customHeight="1">
      <c r="A888" s="81"/>
    </row>
    <row r="889" ht="14.25" customHeight="1">
      <c r="A889" s="81"/>
    </row>
    <row r="890" ht="14.25" customHeight="1">
      <c r="A890" s="81"/>
    </row>
    <row r="891" ht="14.25" customHeight="1">
      <c r="A891" s="81"/>
    </row>
    <row r="892" ht="14.25" customHeight="1">
      <c r="A892" s="81"/>
    </row>
    <row r="893" ht="14.25" customHeight="1">
      <c r="A893" s="81"/>
    </row>
    <row r="894" ht="14.25" customHeight="1">
      <c r="A894" s="81"/>
    </row>
    <row r="895" ht="14.25" customHeight="1">
      <c r="A895" s="81"/>
    </row>
    <row r="896" ht="14.25" customHeight="1">
      <c r="A896" s="81"/>
    </row>
    <row r="897" ht="14.25" customHeight="1">
      <c r="A897" s="81"/>
    </row>
    <row r="898" ht="14.25" customHeight="1">
      <c r="A898" s="81"/>
    </row>
    <row r="899" ht="14.25" customHeight="1">
      <c r="A899" s="81"/>
    </row>
    <row r="900" ht="14.25" customHeight="1">
      <c r="A900" s="81"/>
    </row>
    <row r="901" ht="14.25" customHeight="1">
      <c r="A901" s="81"/>
    </row>
    <row r="902" ht="14.25" customHeight="1">
      <c r="A902" s="81"/>
    </row>
    <row r="903" ht="14.25" customHeight="1">
      <c r="A903" s="81"/>
    </row>
    <row r="904" ht="14.25" customHeight="1">
      <c r="A904" s="81"/>
    </row>
    <row r="905" ht="14.25" customHeight="1">
      <c r="A905" s="81"/>
    </row>
    <row r="906" ht="14.25" customHeight="1">
      <c r="A906" s="81"/>
    </row>
    <row r="907" ht="14.25" customHeight="1">
      <c r="A907" s="81"/>
    </row>
    <row r="908" ht="14.25" customHeight="1">
      <c r="A908" s="81"/>
    </row>
    <row r="909" ht="14.25" customHeight="1">
      <c r="A909" s="81"/>
    </row>
    <row r="910" ht="14.25" customHeight="1">
      <c r="A910" s="81"/>
    </row>
    <row r="911" ht="14.25" customHeight="1">
      <c r="A911" s="81"/>
    </row>
    <row r="912" ht="14.25" customHeight="1">
      <c r="A912" s="81"/>
    </row>
    <row r="913" ht="14.25" customHeight="1">
      <c r="A913" s="81"/>
    </row>
    <row r="914" ht="14.25" customHeight="1">
      <c r="A914" s="81"/>
    </row>
    <row r="915" ht="14.25" customHeight="1">
      <c r="A915" s="81"/>
    </row>
    <row r="916" ht="14.25" customHeight="1">
      <c r="A916" s="81"/>
    </row>
    <row r="917" ht="14.25" customHeight="1">
      <c r="A917" s="81"/>
    </row>
    <row r="918" ht="14.25" customHeight="1">
      <c r="A918" s="81"/>
    </row>
    <row r="919" ht="14.25" customHeight="1">
      <c r="A919" s="81"/>
    </row>
    <row r="920" ht="14.25" customHeight="1">
      <c r="A920" s="81"/>
    </row>
    <row r="921" ht="14.25" customHeight="1">
      <c r="A921" s="81"/>
    </row>
    <row r="922" ht="14.25" customHeight="1">
      <c r="A922" s="81"/>
    </row>
    <row r="923" ht="14.25" customHeight="1">
      <c r="A923" s="81"/>
    </row>
    <row r="924" ht="14.25" customHeight="1">
      <c r="A924" s="81"/>
    </row>
    <row r="925" ht="14.25" customHeight="1">
      <c r="A925" s="81"/>
    </row>
    <row r="926" ht="14.25" customHeight="1">
      <c r="A926" s="81"/>
    </row>
    <row r="927" ht="14.25" customHeight="1">
      <c r="A927" s="81"/>
    </row>
    <row r="928" ht="14.25" customHeight="1">
      <c r="A928" s="81"/>
    </row>
    <row r="929" ht="14.25" customHeight="1">
      <c r="A929" s="81"/>
    </row>
    <row r="930" ht="14.25" customHeight="1">
      <c r="A930" s="81"/>
    </row>
    <row r="931" ht="14.25" customHeight="1">
      <c r="A931" s="81"/>
    </row>
    <row r="932" ht="14.25" customHeight="1">
      <c r="A932" s="81"/>
    </row>
    <row r="933" ht="14.25" customHeight="1">
      <c r="A933" s="81"/>
    </row>
    <row r="934" ht="14.25" customHeight="1">
      <c r="A934" s="81"/>
    </row>
    <row r="935" ht="14.25" customHeight="1">
      <c r="A935" s="81"/>
    </row>
    <row r="936" ht="14.25" customHeight="1">
      <c r="A936" s="81"/>
    </row>
    <row r="937" ht="14.25" customHeight="1">
      <c r="A937" s="81"/>
    </row>
    <row r="938" ht="14.25" customHeight="1">
      <c r="A938" s="81"/>
    </row>
    <row r="939" ht="14.25" customHeight="1">
      <c r="A939" s="81"/>
    </row>
    <row r="940" ht="14.25" customHeight="1">
      <c r="A940" s="81"/>
    </row>
    <row r="941" ht="14.25" customHeight="1">
      <c r="A941" s="81"/>
    </row>
    <row r="942" ht="14.25" customHeight="1">
      <c r="A942" s="81"/>
    </row>
    <row r="943" ht="14.25" customHeight="1">
      <c r="A943" s="81"/>
    </row>
    <row r="944" ht="14.25" customHeight="1">
      <c r="A944" s="81"/>
    </row>
    <row r="945" ht="14.25" customHeight="1">
      <c r="A945" s="81"/>
    </row>
    <row r="946" ht="14.25" customHeight="1">
      <c r="A946" s="81"/>
    </row>
    <row r="947" ht="14.25" customHeight="1">
      <c r="A947" s="81"/>
    </row>
    <row r="948" ht="14.25" customHeight="1">
      <c r="A948" s="81"/>
    </row>
    <row r="949" ht="14.25" customHeight="1">
      <c r="A949" s="81"/>
    </row>
    <row r="950" ht="14.25" customHeight="1">
      <c r="A950" s="81"/>
    </row>
    <row r="951" ht="14.25" customHeight="1">
      <c r="A951" s="81"/>
    </row>
    <row r="952" ht="14.25" customHeight="1">
      <c r="A952" s="81"/>
    </row>
    <row r="953" ht="14.25" customHeight="1">
      <c r="A953" s="81"/>
    </row>
    <row r="954" ht="14.25" customHeight="1">
      <c r="A954" s="81"/>
    </row>
    <row r="955" ht="14.25" customHeight="1">
      <c r="A955" s="81"/>
    </row>
    <row r="956" ht="14.25" customHeight="1">
      <c r="A956" s="81"/>
    </row>
    <row r="957" ht="14.25" customHeight="1">
      <c r="A957" s="81"/>
    </row>
    <row r="958" ht="14.25" customHeight="1">
      <c r="A958" s="81"/>
    </row>
    <row r="959" ht="14.25" customHeight="1">
      <c r="A959" s="81"/>
    </row>
    <row r="960" ht="14.25" customHeight="1">
      <c r="A960" s="81"/>
    </row>
    <row r="961" ht="14.25" customHeight="1">
      <c r="A961" s="81"/>
    </row>
    <row r="962" ht="14.25" customHeight="1">
      <c r="A962" s="81"/>
    </row>
    <row r="963" ht="14.25" customHeight="1">
      <c r="A963" s="81"/>
    </row>
    <row r="964" ht="14.25" customHeight="1">
      <c r="A964" s="81"/>
    </row>
    <row r="965" ht="14.25" customHeight="1">
      <c r="A965" s="81"/>
    </row>
    <row r="966" ht="14.25" customHeight="1">
      <c r="A966" s="81"/>
    </row>
    <row r="967" ht="14.25" customHeight="1">
      <c r="A967" s="81"/>
    </row>
    <row r="968" ht="14.25" customHeight="1">
      <c r="A968" s="81"/>
    </row>
    <row r="969" ht="14.25" customHeight="1">
      <c r="A969" s="81"/>
    </row>
    <row r="970" ht="14.25" customHeight="1">
      <c r="A970" s="81"/>
    </row>
    <row r="971" ht="14.25" customHeight="1">
      <c r="A971" s="81"/>
    </row>
    <row r="972" ht="14.25" customHeight="1">
      <c r="A972" s="81"/>
    </row>
    <row r="973" ht="14.25" customHeight="1">
      <c r="A973" s="81"/>
    </row>
    <row r="974" ht="14.25" customHeight="1">
      <c r="A974" s="81"/>
    </row>
    <row r="975" ht="14.25" customHeight="1">
      <c r="A975" s="81"/>
    </row>
    <row r="976" ht="14.25" customHeight="1">
      <c r="A976" s="81"/>
    </row>
    <row r="977" ht="14.25" customHeight="1">
      <c r="A977" s="81"/>
    </row>
    <row r="978" ht="14.25" customHeight="1">
      <c r="A978" s="81"/>
    </row>
    <row r="979" ht="14.25" customHeight="1">
      <c r="A979" s="81"/>
    </row>
    <row r="980" ht="14.25" customHeight="1">
      <c r="A980" s="81"/>
    </row>
    <row r="981" ht="14.25" customHeight="1">
      <c r="A981" s="81"/>
    </row>
    <row r="982" ht="14.25" customHeight="1">
      <c r="A982" s="81"/>
    </row>
    <row r="983" ht="14.25" customHeight="1">
      <c r="A983" s="81"/>
    </row>
    <row r="984" ht="14.25" customHeight="1">
      <c r="A984" s="81"/>
    </row>
    <row r="985" ht="14.25" customHeight="1">
      <c r="A985" s="81"/>
    </row>
    <row r="986" ht="14.25" customHeight="1">
      <c r="A986" s="81"/>
    </row>
    <row r="987" ht="14.25" customHeight="1">
      <c r="A987" s="81"/>
    </row>
    <row r="988" ht="14.25" customHeight="1">
      <c r="A988" s="81"/>
    </row>
    <row r="989" ht="14.25" customHeight="1">
      <c r="A989" s="81"/>
    </row>
    <row r="990" ht="14.25" customHeight="1">
      <c r="A990" s="81"/>
    </row>
    <row r="991" ht="14.25" customHeight="1">
      <c r="A991" s="81"/>
    </row>
    <row r="992" ht="14.25" customHeight="1">
      <c r="A992" s="81"/>
    </row>
    <row r="993" ht="14.25" customHeight="1">
      <c r="A993" s="81"/>
    </row>
    <row r="994" ht="14.25" customHeight="1">
      <c r="A994" s="81"/>
    </row>
    <row r="995" ht="14.25" customHeight="1">
      <c r="A995" s="81"/>
    </row>
    <row r="996" ht="14.25" customHeight="1">
      <c r="A996" s="81"/>
    </row>
    <row r="997" ht="14.25" customHeight="1">
      <c r="A997" s="81"/>
    </row>
    <row r="998" ht="14.25" customHeight="1">
      <c r="A998" s="81"/>
    </row>
    <row r="999" ht="14.25" customHeight="1">
      <c r="A999" s="81"/>
    </row>
    <row r="1000" ht="14.25" customHeight="1">
      <c r="A1000" s="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